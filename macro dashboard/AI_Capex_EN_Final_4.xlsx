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 Database" sheetId="1" state="visible" r:id="rId1"/>
    <sheet xmlns:r="http://schemas.openxmlformats.org/officeDocument/2006/relationships" name="1. Summary" sheetId="2" state="visible" r:id="rId2"/>
    <sheet xmlns:r="http://schemas.openxmlformats.org/officeDocument/2006/relationships" name="2. Revenue &amp; Growth" sheetId="3" state="visible" r:id="rId3"/>
    <sheet xmlns:r="http://schemas.openxmlformats.org/officeDocument/2006/relationships" name="3. Capex &amp; D&amp;A" sheetId="4" state="visible" r:id="rId4"/>
    <sheet xmlns:r="http://schemas.openxmlformats.org/officeDocument/2006/relationships" name="4. FCF &amp; Cash" sheetId="5" state="visible" r:id="rId5"/>
    <sheet xmlns:r="http://schemas.openxmlformats.org/officeDocument/2006/relationships" name="5. EPS &amp; Margins" sheetId="6" state="visible" r:id="rId6"/>
    <sheet xmlns:r="http://schemas.openxmlformats.org/officeDocument/2006/relationships" name="6. Depreciation Sensitivity" sheetId="7" state="visible" r:id="rId7"/>
    <sheet xmlns:r="http://schemas.openxmlformats.org/officeDocument/2006/relationships" name="7. SP500 AI EPS Split" sheetId="8" state="visible" r:id="rId8"/>
    <sheet xmlns:r="http://schemas.openxmlformats.org/officeDocument/2006/relationships" name="8. Charts" sheetId="9" state="visible" r:id="rId9"/>
    <sheet xmlns:r="http://schemas.openxmlformats.org/officeDocument/2006/relationships" name="9. Bubble &amp; Valuation" sheetId="10" state="visible" r:id="rId10"/>
    <sheet xmlns:r="http://schemas.openxmlformats.org/officeDocument/2006/relationships" name="10. AI Monetization" sheetId="11" state="visible" r:id="rId11"/>
  </sheets>
  <definedNames/>
  <calcPr calcId="124519" fullCalcOnLoad="1" refMode="A1" iterate="0" iterateCount="100" iterateDelta="0.0001"/>
</workbook>
</file>

<file path=xl/styles.xml><?xml version="1.0" encoding="utf-8"?>
<styleSheet xmlns="http://schemas.openxmlformats.org/spreadsheetml/2006/main">
  <numFmts count="15">
    <numFmt numFmtId="164" formatCode="\$#,##0.00;&quot;($&quot;#,##0.00\);\-"/>
    <numFmt numFmtId="165" formatCode="#,##0;\(#,##0\);\-"/>
    <numFmt numFmtId="166" formatCode="0.0%;\(0.0%\);\-"/>
    <numFmt numFmtId="167" formatCode="0%;\(0%\);\-"/>
    <numFmt numFmtId="168" formatCode="0.0"/>
    <numFmt numFmtId="169" formatCode="\$0.00"/>
    <numFmt numFmtId="170" formatCode="0.0%"/>
    <numFmt numFmtId="171" formatCode="\$0.00;&quot;($&quot;0.00\);\-"/>
    <numFmt numFmtId="172" formatCode="\$#,##0"/>
    <numFmt numFmtId="173" formatCode="\$#,##0.0"/>
    <numFmt numFmtId="174" formatCode="0.0\x"/>
    <numFmt numFmtId="175" formatCode="$#,##0"/>
    <numFmt numFmtId="176" formatCode="0x"/>
    <numFmt numFmtId="177" formatCode="+0%;-0%"/>
    <numFmt numFmtId="178" formatCode="$0.00"/>
  </numFmts>
  <fonts count="90">
    <font>
      <name val="Calibri"/>
      <charset val="1"/>
      <family val="2"/>
      <color theme="1"/>
      <sz val="11"/>
    </font>
    <font>
      <name val="Arial"/>
      <family val="0"/>
      <sz val="10"/>
    </font>
    <font>
      <name val="Arial"/>
      <family val="0"/>
      <sz val="10"/>
    </font>
    <font>
      <name val="Arial"/>
      <family val="0"/>
      <sz val="10"/>
    </font>
    <font>
      <name val="Noto Sans CJK SC"/>
      <charset val="1"/>
      <family val="2"/>
      <b val="1"/>
      <color rgb="FFFFFFFF"/>
      <sz val="12"/>
    </font>
    <font>
      <name val="Arial"/>
      <charset val="1"/>
      <family val="0"/>
      <b val="1"/>
      <color rgb="FFFFFFFF"/>
      <sz val="9"/>
    </font>
    <font>
      <name val="Noto Sans CJK SC"/>
      <charset val="1"/>
      <family val="2"/>
      <b val="1"/>
      <color rgb="FFFFFFFF"/>
      <sz val="9"/>
    </font>
    <font>
      <name val="Arial"/>
      <charset val="1"/>
      <family val="0"/>
      <b val="1"/>
      <color rgb="FFFFFFFF"/>
      <sz val="8"/>
    </font>
    <font>
      <name val="Arial"/>
      <charset val="1"/>
      <family val="0"/>
      <b val="1"/>
      <color rgb="FFFFFFFF"/>
      <sz val="10"/>
    </font>
    <font>
      <name val="Arial"/>
      <charset val="1"/>
      <family val="0"/>
      <b val="1"/>
      <color rgb="FF1F3864"/>
      <sz val="8"/>
    </font>
    <font>
      <name val="Noto Sans CJK SC"/>
      <charset val="1"/>
      <family val="2"/>
      <color rgb="FF000000"/>
      <sz val="8"/>
    </font>
    <font>
      <name val="Arial"/>
      <charset val="1"/>
      <family val="0"/>
      <color rgb="FF0000FF"/>
      <sz val="9"/>
    </font>
    <font>
      <name val="Arial"/>
      <charset val="1"/>
      <family val="0"/>
      <color rgb="FF000000"/>
      <sz val="8"/>
    </font>
    <font>
      <name val="Arial"/>
      <charset val="1"/>
      <family val="0"/>
      <b val="1"/>
      <color rgb="FFFFFFFF"/>
      <sz val="18"/>
    </font>
    <font>
      <name val="Arial"/>
      <charset val="1"/>
      <family val="0"/>
      <i val="1"/>
      <color rgb="FF595959"/>
      <sz val="10"/>
    </font>
    <font>
      <name val="Noto Sans CJK SC"/>
      <charset val="1"/>
      <family val="2"/>
      <b val="1"/>
      <color rgb="FFFFFFFF"/>
      <sz val="11"/>
    </font>
    <font>
      <name val="Arial"/>
      <charset val="1"/>
      <family val="0"/>
      <color rgb="FF000000"/>
      <sz val="10"/>
    </font>
    <font>
      <name val="Noto Sans CJK SC"/>
      <charset val="1"/>
      <family val="2"/>
      <b val="1"/>
      <color rgb="FFFFFFFF"/>
      <sz val="13"/>
    </font>
    <font>
      <name val="Noto Sans CJK SC"/>
      <charset val="1"/>
      <family val="2"/>
      <b val="1"/>
      <color rgb="FFFFFFFF"/>
      <sz val="8"/>
    </font>
    <font>
      <name val="Arial"/>
      <charset val="1"/>
      <family val="0"/>
      <b val="1"/>
      <color rgb="FF000000"/>
      <sz val="8"/>
    </font>
    <font>
      <name val="Arial"/>
      <charset val="1"/>
      <family val="0"/>
      <color rgb="FF008000"/>
      <sz val="9"/>
    </font>
    <font>
      <name val="Arial"/>
      <charset val="1"/>
      <family val="0"/>
      <color rgb="FF000000"/>
      <sz val="9"/>
    </font>
    <font>
      <name val="Arial"/>
      <charset val="1"/>
      <family val="0"/>
      <b val="1"/>
      <color rgb="FFFFFFFF"/>
      <sz val="13"/>
    </font>
    <font>
      <name val="Noto Sans CJK SC"/>
      <family val="2"/>
      <b val="1"/>
      <color rgb="FFFFFFFF"/>
      <sz val="13"/>
    </font>
    <font>
      <name val="Noto Sans CJK SC"/>
      <charset val="1"/>
      <family val="2"/>
      <i val="1"/>
      <color rgb="FF595959"/>
      <sz val="8"/>
    </font>
    <font>
      <name val="Arial"/>
      <charset val="1"/>
      <family val="0"/>
      <b val="1"/>
      <color rgb="FF000000"/>
      <sz val="9"/>
    </font>
    <font>
      <name val="Noto Sans CJK SC"/>
      <charset val="1"/>
      <family val="2"/>
      <b val="1"/>
      <color rgb="FF000000"/>
      <sz val="9"/>
    </font>
    <font>
      <name val="Noto Sans CJK SC"/>
      <charset val="1"/>
      <family val="2"/>
      <color rgb="FF000000"/>
      <sz val="9"/>
    </font>
    <font>
      <name val="Noto Sans CJK SC"/>
      <charset val="1"/>
      <family val="2"/>
      <b val="1"/>
      <color rgb="FFC00000"/>
      <sz val="10"/>
    </font>
    <font>
      <name val="Noto Sans CJK SC"/>
      <charset val="1"/>
      <family val="2"/>
      <b val="1"/>
      <color rgb="FFFFFFFF"/>
      <sz val="7"/>
    </font>
    <font>
      <name val="Arial"/>
      <charset val="1"/>
      <family val="0"/>
      <b val="1"/>
      <color rgb="FFFFFFFF"/>
      <sz val="7"/>
    </font>
    <font>
      <name val="Arial"/>
      <charset val="1"/>
      <family val="0"/>
      <b val="1"/>
      <color rgb="FF000000"/>
      <sz val="10"/>
    </font>
    <font>
      <name val="Noto Sans CJK SC"/>
      <charset val="1"/>
      <family val="2"/>
      <color rgb="FF595959"/>
      <sz val="7"/>
    </font>
    <font>
      <name val="Arial"/>
      <charset val="1"/>
      <family val="0"/>
      <sz val="9"/>
    </font>
    <font>
      <name val="Arial"/>
      <charset val="1"/>
      <family val="0"/>
      <b val="1"/>
      <sz val="9"/>
    </font>
    <font>
      <name val="Arial"/>
      <charset val="1"/>
      <family val="0"/>
      <b val="1"/>
      <color rgb="FFC00000"/>
      <sz val="9"/>
    </font>
    <font>
      <name val="Arial"/>
      <charset val="1"/>
      <family val="0"/>
      <color rgb="FF595959"/>
      <sz val="7"/>
    </font>
    <font>
      <name val="Noto Sans CJK SC"/>
      <charset val="1"/>
      <family val="2"/>
      <b val="1"/>
      <color rgb="FFFFFFFF"/>
      <sz val="10"/>
    </font>
    <font>
      <name val="Arial"/>
      <charset val="1"/>
      <family val="0"/>
      <i val="1"/>
      <color rgb="FF595959"/>
      <sz val="8"/>
    </font>
    <font>
      <name val="Noto Sans CJK SC"/>
      <charset val="1"/>
      <family val="2"/>
      <b val="1"/>
      <color rgb="FF000000"/>
      <sz val="10"/>
    </font>
    <font>
      <name val="Arial"/>
      <charset val="1"/>
      <family val="0"/>
      <b val="1"/>
      <sz val="10"/>
    </font>
    <font>
      <name val="Arial"/>
      <charset val="1"/>
      <family val="0"/>
      <b val="1"/>
      <color rgb="FFFFFFFF"/>
      <sz val="11"/>
    </font>
    <font>
      <name val="Noto Sans CJK SC"/>
      <family val="2"/>
      <b val="1"/>
      <color rgb="FFFFFFFF"/>
      <sz val="11"/>
    </font>
    <font>
      <name val="Noto Sans CJK SC"/>
      <charset val="1"/>
      <family val="2"/>
      <b val="1"/>
      <sz val="9"/>
    </font>
    <font>
      <name val="Noto Sans CJK SC"/>
      <charset val="1"/>
      <family val="2"/>
      <b val="1"/>
      <sz val="10"/>
    </font>
    <font>
      <name val="Noto Sans CJK SC"/>
      <charset val="1"/>
      <family val="2"/>
      <sz val="9"/>
    </font>
    <font>
      <name val="Arial"/>
      <charset val="1"/>
      <family val="0"/>
      <b val="1"/>
      <sz val="7"/>
    </font>
    <font>
      <name val="Arial"/>
      <charset val="1"/>
      <family val="0"/>
      <b val="1"/>
      <sz val="8"/>
    </font>
    <font>
      <name val="Arial"/>
      <charset val="1"/>
      <family val="0"/>
      <sz val="7"/>
    </font>
    <font>
      <name val="Calibri"/>
      <family val="2"/>
      <b val="1"/>
      <color rgb="FF000000"/>
      <sz val="18"/>
    </font>
    <font>
      <name val="Calibri"/>
      <family val="2"/>
      <color rgb="FF000000"/>
      <sz val="10"/>
    </font>
    <font>
      <name val="Arial"/>
      <charset val="1"/>
      <family val="0"/>
      <b val="1"/>
      <color rgb="FFFFFFFF"/>
      <sz val="12"/>
    </font>
    <font>
      <name val="Arial"/>
      <charset val="1"/>
      <family val="0"/>
      <color rgb="FF595959"/>
      <sz val="8"/>
    </font>
    <font>
      <name val="Noto Sans CJK SC"/>
      <charset val="1"/>
      <family val="2"/>
      <b val="1"/>
      <color rgb="FF000000"/>
      <sz val="8"/>
    </font>
    <font>
      <name val="Noto Sans CJK SC"/>
      <charset val="1"/>
      <family val="2"/>
      <b val="1"/>
      <color rgb="FF000000"/>
      <sz val="7"/>
    </font>
    <font>
      <name val="Arial"/>
      <charset val="1"/>
      <family val="0"/>
      <color rgb="FF000000"/>
      <sz val="7"/>
    </font>
    <font>
      <name val="Arial"/>
      <charset val="1"/>
      <family val="0"/>
      <b val="1"/>
      <color rgb="FF000000"/>
      <sz val="7"/>
    </font>
    <font>
      <name val="Noto Sans CJK SC"/>
      <charset val="1"/>
      <family val="2"/>
      <color rgb="FF000000"/>
      <sz val="7"/>
    </font>
    <font>
      <name val="Noto Sans CJK SC"/>
      <charset val="1"/>
      <family val="2"/>
      <color rgb="FF595959"/>
      <sz val="8"/>
    </font>
    <font>
      <name val="Arial"/>
      <charset val="1"/>
      <family val="0"/>
      <i val="1"/>
      <color rgb="FF595959"/>
      <sz val="9"/>
    </font>
    <font>
      <name val="Arial"/>
      <charset val="1"/>
      <family val="0"/>
      <b val="1"/>
      <color rgb="FFC00000"/>
      <sz val="10"/>
    </font>
    <font>
      <name val="Arial"/>
      <charset val="1"/>
      <family val="0"/>
      <b val="1"/>
      <color rgb="FF000000"/>
      <sz val="11"/>
    </font>
    <font>
      <name val="Arial"/>
      <charset val="1"/>
      <family val="0"/>
      <b val="1"/>
      <color rgb="FFC00000"/>
      <sz val="12"/>
    </font>
    <font>
      <name val="Arial"/>
      <charset val="1"/>
      <family val="0"/>
      <b val="1"/>
      <color rgb="FF006400"/>
      <sz val="10"/>
    </font>
    <font>
      <name val="Arial"/>
      <charset val="1"/>
      <family val="0"/>
      <b val="1"/>
      <color rgb="FFC00000"/>
      <sz val="8"/>
    </font>
    <font>
      <name val="Arial"/>
      <charset val="1"/>
      <family val="0"/>
      <b val="1"/>
      <sz val="11"/>
    </font>
    <font>
      <name val="Arial"/>
      <b val="1"/>
      <color rgb="00FFFFFF"/>
      <sz val="13"/>
    </font>
    <font>
      <name val="Arial"/>
      <b val="1"/>
      <color rgb="00FFFFFF"/>
      <sz val="8"/>
    </font>
    <font>
      <name val="Arial"/>
      <b val="1"/>
      <sz val="7"/>
    </font>
    <font>
      <name val="Arial"/>
      <b val="1"/>
      <sz val="8"/>
    </font>
    <font>
      <name val="Arial"/>
      <sz val="7"/>
    </font>
    <font>
      <name val="Arial"/>
      <b val="1"/>
      <color rgb="00FFFFFF"/>
      <sz val="12"/>
    </font>
    <font>
      <name val="Arial"/>
      <b val="1"/>
      <color rgb="00FFFFFF"/>
      <sz val="10"/>
    </font>
    <font>
      <name val="Arial"/>
      <b val="1"/>
      <color rgb="00000000"/>
      <sz val="9"/>
    </font>
    <font>
      <name val="Arial"/>
      <color rgb="00000000"/>
      <sz val="9"/>
    </font>
    <font>
      <name val="Arial"/>
      <b val="1"/>
      <sz val="9"/>
    </font>
    <font>
      <name val="Arial"/>
      <b val="1"/>
      <color rgb="00C00000"/>
      <sz val="9"/>
    </font>
    <font>
      <name val="Arial"/>
      <color rgb="00595959"/>
      <sz val="8"/>
    </font>
    <font>
      <name val="Arial"/>
      <color rgb="00000000"/>
      <sz val="8"/>
    </font>
    <font>
      <name val="Arial"/>
      <b val="1"/>
      <color rgb="00C00000"/>
      <sz val="10"/>
    </font>
    <font>
      <name val="Arial"/>
      <b val="1"/>
      <color rgb="00FFFFFF"/>
      <sz val="11"/>
    </font>
    <font>
      <name val="Arial"/>
      <b val="1"/>
      <color rgb="00FFFFFF"/>
      <sz val="7"/>
    </font>
    <font>
      <name val="Arial"/>
      <b val="1"/>
      <sz val="11"/>
    </font>
    <font>
      <name val="Arial"/>
      <b val="1"/>
      <color rgb="00006400"/>
      <sz val="10"/>
    </font>
    <font>
      <name val="Arial"/>
      <b val="1"/>
      <sz val="14"/>
    </font>
    <font>
      <name val="Arial"/>
      <b val="1"/>
      <color rgb="00C00000"/>
      <sz val="12"/>
    </font>
    <font>
      <name val="Arial"/>
      <b val="1"/>
      <color rgb="00000000"/>
      <sz val="10"/>
    </font>
    <font>
      <name val="Arial"/>
      <i val="1"/>
      <color rgb="00595959"/>
      <sz val="9"/>
    </font>
    <font>
      <name val="Arial"/>
      <b val="1"/>
      <color rgb="00C00000"/>
      <sz val="8"/>
    </font>
    <font>
      <name val="Arial"/>
      <color rgb="00595959"/>
      <sz val="7"/>
    </font>
  </fonts>
  <fills count="24">
    <fill>
      <patternFill/>
    </fill>
    <fill>
      <patternFill patternType="gray125"/>
    </fill>
    <fill>
      <patternFill patternType="solid">
        <fgColor rgb="FF1F3864"/>
        <bgColor rgb="FF404040"/>
      </patternFill>
    </fill>
    <fill>
      <patternFill patternType="solid">
        <fgColor rgb="FF2F5496"/>
        <bgColor rgb="FF1F3864"/>
      </patternFill>
    </fill>
    <fill>
      <patternFill patternType="solid">
        <fgColor rgb="FF0078D4"/>
        <bgColor rgb="FF0668E1"/>
      </patternFill>
    </fill>
    <fill>
      <patternFill patternType="solid">
        <fgColor rgb="FFF2F2F2"/>
        <bgColor rgb="FFFFFFFF"/>
      </patternFill>
    </fill>
    <fill>
      <patternFill patternType="solid">
        <fgColor rgb="FFFF9900"/>
        <bgColor rgb="FFD4762C"/>
      </patternFill>
    </fill>
    <fill>
      <patternFill patternType="solid">
        <fgColor rgb="FF4285F4"/>
        <bgColor rgb="FF0078D4"/>
      </patternFill>
    </fill>
    <fill>
      <patternFill patternType="solid">
        <fgColor rgb="FF0668E1"/>
        <bgColor rgb="FF0078D4"/>
      </patternFill>
    </fill>
    <fill>
      <patternFill patternType="solid">
        <fgColor rgb="FFF80000"/>
        <bgColor rgb="FFC00000"/>
      </patternFill>
    </fill>
    <fill>
      <patternFill patternType="solid">
        <fgColor rgb="FFFFE699"/>
        <bgColor rgb="FFF8CBAD"/>
      </patternFill>
    </fill>
    <fill>
      <patternFill patternType="solid">
        <fgColor rgb="FFC6E0B4"/>
        <bgColor rgb="FFD9D9D9"/>
      </patternFill>
    </fill>
    <fill>
      <patternFill patternType="solid">
        <fgColor rgb="FFF8CBAD"/>
        <bgColor rgb="FFFFE699"/>
      </patternFill>
    </fill>
    <fill>
      <patternFill patternType="solid">
        <fgColor rgb="FF404040"/>
        <bgColor rgb="FF1F3864"/>
      </patternFill>
    </fill>
    <fill>
      <patternFill patternType="solid">
        <fgColor rgb="FFC00000"/>
        <bgColor rgb="FF8B0000"/>
      </patternFill>
    </fill>
    <fill>
      <patternFill patternType="solid">
        <fgColor rgb="FFD4762C"/>
        <bgColor rgb="FFFF8080"/>
      </patternFill>
    </fill>
    <fill>
      <patternFill patternType="solid">
        <fgColor rgb="FF8B0000"/>
        <bgColor rgb="FFC00000"/>
      </patternFill>
    </fill>
    <fill>
      <patternFill patternType="solid">
        <fgColor rgb="001F3864"/>
      </patternFill>
    </fill>
    <fill>
      <patternFill patternType="solid">
        <fgColor rgb="00404040"/>
      </patternFill>
    </fill>
    <fill>
      <patternFill patternType="solid">
        <fgColor rgb="00F2F2F2"/>
      </patternFill>
    </fill>
    <fill>
      <patternFill patternType="solid">
        <fgColor rgb="002F5496"/>
      </patternFill>
    </fill>
    <fill>
      <patternFill patternType="solid">
        <fgColor rgb="00C6E0B4"/>
      </patternFill>
    </fill>
    <fill>
      <patternFill patternType="solid">
        <fgColor rgb="00F8CBAD"/>
      </patternFill>
    </fill>
    <fill>
      <patternFill patternType="solid">
        <fgColor rgb="00FFE699"/>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diagonal/>
    </border>
    <border>
      <left/>
      <right/>
      <top style="thin">
        <color rgb="FFBFBFBF"/>
      </top>
      <bottom style="thin">
        <color rgb="FFBFBFBF"/>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1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4" borderId="0" applyAlignment="1" pivotButton="0" quotePrefix="0" xfId="0">
      <alignment horizontal="left" vertical="center" wrapText="1"/>
    </xf>
    <xf numFmtId="0" fontId="9" fillId="0" borderId="1" applyAlignment="1" pivotButton="0" quotePrefix="0" xfId="0">
      <alignment horizontal="center" vertical="center" wrapText="1"/>
    </xf>
    <xf numFmtId="0" fontId="10" fillId="5" borderId="1" applyAlignment="1" pivotButton="0" quotePrefix="0" xfId="0">
      <alignment horizontal="left" vertical="center" wrapText="1"/>
    </xf>
    <xf numFmtId="3" fontId="11" fillId="0" borderId="1" applyAlignment="1" pivotButton="0" quotePrefix="0" xfId="0">
      <alignment horizontal="right" vertical="center"/>
    </xf>
    <xf numFmtId="0" fontId="12" fillId="5" borderId="1" applyAlignment="1" pivotButton="0" quotePrefix="0" xfId="0">
      <alignment horizontal="left" vertical="center" wrapText="1"/>
    </xf>
    <xf numFmtId="164" fontId="11" fillId="0" borderId="1" applyAlignment="1" pivotButton="0" quotePrefix="0" xfId="0">
      <alignment horizontal="right" vertical="center"/>
    </xf>
    <xf numFmtId="2" fontId="11" fillId="0" borderId="1" applyAlignment="1" pivotButton="0" quotePrefix="0" xfId="0">
      <alignment horizontal="right" vertical="center"/>
    </xf>
    <xf numFmtId="0" fontId="8" fillId="6" borderId="0" applyAlignment="1" pivotButton="0" quotePrefix="0" xfId="0">
      <alignment horizontal="left" vertical="center" wrapText="1"/>
    </xf>
    <xf numFmtId="0" fontId="0" fillId="0" borderId="1" applyAlignment="1" pivotButton="0" quotePrefix="0" xfId="0">
      <alignment horizontal="right" vertical="center"/>
    </xf>
    <xf numFmtId="0" fontId="8" fillId="7" borderId="0" applyAlignment="1" pivotButton="0" quotePrefix="0" xfId="0">
      <alignment horizontal="left" vertical="center" wrapText="1"/>
    </xf>
    <xf numFmtId="0" fontId="8" fillId="8" borderId="0" applyAlignment="1" pivotButton="0" quotePrefix="0" xfId="0">
      <alignment horizontal="left" vertical="center" wrapText="1"/>
    </xf>
    <xf numFmtId="0" fontId="8" fillId="9" borderId="0" applyAlignment="1" pivotButton="0" quotePrefix="0" xfId="0">
      <alignment horizontal="left" vertical="center" wrapText="1"/>
    </xf>
    <xf numFmtId="0" fontId="13" fillId="2" borderId="0" applyAlignment="1" pivotButton="0" quotePrefix="0" xfId="0">
      <alignment horizontal="center" vertical="center" wrapText="1"/>
    </xf>
    <xf numFmtId="0" fontId="14" fillId="0"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0" borderId="0" applyAlignment="1" pivotButton="0" quotePrefix="0" xfId="0">
      <alignment horizontal="left" vertical="center" wrapText="1"/>
    </xf>
    <xf numFmtId="0" fontId="17" fillId="2"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1" applyAlignment="1" pivotButton="0" quotePrefix="0" xfId="0">
      <alignment horizontal="center" vertical="center" wrapText="1"/>
    </xf>
    <xf numFmtId="0" fontId="19" fillId="5" borderId="1" applyAlignment="1" pivotButton="0" quotePrefix="0" xfId="0">
      <alignment horizontal="left" vertical="center" wrapText="1"/>
    </xf>
    <xf numFmtId="165" fontId="20" fillId="0" borderId="1" applyAlignment="1" pivotButton="0" quotePrefix="0" xfId="0">
      <alignment horizontal="right" vertical="center"/>
    </xf>
    <xf numFmtId="165" fontId="0" fillId="0" borderId="1" applyAlignment="1" pivotButton="0" quotePrefix="0" xfId="0">
      <alignment horizontal="right" vertical="center"/>
    </xf>
    <xf numFmtId="166" fontId="0" fillId="0" borderId="1" applyAlignment="1" pivotButton="0" quotePrefix="0" xfId="0">
      <alignment horizontal="right" vertical="center"/>
    </xf>
    <xf numFmtId="166" fontId="21" fillId="0" borderId="1" applyAlignment="1" pivotButton="0" quotePrefix="0" xfId="0">
      <alignment horizontal="right" vertical="center"/>
    </xf>
    <xf numFmtId="167" fontId="21" fillId="0" borderId="1" applyAlignment="1" pivotButton="0" quotePrefix="0" xfId="0">
      <alignment horizontal="right" vertical="center"/>
    </xf>
    <xf numFmtId="0" fontId="22" fillId="2" borderId="0" applyAlignment="1" pivotButton="0" quotePrefix="0" xfId="0">
      <alignment horizontal="center" vertical="center" wrapText="1"/>
    </xf>
    <xf numFmtId="0" fontId="24" fillId="0" borderId="0" applyAlignment="1" pivotButton="0" quotePrefix="0" xfId="0">
      <alignment horizontal="left" vertical="center" wrapText="1"/>
    </xf>
    <xf numFmtId="0" fontId="25" fillId="5" borderId="1" applyAlignment="1" pivotButton="0" quotePrefix="0" xfId="0">
      <alignment horizontal="left" vertical="center" wrapText="1"/>
    </xf>
    <xf numFmtId="0" fontId="26" fillId="5" borderId="1" applyAlignment="1" pivotButton="0" quotePrefix="0" xfId="0">
      <alignment horizontal="left" vertical="center" wrapText="1"/>
    </xf>
    <xf numFmtId="9" fontId="11" fillId="0" borderId="1" applyAlignment="1" pivotButton="0" quotePrefix="0" xfId="0">
      <alignment horizontal="right" vertical="center"/>
    </xf>
    <xf numFmtId="0" fontId="21" fillId="5" borderId="1" applyAlignment="1" pivotButton="0" quotePrefix="0" xfId="0">
      <alignment horizontal="left" vertical="center" wrapText="1"/>
    </xf>
    <xf numFmtId="1" fontId="11" fillId="0" borderId="1" applyAlignment="1" pivotButton="0" quotePrefix="0" xfId="0">
      <alignment horizontal="right" vertical="center"/>
    </xf>
    <xf numFmtId="0" fontId="27" fillId="5" borderId="1" applyAlignment="1" pivotButton="0" quotePrefix="0" xfId="0">
      <alignment horizontal="left" vertical="center" wrapText="1"/>
    </xf>
    <xf numFmtId="0" fontId="28" fillId="10" borderId="0" applyAlignment="1" pivotButton="0" quotePrefix="0" xfId="0">
      <alignment horizontal="left" vertical="top" wrapText="1"/>
    </xf>
    <xf numFmtId="0" fontId="29" fillId="3" borderId="1" applyAlignment="1" pivotButton="0" quotePrefix="0" xfId="0">
      <alignment horizontal="center" vertical="center" wrapText="1"/>
    </xf>
    <xf numFmtId="0" fontId="30" fillId="3" borderId="1" applyAlignment="1" pivotButton="0" quotePrefix="0" xfId="0">
      <alignment horizontal="center" vertical="center" wrapText="1"/>
    </xf>
    <xf numFmtId="0" fontId="31" fillId="5" borderId="1" applyAlignment="1" pivotButton="0" quotePrefix="0" xfId="0">
      <alignment horizontal="center" vertical="center" wrapText="1"/>
    </xf>
    <xf numFmtId="9" fontId="11" fillId="10" borderId="1" applyAlignment="1" pivotButton="0" quotePrefix="0" xfId="0">
      <alignment horizontal="center" vertical="center" wrapText="1"/>
    </xf>
    <xf numFmtId="0" fontId="32" fillId="0" borderId="1" applyAlignment="1" pivotButton="0" quotePrefix="0" xfId="0">
      <alignment horizontal="left" vertical="top" wrapText="1"/>
    </xf>
    <xf numFmtId="168" fontId="11" fillId="10" borderId="1" applyAlignment="1" pivotButton="0" quotePrefix="0" xfId="0">
      <alignment horizontal="center" vertical="center" wrapText="1"/>
    </xf>
    <xf numFmtId="1" fontId="11" fillId="10" borderId="1" applyAlignment="1" pivotButton="0" quotePrefix="0" xfId="0">
      <alignment horizontal="center" vertical="center" wrapText="1"/>
    </xf>
    <xf numFmtId="3" fontId="20" fillId="0" borderId="1" applyAlignment="1" pivotButton="0" quotePrefix="0" xfId="0">
      <alignment horizontal="right" vertical="center"/>
    </xf>
    <xf numFmtId="169" fontId="20" fillId="0" borderId="1" applyAlignment="1" pivotButton="0" quotePrefix="0" xfId="0">
      <alignment horizontal="right" vertical="center"/>
    </xf>
    <xf numFmtId="170" fontId="11" fillId="10" borderId="1" applyAlignment="1" pivotButton="0" quotePrefix="0" xfId="0">
      <alignment horizontal="center" vertical="center" wrapText="1"/>
    </xf>
    <xf numFmtId="3" fontId="33" fillId="0" borderId="1" applyAlignment="1" pivotButton="0" quotePrefix="0" xfId="0">
      <alignment horizontal="right" vertical="center"/>
    </xf>
    <xf numFmtId="3" fontId="20" fillId="0" borderId="1" applyAlignment="1" pivotButton="0" quotePrefix="0" xfId="0">
      <alignment horizontal="general" vertical="bottom"/>
    </xf>
    <xf numFmtId="169" fontId="20" fillId="0" borderId="1" applyAlignment="1" pivotButton="0" quotePrefix="0" xfId="0">
      <alignment horizontal="general" vertical="bottom"/>
    </xf>
    <xf numFmtId="0" fontId="0" fillId="0" borderId="1" applyAlignment="1" pivotButton="0" quotePrefix="0" xfId="0">
      <alignment horizontal="general" vertical="bottom"/>
    </xf>
    <xf numFmtId="0" fontId="31" fillId="11" borderId="2" applyAlignment="1" pivotButton="0" quotePrefix="0" xfId="0">
      <alignment horizontal="general" vertical="bottom"/>
    </xf>
    <xf numFmtId="0" fontId="25" fillId="5" borderId="1" applyAlignment="1" pivotButton="0" quotePrefix="0" xfId="0">
      <alignment horizontal="center" vertical="center" wrapText="1"/>
    </xf>
    <xf numFmtId="3" fontId="34" fillId="0" borderId="1" applyAlignment="1" pivotButton="0" quotePrefix="0" xfId="0">
      <alignment horizontal="right" vertical="center"/>
    </xf>
    <xf numFmtId="165" fontId="33" fillId="0" borderId="1" applyAlignment="1" pivotButton="0" quotePrefix="0" xfId="0">
      <alignment horizontal="right" vertical="center"/>
    </xf>
    <xf numFmtId="171" fontId="33" fillId="0" borderId="1" applyAlignment="1" pivotButton="0" quotePrefix="0" xfId="0">
      <alignment horizontal="right" vertical="center"/>
    </xf>
    <xf numFmtId="166" fontId="33" fillId="0" borderId="1" applyAlignment="1" pivotButton="0" quotePrefix="0" xfId="0">
      <alignment horizontal="right" vertical="center"/>
    </xf>
    <xf numFmtId="0" fontId="31" fillId="10" borderId="2" applyAlignment="1" pivotButton="0" quotePrefix="0" xfId="0">
      <alignment horizontal="general" vertical="bottom"/>
    </xf>
    <xf numFmtId="0" fontId="31" fillId="12" borderId="2" applyAlignment="1" pivotButton="0" quotePrefix="0" xfId="0">
      <alignment horizontal="general" vertical="bottom"/>
    </xf>
    <xf numFmtId="9" fontId="33" fillId="0" borderId="1" applyAlignment="1" pivotButton="0" quotePrefix="0" xfId="0">
      <alignment horizontal="center" vertical="center" wrapText="1"/>
    </xf>
    <xf numFmtId="168" fontId="33" fillId="0" borderId="1" applyAlignment="1" pivotButton="0" quotePrefix="0" xfId="0">
      <alignment horizontal="center" vertical="center" wrapText="1"/>
    </xf>
    <xf numFmtId="166" fontId="35" fillId="10" borderId="1" applyAlignment="1" pivotButton="0" quotePrefix="0" xfId="0">
      <alignment horizontal="center" vertical="center" wrapText="1"/>
    </xf>
    <xf numFmtId="166" fontId="33" fillId="0" borderId="1" applyAlignment="1" pivotButton="0" quotePrefix="0" xfId="0">
      <alignment horizontal="center" vertical="center" wrapText="1"/>
    </xf>
    <xf numFmtId="0" fontId="36" fillId="0" borderId="1" applyAlignment="1" pivotButton="0" quotePrefix="0" xfId="0">
      <alignment horizontal="left" vertical="top" wrapText="1"/>
    </xf>
    <xf numFmtId="0" fontId="37" fillId="13" borderId="0" applyAlignment="1" pivotButton="0" quotePrefix="0" xfId="0">
      <alignment horizontal="left" vertical="center" wrapText="1"/>
    </xf>
    <xf numFmtId="0" fontId="21" fillId="11" borderId="2" applyAlignment="1" pivotButton="0" quotePrefix="0" xfId="0">
      <alignment horizontal="left" vertical="top" wrapText="1"/>
    </xf>
    <xf numFmtId="0" fontId="21" fillId="10" borderId="2" applyAlignment="1" pivotButton="0" quotePrefix="0" xfId="0">
      <alignment horizontal="left" vertical="top" wrapText="1"/>
    </xf>
    <xf numFmtId="0" fontId="21" fillId="12" borderId="2" applyAlignment="1" pivotButton="0" quotePrefix="0" xfId="0">
      <alignment horizontal="left" vertical="top" wrapText="1"/>
    </xf>
    <xf numFmtId="0" fontId="38" fillId="0" borderId="0" applyAlignment="1" pivotButton="0" quotePrefix="0" xfId="0">
      <alignment horizontal="left" vertical="center" wrapText="1"/>
    </xf>
    <xf numFmtId="3" fontId="0" fillId="0" borderId="1" applyAlignment="1" pivotButton="0" quotePrefix="0" xfId="0">
      <alignment horizontal="right" vertical="center"/>
    </xf>
    <xf numFmtId="172" fontId="11" fillId="0" borderId="1" applyAlignment="1" pivotButton="0" quotePrefix="0" xfId="0">
      <alignment horizontal="right" vertical="center"/>
    </xf>
    <xf numFmtId="0" fontId="25" fillId="10" borderId="1" applyAlignment="1" pivotButton="0" quotePrefix="0" xfId="0">
      <alignment horizontal="left" vertical="center" wrapText="1"/>
    </xf>
    <xf numFmtId="3" fontId="21" fillId="0" borderId="1" applyAlignment="1" pivotButton="0" quotePrefix="0" xfId="0">
      <alignment horizontal="right" vertical="center"/>
    </xf>
    <xf numFmtId="0" fontId="31" fillId="11" borderId="1" applyAlignment="1" pivotButton="0" quotePrefix="0" xfId="0">
      <alignment horizontal="left" vertical="center" wrapText="1"/>
    </xf>
    <xf numFmtId="173" fontId="34" fillId="11" borderId="1" applyAlignment="1" pivotButton="0" quotePrefix="0" xfId="0">
      <alignment horizontal="right" vertical="center"/>
    </xf>
    <xf numFmtId="0" fontId="39" fillId="5" borderId="1" applyAlignment="1" pivotButton="0" quotePrefix="0" xfId="0">
      <alignment horizontal="left" vertical="center" wrapText="1"/>
    </xf>
    <xf numFmtId="173" fontId="34" fillId="0" borderId="1" applyAlignment="1" pivotButton="0" quotePrefix="0" xfId="0">
      <alignment horizontal="right" vertical="center"/>
    </xf>
    <xf numFmtId="170" fontId="21" fillId="0" borderId="1" applyAlignment="1" pivotButton="0" quotePrefix="0" xfId="0">
      <alignment horizontal="right" vertical="center"/>
    </xf>
    <xf numFmtId="0" fontId="26" fillId="5" borderId="1" applyAlignment="1" pivotButton="0" quotePrefix="0" xfId="0">
      <alignment horizontal="general" vertical="bottom"/>
    </xf>
    <xf numFmtId="174" fontId="11" fillId="10" borderId="1" applyAlignment="1" pivotButton="0" quotePrefix="0" xfId="0">
      <alignment horizontal="center" vertical="center" wrapText="1"/>
    </xf>
    <xf numFmtId="0" fontId="25" fillId="5" borderId="1" applyAlignment="1" pivotButton="0" quotePrefix="0" xfId="0">
      <alignment horizontal="general" vertical="bottom"/>
    </xf>
    <xf numFmtId="0" fontId="27" fillId="5" borderId="1" applyAlignment="1" pivotButton="0" quotePrefix="0" xfId="0">
      <alignment horizontal="general" vertical="bottom"/>
    </xf>
    <xf numFmtId="0" fontId="21" fillId="5" borderId="1" applyAlignment="1" pivotButton="0" quotePrefix="0" xfId="0">
      <alignment horizontal="general" vertical="bottom"/>
    </xf>
    <xf numFmtId="0" fontId="39" fillId="11" borderId="1" applyAlignment="1" pivotButton="0" quotePrefix="0" xfId="0">
      <alignment horizontal="general" vertical="bottom"/>
    </xf>
    <xf numFmtId="3" fontId="40" fillId="11" borderId="1" applyAlignment="1" pivotButton="0" quotePrefix="0" xfId="0">
      <alignment horizontal="right" vertical="center"/>
    </xf>
    <xf numFmtId="174" fontId="21" fillId="0" borderId="1" applyAlignment="1" pivotButton="0" quotePrefix="0" xfId="0">
      <alignment horizontal="right" vertical="center"/>
    </xf>
    <xf numFmtId="0" fontId="5" fillId="3" borderId="1" applyAlignment="1" pivotButton="0" quotePrefix="0" xfId="0">
      <alignment horizontal="center" vertical="center" wrapText="1"/>
    </xf>
    <xf numFmtId="0" fontId="39" fillId="11" borderId="2" applyAlignment="1" pivotButton="0" quotePrefix="0" xfId="0">
      <alignment horizontal="general" vertical="bottom"/>
    </xf>
    <xf numFmtId="0" fontId="7" fillId="3" borderId="1" applyAlignment="1" pivotButton="0" quotePrefix="0" xfId="0">
      <alignment horizontal="general" vertical="bottom"/>
    </xf>
    <xf numFmtId="173" fontId="11" fillId="0" borderId="1" applyAlignment="1" pivotButton="0" quotePrefix="0" xfId="0">
      <alignment horizontal="right" vertical="center"/>
    </xf>
    <xf numFmtId="173" fontId="21" fillId="0" borderId="1" applyAlignment="1" pivotButton="0" quotePrefix="0" xfId="0">
      <alignment horizontal="right" vertical="center"/>
    </xf>
    <xf numFmtId="0" fontId="39" fillId="10" borderId="2" applyAlignment="1" pivotButton="0" quotePrefix="0" xfId="0">
      <alignment horizontal="general" vertical="bottom"/>
    </xf>
    <xf numFmtId="0" fontId="39" fillId="10" borderId="1" applyAlignment="1" pivotButton="0" quotePrefix="0" xfId="0">
      <alignment horizontal="general" vertical="bottom"/>
    </xf>
    <xf numFmtId="3" fontId="40" fillId="10" borderId="1" applyAlignment="1" pivotButton="0" quotePrefix="0" xfId="0">
      <alignment horizontal="right" vertical="center"/>
    </xf>
    <xf numFmtId="0" fontId="35" fillId="5" borderId="1" applyAlignment="1" pivotButton="0" quotePrefix="0" xfId="0">
      <alignment horizontal="general" vertical="bottom"/>
    </xf>
    <xf numFmtId="166" fontId="35" fillId="0" borderId="1" applyAlignment="1" pivotButton="0" quotePrefix="0" xfId="0">
      <alignment horizontal="right" vertical="center"/>
    </xf>
    <xf numFmtId="0" fontId="39" fillId="12" borderId="1" applyAlignment="1" pivotButton="0" quotePrefix="0" xfId="0">
      <alignment horizontal="general" vertical="bottom"/>
    </xf>
    <xf numFmtId="3" fontId="40" fillId="12" borderId="1" applyAlignment="1" pivotButton="0" quotePrefix="0" xfId="0">
      <alignment horizontal="right" vertical="center"/>
    </xf>
    <xf numFmtId="0" fontId="41" fillId="2" borderId="0" applyAlignment="1" pivotButton="0" quotePrefix="0" xfId="0">
      <alignment horizontal="left" vertical="center" wrapText="1"/>
    </xf>
    <xf numFmtId="0" fontId="34" fillId="11" borderId="1" applyAlignment="1" pivotButton="0" quotePrefix="0" xfId="0">
      <alignment horizontal="general" vertical="bottom"/>
    </xf>
    <xf numFmtId="173" fontId="11" fillId="10" borderId="1" applyAlignment="1" pivotButton="0" quotePrefix="0" xfId="0">
      <alignment horizontal="right" vertical="center"/>
    </xf>
    <xf numFmtId="0" fontId="43" fillId="5" borderId="1" applyAlignment="1" pivotButton="0" quotePrefix="0" xfId="0">
      <alignment horizontal="general" vertical="bottom"/>
    </xf>
    <xf numFmtId="172" fontId="33" fillId="0" borderId="1" applyAlignment="1" pivotButton="0" quotePrefix="0" xfId="0">
      <alignment horizontal="right" vertical="center"/>
    </xf>
    <xf numFmtId="0" fontId="44" fillId="11" borderId="1" applyAlignment="1" pivotButton="0" quotePrefix="0" xfId="0">
      <alignment horizontal="general" vertical="bottom"/>
    </xf>
    <xf numFmtId="0" fontId="45" fillId="5" borderId="1" applyAlignment="1" pivotButton="0" quotePrefix="0" xfId="0">
      <alignment horizontal="general" vertical="bottom"/>
    </xf>
    <xf numFmtId="174" fontId="33" fillId="0" borderId="1" applyAlignment="1" pivotButton="0" quotePrefix="0" xfId="0">
      <alignment horizontal="right" vertical="center"/>
    </xf>
    <xf numFmtId="0" fontId="44" fillId="11" borderId="0" applyAlignment="1" pivotButton="0" quotePrefix="0" xfId="0">
      <alignment horizontal="general" vertical="bottom"/>
    </xf>
    <xf numFmtId="0" fontId="33" fillId="0" borderId="2" applyAlignment="1" pivotButton="0" quotePrefix="0" xfId="0">
      <alignment horizontal="left" vertical="top" wrapText="1"/>
    </xf>
    <xf numFmtId="0" fontId="5" fillId="13" borderId="0" applyAlignment="1" pivotButton="0" quotePrefix="0" xfId="0">
      <alignment horizontal="general" vertical="bottom"/>
    </xf>
    <xf numFmtId="0" fontId="46" fillId="5" borderId="1" applyAlignment="1" pivotButton="0" quotePrefix="0" xfId="0">
      <alignment horizontal="center" vertical="center" wrapText="1"/>
    </xf>
    <xf numFmtId="0" fontId="47" fillId="5" borderId="1" applyAlignment="1" pivotButton="0" quotePrefix="0" xfId="0">
      <alignment horizontal="general" vertical="bottom"/>
    </xf>
    <xf numFmtId="170" fontId="48" fillId="0" borderId="1" applyAlignment="1" pivotButton="0" quotePrefix="0" xfId="0">
      <alignment horizontal="right" vertical="center"/>
    </xf>
    <xf numFmtId="3" fontId="48" fillId="0" borderId="1" applyAlignment="1" pivotButton="0" quotePrefix="0" xfId="0">
      <alignment horizontal="right" vertical="center"/>
    </xf>
    <xf numFmtId="0" fontId="51" fillId="2" borderId="0" applyAlignment="1" pivotButton="0" quotePrefix="0" xfId="0">
      <alignment horizontal="center" vertical="center" wrapText="1"/>
    </xf>
    <xf numFmtId="0" fontId="39" fillId="12" borderId="1" applyAlignment="1" pivotButton="0" quotePrefix="0" xfId="0">
      <alignment horizontal="left" vertical="center" wrapText="1"/>
    </xf>
    <xf numFmtId="0" fontId="21" fillId="0" borderId="1" applyAlignment="1" pivotButton="0" quotePrefix="0" xfId="0">
      <alignment horizontal="center" vertical="center" wrapText="1"/>
    </xf>
    <xf numFmtId="0" fontId="52" fillId="0" borderId="1" applyAlignment="1" pivotButton="0" quotePrefix="0" xfId="0">
      <alignment horizontal="left" vertical="top" wrapText="1"/>
    </xf>
    <xf numFmtId="0" fontId="39" fillId="10" borderId="1" applyAlignment="1" pivotButton="0" quotePrefix="0" xfId="0">
      <alignment horizontal="left" vertical="center" wrapText="1"/>
    </xf>
    <xf numFmtId="0" fontId="27" fillId="0" borderId="1" applyAlignment="1" pivotButton="0" quotePrefix="0" xfId="0">
      <alignment horizontal="center" vertical="center" wrapText="1"/>
    </xf>
    <xf numFmtId="0" fontId="53" fillId="0" borderId="1" applyAlignment="1" pivotButton="0" quotePrefix="0" xfId="0">
      <alignment horizontal="left" vertical="top" wrapText="1"/>
    </xf>
    <xf numFmtId="0" fontId="12" fillId="0" borderId="1" applyAlignment="1" pivotButton="0" quotePrefix="0" xfId="0">
      <alignment horizontal="left" vertical="top" wrapText="1"/>
    </xf>
    <xf numFmtId="0" fontId="10" fillId="10" borderId="1" applyAlignment="1" pivotButton="0" quotePrefix="0" xfId="0">
      <alignment horizontal="left" vertical="top" wrapText="1"/>
    </xf>
    <xf numFmtId="0" fontId="10" fillId="0" borderId="1" applyAlignment="1" pivotButton="0" quotePrefix="0" xfId="0">
      <alignment horizontal="left" vertical="top" wrapText="1"/>
    </xf>
    <xf numFmtId="0" fontId="10" fillId="5" borderId="1" applyAlignment="1" pivotButton="0" quotePrefix="0" xfId="0">
      <alignment horizontal="left" vertical="top" wrapText="1"/>
    </xf>
    <xf numFmtId="0" fontId="10" fillId="11" borderId="1" applyAlignment="1" pivotButton="0" quotePrefix="0" xfId="0">
      <alignment horizontal="left" vertical="top" wrapText="1"/>
    </xf>
    <xf numFmtId="0" fontId="19" fillId="0" borderId="1" applyAlignment="1" pivotButton="0" quotePrefix="0" xfId="0">
      <alignment horizontal="left" vertical="top" wrapText="1"/>
    </xf>
    <xf numFmtId="0" fontId="19" fillId="0" borderId="1" applyAlignment="1" pivotButton="0" quotePrefix="0" xfId="0">
      <alignment horizontal="center" vertical="center" wrapText="1"/>
    </xf>
    <xf numFmtId="0" fontId="12" fillId="0" borderId="1" applyAlignment="1" pivotButton="0" quotePrefix="0" xfId="0">
      <alignment horizontal="center" vertical="center" wrapText="1"/>
    </xf>
    <xf numFmtId="0" fontId="53" fillId="0" borderId="1" applyAlignment="1" pivotButton="0" quotePrefix="0" xfId="0">
      <alignment horizontal="left" vertical="center" wrapText="1"/>
    </xf>
    <xf numFmtId="0" fontId="19" fillId="0" borderId="1" applyAlignment="1" pivotButton="0" quotePrefix="0" xfId="0">
      <alignment horizontal="left" vertical="center" wrapText="1"/>
    </xf>
    <xf numFmtId="0" fontId="53" fillId="0" borderId="1" applyAlignment="1" pivotButton="0" quotePrefix="0" xfId="0">
      <alignment horizontal="center" vertical="center" wrapText="1"/>
    </xf>
    <xf numFmtId="0" fontId="26"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26" fillId="10" borderId="1" applyAlignment="1" pivotButton="0" quotePrefix="0" xfId="0">
      <alignment horizontal="center" vertical="center" wrapText="1"/>
    </xf>
    <xf numFmtId="0" fontId="21" fillId="10" borderId="1" applyAlignment="1" pivotButton="0" quotePrefix="0" xfId="0">
      <alignment horizontal="center" vertical="center" wrapText="1"/>
    </xf>
    <xf numFmtId="0" fontId="38" fillId="0" borderId="0" applyAlignment="1" pivotButton="0" quotePrefix="0" xfId="0">
      <alignment horizontal="left" vertical="top" wrapText="1"/>
    </xf>
    <xf numFmtId="0" fontId="54" fillId="0" borderId="1" applyAlignment="1" pivotButton="0" quotePrefix="0" xfId="0">
      <alignment horizontal="left" vertical="top" wrapText="1"/>
    </xf>
    <xf numFmtId="0" fontId="55" fillId="0" borderId="1" applyAlignment="1" pivotButton="0" quotePrefix="0" xfId="0">
      <alignment horizontal="left" vertical="top" wrapText="1"/>
    </xf>
    <xf numFmtId="0" fontId="54" fillId="11" borderId="1" applyAlignment="1" pivotButton="0" quotePrefix="0" xfId="0">
      <alignment horizontal="left" vertical="top" wrapText="1"/>
    </xf>
    <xf numFmtId="0" fontId="56" fillId="0" borderId="1" applyAlignment="1" pivotButton="0" quotePrefix="0" xfId="0">
      <alignment horizontal="left" vertical="top" wrapText="1"/>
    </xf>
    <xf numFmtId="0" fontId="54" fillId="10" borderId="1" applyAlignment="1" pivotButton="0" quotePrefix="0" xfId="0">
      <alignment horizontal="left" vertical="top" wrapText="1"/>
    </xf>
    <xf numFmtId="0" fontId="57" fillId="0" borderId="1" applyAlignment="1" pivotButton="0" quotePrefix="0" xfId="0">
      <alignment horizontal="left" vertical="top" wrapText="1"/>
    </xf>
    <xf numFmtId="0" fontId="56" fillId="12" borderId="1" applyAlignment="1" pivotButton="0" quotePrefix="0" xfId="0">
      <alignment horizontal="left" vertical="top" wrapText="1"/>
    </xf>
    <xf numFmtId="0" fontId="54" fillId="12" borderId="1" applyAlignment="1" pivotButton="0" quotePrefix="0" xfId="0">
      <alignment horizontal="left" vertical="top" wrapText="1"/>
    </xf>
    <xf numFmtId="0" fontId="26" fillId="11" borderId="1" applyAlignment="1" pivotButton="0" quotePrefix="0" xfId="0">
      <alignment horizontal="left" vertical="center" wrapText="1"/>
    </xf>
    <xf numFmtId="0" fontId="26" fillId="12" borderId="1" applyAlignment="1" pivotButton="0" quotePrefix="0" xfId="0">
      <alignment horizontal="left" vertical="center" wrapText="1"/>
    </xf>
    <xf numFmtId="0" fontId="26" fillId="10" borderId="1" applyAlignment="1" pivotButton="0" quotePrefix="0" xfId="0">
      <alignment horizontal="left" vertical="center" wrapText="1"/>
    </xf>
    <xf numFmtId="0" fontId="58" fillId="0" borderId="1" applyAlignment="1" pivotButton="0" quotePrefix="0" xfId="0">
      <alignment horizontal="left" vertical="top" wrapText="1"/>
    </xf>
    <xf numFmtId="0" fontId="59" fillId="0" borderId="0" applyAlignment="1" pivotButton="0" quotePrefix="0" xfId="0">
      <alignment horizontal="left" vertical="top" wrapText="1"/>
    </xf>
    <xf numFmtId="0" fontId="25" fillId="11" borderId="1" applyAlignment="1" pivotButton="0" quotePrefix="0" xfId="0">
      <alignment horizontal="center" vertical="center" wrapText="1"/>
    </xf>
    <xf numFmtId="0" fontId="25" fillId="10" borderId="1" applyAlignment="1" pivotButton="0" quotePrefix="0" xfId="0">
      <alignment horizontal="center" vertical="center" wrapText="1"/>
    </xf>
    <xf numFmtId="0" fontId="25" fillId="12" borderId="1" applyAlignment="1" pivotButton="0" quotePrefix="0" xfId="0">
      <alignment horizontal="center" vertical="center" wrapText="1"/>
    </xf>
    <xf numFmtId="0" fontId="31" fillId="11" borderId="1" applyAlignment="1" pivotButton="0" quotePrefix="0" xfId="0">
      <alignment horizontal="left" vertical="top" wrapText="1"/>
    </xf>
    <xf numFmtId="0" fontId="21" fillId="0" borderId="2" applyAlignment="1" pivotButton="0" quotePrefix="0" xfId="0">
      <alignment horizontal="left" vertical="top" wrapText="1"/>
    </xf>
    <xf numFmtId="0" fontId="31" fillId="10" borderId="1" applyAlignment="1" pivotButton="0" quotePrefix="0" xfId="0">
      <alignment horizontal="left" vertical="top" wrapText="1"/>
    </xf>
    <xf numFmtId="0" fontId="31" fillId="12" borderId="1" applyAlignment="1" pivotButton="0" quotePrefix="0" xfId="0">
      <alignment horizontal="left" vertical="top" wrapText="1"/>
    </xf>
    <xf numFmtId="0" fontId="38" fillId="0" borderId="1" applyAlignment="1" pivotButton="0" quotePrefix="0" xfId="0">
      <alignment horizontal="left" vertical="center" wrapText="1"/>
    </xf>
    <xf numFmtId="0" fontId="11" fillId="0" borderId="1" applyAlignment="1" pivotButton="0" quotePrefix="0" xfId="0">
      <alignment horizontal="right" vertical="center"/>
    </xf>
    <xf numFmtId="174" fontId="11" fillId="0" borderId="1" applyAlignment="1" pivotButton="0" quotePrefix="0" xfId="0">
      <alignment horizontal="right" vertical="center"/>
    </xf>
    <xf numFmtId="0" fontId="60" fillId="10" borderId="2" applyAlignment="1" pivotButton="0" quotePrefix="0" xfId="0">
      <alignment horizontal="left" vertical="top" wrapText="1"/>
    </xf>
    <xf numFmtId="0" fontId="31" fillId="5" borderId="1" applyAlignment="1" pivotButton="0" quotePrefix="0" xfId="0">
      <alignment horizontal="left" vertical="top" wrapText="1"/>
    </xf>
    <xf numFmtId="0" fontId="61" fillId="11" borderId="2" applyAlignment="1" pivotButton="0" quotePrefix="0" xfId="0">
      <alignment horizontal="left" vertical="center" wrapText="1"/>
    </xf>
    <xf numFmtId="0" fontId="25" fillId="5" borderId="1" applyAlignment="1" pivotButton="0" quotePrefix="0" xfId="0">
      <alignment horizontal="left" vertical="top" wrapText="1"/>
    </xf>
    <xf numFmtId="0" fontId="25" fillId="0" borderId="2" applyAlignment="1" pivotButton="0" quotePrefix="0" xfId="0">
      <alignment horizontal="left" vertical="top" wrapText="1"/>
    </xf>
    <xf numFmtId="0" fontId="61" fillId="10" borderId="2" applyAlignment="1" pivotButton="0" quotePrefix="0" xfId="0">
      <alignment horizontal="left" vertical="center" wrapText="1"/>
    </xf>
    <xf numFmtId="0" fontId="61" fillId="12" borderId="2" applyAlignment="1" pivotButton="0" quotePrefix="0" xfId="0">
      <alignment horizontal="left" vertical="center" wrapText="1"/>
    </xf>
    <xf numFmtId="0" fontId="62" fillId="10" borderId="2" applyAlignment="1" pivotButton="0" quotePrefix="0" xfId="0">
      <alignment horizontal="center" vertical="center" wrapText="1"/>
    </xf>
    <xf numFmtId="0" fontId="40"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38" fillId="0" borderId="2" applyAlignment="1" pivotButton="0" quotePrefix="0" xfId="0">
      <alignment horizontal="left" vertical="center" wrapText="1"/>
    </xf>
    <xf numFmtId="0" fontId="40" fillId="11" borderId="1" applyAlignment="1" pivotButton="0" quotePrefix="0" xfId="0">
      <alignment horizontal="center" vertical="center" wrapText="1"/>
    </xf>
    <xf numFmtId="0" fontId="40" fillId="12" borderId="1" applyAlignment="1" pivotButton="0" quotePrefix="0" xfId="0">
      <alignment horizontal="center" vertical="center" wrapText="1"/>
    </xf>
    <xf numFmtId="0" fontId="31" fillId="10" borderId="2" applyAlignment="1" pivotButton="0" quotePrefix="0" xfId="0">
      <alignment horizontal="left" vertical="top" wrapText="1"/>
    </xf>
    <xf numFmtId="0" fontId="63" fillId="11" borderId="2" applyAlignment="1" pivotButton="0" quotePrefix="0" xfId="0">
      <alignment horizontal="left" vertical="top" wrapText="1"/>
    </xf>
    <xf numFmtId="0" fontId="25" fillId="11" borderId="2" applyAlignment="1" pivotButton="0" quotePrefix="0" xfId="0">
      <alignment horizontal="center" vertical="center" wrapText="1"/>
    </xf>
    <xf numFmtId="0" fontId="25" fillId="12"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5" borderId="2" applyAlignment="1" pivotButton="0" quotePrefix="0" xfId="0">
      <alignment horizontal="center" vertical="center" wrapText="1"/>
    </xf>
    <xf numFmtId="0" fontId="40" fillId="0" borderId="2" applyAlignment="1" pivotButton="0" quotePrefix="0" xfId="0">
      <alignment horizontal="center" vertical="center" wrapText="1"/>
    </xf>
    <xf numFmtId="0" fontId="38" fillId="0" borderId="2" applyAlignment="1" pivotButton="0" quotePrefix="0" xfId="0">
      <alignment horizontal="left" vertical="top" wrapText="1"/>
    </xf>
    <xf numFmtId="0" fontId="8" fillId="14" borderId="0" applyAlignment="1" pivotButton="0" quotePrefix="0" xfId="0">
      <alignment horizontal="left" vertical="center" wrapText="1"/>
    </xf>
    <xf numFmtId="0" fontId="25" fillId="0" borderId="1" applyAlignment="1" pivotButton="0" quotePrefix="0" xfId="0">
      <alignment horizontal="left" vertical="top" wrapText="1"/>
    </xf>
    <xf numFmtId="0" fontId="12" fillId="11" borderId="1" applyAlignment="1" pivotButton="0" quotePrefix="0" xfId="0">
      <alignment horizontal="left" vertical="top" wrapText="1"/>
    </xf>
    <xf numFmtId="0" fontId="12" fillId="10" borderId="1" applyAlignment="1" pivotButton="0" quotePrefix="0" xfId="0">
      <alignment horizontal="left" vertical="top" wrapText="1"/>
    </xf>
    <xf numFmtId="0" fontId="64" fillId="12" borderId="1" applyAlignment="1" pivotButton="0" quotePrefix="0" xfId="0">
      <alignment horizontal="left" vertical="top" wrapText="1"/>
    </xf>
    <xf numFmtId="0" fontId="8" fillId="15" borderId="0" applyAlignment="1" pivotButton="0" quotePrefix="0" xfId="0">
      <alignment horizontal="left" vertical="center" wrapText="1"/>
    </xf>
    <xf numFmtId="0" fontId="8" fillId="16" borderId="0" applyAlignment="1" pivotButton="0" quotePrefix="0" xfId="0">
      <alignment horizontal="left" vertical="center" wrapText="1"/>
    </xf>
    <xf numFmtId="0" fontId="31" fillId="11" borderId="1" applyAlignment="1" pivotButton="0" quotePrefix="0" xfId="0">
      <alignment horizontal="center" vertical="center" wrapText="1"/>
    </xf>
    <xf numFmtId="0" fontId="65" fillId="11" borderId="1" applyAlignment="1" pivotButton="0" quotePrefix="0" xfId="0">
      <alignment horizontal="center" vertical="center" wrapText="1"/>
    </xf>
    <xf numFmtId="0" fontId="31" fillId="10" borderId="1" applyAlignment="1" pivotButton="0" quotePrefix="0" xfId="0">
      <alignment horizontal="center" vertical="center" wrapText="1"/>
    </xf>
    <xf numFmtId="0" fontId="65" fillId="10" borderId="1" applyAlignment="1" pivotButton="0" quotePrefix="0" xfId="0">
      <alignment horizontal="center" vertical="center" wrapText="1"/>
    </xf>
    <xf numFmtId="0" fontId="31" fillId="12" borderId="1" applyAlignment="1" pivotButton="0" quotePrefix="0" xfId="0">
      <alignment horizontal="center" vertical="center" wrapText="1"/>
    </xf>
    <xf numFmtId="0" fontId="65" fillId="12" borderId="1" applyAlignment="1" pivotButton="0" quotePrefix="0" xfId="0">
      <alignment horizontal="center"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2"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4" borderId="0" applyAlignment="1" pivotButton="0" quotePrefix="0" xfId="0">
      <alignment horizontal="left" vertical="center" wrapText="1"/>
    </xf>
    <xf numFmtId="0" fontId="9" fillId="0" borderId="1" applyAlignment="1" pivotButton="0" quotePrefix="0" xfId="0">
      <alignment horizontal="center" vertical="center" wrapText="1"/>
    </xf>
    <xf numFmtId="0" fontId="10" fillId="5" borderId="1" applyAlignment="1" pivotButton="0" quotePrefix="0" xfId="0">
      <alignment horizontal="left" vertical="center" wrapText="1"/>
    </xf>
    <xf numFmtId="3" fontId="11" fillId="0" borderId="1" applyAlignment="1" pivotButton="0" quotePrefix="0" xfId="0">
      <alignment horizontal="right" vertical="center"/>
    </xf>
    <xf numFmtId="0" fontId="12" fillId="5" borderId="1" applyAlignment="1" pivotButton="0" quotePrefix="0" xfId="0">
      <alignment horizontal="left" vertical="center" wrapText="1"/>
    </xf>
    <xf numFmtId="164" fontId="11" fillId="0" borderId="1" applyAlignment="1" pivotButton="0" quotePrefix="0" xfId="0">
      <alignment horizontal="right" vertical="center"/>
    </xf>
    <xf numFmtId="2" fontId="11" fillId="0" borderId="1" applyAlignment="1" pivotButton="0" quotePrefix="0" xfId="0">
      <alignment horizontal="right" vertical="center"/>
    </xf>
    <xf numFmtId="0" fontId="8" fillId="6" borderId="0" applyAlignment="1" pivotButton="0" quotePrefix="0" xfId="0">
      <alignment horizontal="left" vertical="center" wrapText="1"/>
    </xf>
    <xf numFmtId="0" fontId="0" fillId="0" borderId="1" applyAlignment="1" pivotButton="0" quotePrefix="0" xfId="0">
      <alignment horizontal="right" vertical="center"/>
    </xf>
    <xf numFmtId="0" fontId="8" fillId="7" borderId="0" applyAlignment="1" pivotButton="0" quotePrefix="0" xfId="0">
      <alignment horizontal="left" vertical="center" wrapText="1"/>
    </xf>
    <xf numFmtId="0" fontId="8" fillId="8" borderId="0" applyAlignment="1" pivotButton="0" quotePrefix="0" xfId="0">
      <alignment horizontal="left" vertical="center" wrapText="1"/>
    </xf>
    <xf numFmtId="0" fontId="8" fillId="9" borderId="0" applyAlignment="1" pivotButton="0" quotePrefix="0" xfId="0">
      <alignment horizontal="left" vertical="center" wrapText="1"/>
    </xf>
    <xf numFmtId="0" fontId="13" fillId="2" borderId="0" applyAlignment="1" pivotButton="0" quotePrefix="0" xfId="0">
      <alignment horizontal="center" vertical="center" wrapText="1"/>
    </xf>
    <xf numFmtId="0" fontId="14" fillId="0"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0" borderId="0" applyAlignment="1" pivotButton="0" quotePrefix="0" xfId="0">
      <alignment horizontal="left" vertical="center" wrapText="1"/>
    </xf>
    <xf numFmtId="0" fontId="17" fillId="2"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1" applyAlignment="1" pivotButton="0" quotePrefix="0" xfId="0">
      <alignment horizontal="center" vertical="center" wrapText="1"/>
    </xf>
    <xf numFmtId="0" fontId="19" fillId="5" borderId="1" applyAlignment="1" pivotButton="0" quotePrefix="0" xfId="0">
      <alignment horizontal="left" vertical="center" wrapText="1"/>
    </xf>
    <xf numFmtId="165" fontId="20" fillId="0" borderId="1" applyAlignment="1" pivotButton="0" quotePrefix="0" xfId="0">
      <alignment horizontal="right" vertical="center"/>
    </xf>
    <xf numFmtId="165" fontId="0" fillId="0" borderId="1" applyAlignment="1" pivotButton="0" quotePrefix="0" xfId="0">
      <alignment horizontal="right" vertical="center"/>
    </xf>
    <xf numFmtId="166" fontId="0" fillId="0" borderId="1" applyAlignment="1" pivotButton="0" quotePrefix="0" xfId="0">
      <alignment horizontal="right" vertical="center"/>
    </xf>
    <xf numFmtId="166" fontId="21" fillId="0" borderId="1" applyAlignment="1" pivotButton="0" quotePrefix="0" xfId="0">
      <alignment horizontal="right" vertical="center"/>
    </xf>
    <xf numFmtId="167" fontId="21" fillId="0" borderId="1" applyAlignment="1" pivotButton="0" quotePrefix="0" xfId="0">
      <alignment horizontal="right" vertical="center"/>
    </xf>
    <xf numFmtId="0" fontId="22" fillId="2" borderId="0" applyAlignment="1" pivotButton="0" quotePrefix="0" xfId="0">
      <alignment horizontal="center" vertical="center" wrapText="1"/>
    </xf>
    <xf numFmtId="0" fontId="24" fillId="0" borderId="0" applyAlignment="1" pivotButton="0" quotePrefix="0" xfId="0">
      <alignment horizontal="left" vertical="center" wrapText="1"/>
    </xf>
    <xf numFmtId="0" fontId="25" fillId="5" borderId="1" applyAlignment="1" pivotButton="0" quotePrefix="0" xfId="0">
      <alignment horizontal="left" vertical="center" wrapText="1"/>
    </xf>
    <xf numFmtId="0" fontId="26" fillId="5" borderId="1" applyAlignment="1" pivotButton="0" quotePrefix="0" xfId="0">
      <alignment horizontal="left" vertical="center" wrapText="1"/>
    </xf>
    <xf numFmtId="9" fontId="11" fillId="0" borderId="1" applyAlignment="1" pivotButton="0" quotePrefix="0" xfId="0">
      <alignment horizontal="right" vertical="center"/>
    </xf>
    <xf numFmtId="0" fontId="21" fillId="5" borderId="1" applyAlignment="1" pivotButton="0" quotePrefix="0" xfId="0">
      <alignment horizontal="left" vertical="center" wrapText="1"/>
    </xf>
    <xf numFmtId="1" fontId="11" fillId="0" borderId="1" applyAlignment="1" pivotButton="0" quotePrefix="0" xfId="0">
      <alignment horizontal="right" vertical="center"/>
    </xf>
    <xf numFmtId="0" fontId="27" fillId="5" borderId="1" applyAlignment="1" pivotButton="0" quotePrefix="0" xfId="0">
      <alignment horizontal="left" vertical="center" wrapText="1"/>
    </xf>
    <xf numFmtId="0" fontId="28" fillId="10" borderId="0" applyAlignment="1" pivotButton="0" quotePrefix="0" xfId="0">
      <alignment horizontal="left" vertical="top" wrapText="1"/>
    </xf>
    <xf numFmtId="0" fontId="29" fillId="3" borderId="1" applyAlignment="1" pivotButton="0" quotePrefix="0" xfId="0">
      <alignment horizontal="center" vertical="center" wrapText="1"/>
    </xf>
    <xf numFmtId="0" fontId="30" fillId="3" borderId="1" applyAlignment="1" pivotButton="0" quotePrefix="0" xfId="0">
      <alignment horizontal="center" vertical="center" wrapText="1"/>
    </xf>
    <xf numFmtId="0" fontId="31" fillId="5" borderId="1" applyAlignment="1" pivotButton="0" quotePrefix="0" xfId="0">
      <alignment horizontal="center" vertical="center" wrapText="1"/>
    </xf>
    <xf numFmtId="9" fontId="11" fillId="10" borderId="1" applyAlignment="1" pivotButton="0" quotePrefix="0" xfId="0">
      <alignment horizontal="center" vertical="center" wrapText="1"/>
    </xf>
    <xf numFmtId="0" fontId="32" fillId="0" borderId="1" applyAlignment="1" pivotButton="0" quotePrefix="0" xfId="0">
      <alignment horizontal="left" vertical="top" wrapText="1"/>
    </xf>
    <xf numFmtId="168" fontId="11" fillId="10" borderId="1" applyAlignment="1" pivotButton="0" quotePrefix="0" xfId="0">
      <alignment horizontal="center" vertical="center" wrapText="1"/>
    </xf>
    <xf numFmtId="1" fontId="11" fillId="10" borderId="1" applyAlignment="1" pivotButton="0" quotePrefix="0" xfId="0">
      <alignment horizontal="center" vertical="center" wrapText="1"/>
    </xf>
    <xf numFmtId="3" fontId="20" fillId="0" borderId="1" applyAlignment="1" pivotButton="0" quotePrefix="0" xfId="0">
      <alignment horizontal="right" vertical="center"/>
    </xf>
    <xf numFmtId="169" fontId="20" fillId="0" borderId="1" applyAlignment="1" pivotButton="0" quotePrefix="0" xfId="0">
      <alignment horizontal="right" vertical="center"/>
    </xf>
    <xf numFmtId="170" fontId="11" fillId="10" borderId="1" applyAlignment="1" pivotButton="0" quotePrefix="0" xfId="0">
      <alignment horizontal="center" vertical="center" wrapText="1"/>
    </xf>
    <xf numFmtId="3" fontId="33" fillId="0" borderId="1" applyAlignment="1" pivotButton="0" quotePrefix="0" xfId="0">
      <alignment horizontal="right" vertical="center"/>
    </xf>
    <xf numFmtId="3" fontId="20" fillId="0" borderId="1" applyAlignment="1" pivotButton="0" quotePrefix="0" xfId="0">
      <alignment horizontal="general" vertical="bottom"/>
    </xf>
    <xf numFmtId="169" fontId="20" fillId="0" borderId="1" applyAlignment="1" pivotButton="0" quotePrefix="0" xfId="0">
      <alignment horizontal="general" vertical="bottom"/>
    </xf>
    <xf numFmtId="0" fontId="0" fillId="0" borderId="1" applyAlignment="1" pivotButton="0" quotePrefix="0" xfId="0">
      <alignment horizontal="general" vertical="bottom"/>
    </xf>
    <xf numFmtId="0" fontId="31" fillId="11" borderId="2" applyAlignment="1" pivotButton="0" quotePrefix="0" xfId="0">
      <alignment horizontal="general" vertical="bottom"/>
    </xf>
    <xf numFmtId="0" fontId="0" fillId="0" borderId="4" pivotButton="0" quotePrefix="0" xfId="0"/>
    <xf numFmtId="0" fontId="25" fillId="5" borderId="1" applyAlignment="1" pivotButton="0" quotePrefix="0" xfId="0">
      <alignment horizontal="center" vertical="center" wrapText="1"/>
    </xf>
    <xf numFmtId="3" fontId="34" fillId="0" borderId="1" applyAlignment="1" pivotButton="0" quotePrefix="0" xfId="0">
      <alignment horizontal="right" vertical="center"/>
    </xf>
    <xf numFmtId="165" fontId="33" fillId="0" borderId="1" applyAlignment="1" pivotButton="0" quotePrefix="0" xfId="0">
      <alignment horizontal="right" vertical="center"/>
    </xf>
    <xf numFmtId="171" fontId="33" fillId="0" borderId="1" applyAlignment="1" pivotButton="0" quotePrefix="0" xfId="0">
      <alignment horizontal="right" vertical="center"/>
    </xf>
    <xf numFmtId="166" fontId="33" fillId="0" borderId="1" applyAlignment="1" pivotButton="0" quotePrefix="0" xfId="0">
      <alignment horizontal="right" vertical="center"/>
    </xf>
    <xf numFmtId="0" fontId="31" fillId="10" borderId="2" applyAlignment="1" pivotButton="0" quotePrefix="0" xfId="0">
      <alignment horizontal="general" vertical="bottom"/>
    </xf>
    <xf numFmtId="0" fontId="31" fillId="12" borderId="2" applyAlignment="1" pivotButton="0" quotePrefix="0" xfId="0">
      <alignment horizontal="general" vertical="bottom"/>
    </xf>
    <xf numFmtId="9" fontId="33" fillId="0" borderId="1" applyAlignment="1" pivotButton="0" quotePrefix="0" xfId="0">
      <alignment horizontal="center" vertical="center" wrapText="1"/>
    </xf>
    <xf numFmtId="168" fontId="33" fillId="0" borderId="1" applyAlignment="1" pivotButton="0" quotePrefix="0" xfId="0">
      <alignment horizontal="center" vertical="center" wrapText="1"/>
    </xf>
    <xf numFmtId="166" fontId="35" fillId="10" borderId="1" applyAlignment="1" pivotButton="0" quotePrefix="0" xfId="0">
      <alignment horizontal="center" vertical="center" wrapText="1"/>
    </xf>
    <xf numFmtId="166" fontId="33" fillId="0" borderId="1" applyAlignment="1" pivotButton="0" quotePrefix="0" xfId="0">
      <alignment horizontal="center" vertical="center" wrapText="1"/>
    </xf>
    <xf numFmtId="0" fontId="36" fillId="0" borderId="1" applyAlignment="1" pivotButton="0" quotePrefix="0" xfId="0">
      <alignment horizontal="left" vertical="top" wrapText="1"/>
    </xf>
    <xf numFmtId="0" fontId="37" fillId="13" borderId="0" applyAlignment="1" pivotButton="0" quotePrefix="0" xfId="0">
      <alignment horizontal="left" vertical="center" wrapText="1"/>
    </xf>
    <xf numFmtId="0" fontId="21" fillId="11" borderId="2" applyAlignment="1" pivotButton="0" quotePrefix="0" xfId="0">
      <alignment horizontal="left" vertical="top" wrapText="1"/>
    </xf>
    <xf numFmtId="0" fontId="21" fillId="10" borderId="2" applyAlignment="1" pivotButton="0" quotePrefix="0" xfId="0">
      <alignment horizontal="left" vertical="top" wrapText="1"/>
    </xf>
    <xf numFmtId="0" fontId="21" fillId="12" borderId="2" applyAlignment="1" pivotButton="0" quotePrefix="0" xfId="0">
      <alignment horizontal="left" vertical="top" wrapText="1"/>
    </xf>
    <xf numFmtId="0" fontId="38" fillId="0" borderId="0" applyAlignment="1" pivotButton="0" quotePrefix="0" xfId="0">
      <alignment horizontal="left" vertical="center" wrapText="1"/>
    </xf>
    <xf numFmtId="3" fontId="0" fillId="0" borderId="1" applyAlignment="1" pivotButton="0" quotePrefix="0" xfId="0">
      <alignment horizontal="right" vertical="center"/>
    </xf>
    <xf numFmtId="172" fontId="11" fillId="0" borderId="1" applyAlignment="1" pivotButton="0" quotePrefix="0" xfId="0">
      <alignment horizontal="right" vertical="center"/>
    </xf>
    <xf numFmtId="0" fontId="25" fillId="10" borderId="1" applyAlignment="1" pivotButton="0" quotePrefix="0" xfId="0">
      <alignment horizontal="left" vertical="center" wrapText="1"/>
    </xf>
    <xf numFmtId="3" fontId="21" fillId="0" borderId="1" applyAlignment="1" pivotButton="0" quotePrefix="0" xfId="0">
      <alignment horizontal="right" vertical="center"/>
    </xf>
    <xf numFmtId="0" fontId="31" fillId="11" borderId="1" applyAlignment="1" pivotButton="0" quotePrefix="0" xfId="0">
      <alignment horizontal="left" vertical="center" wrapText="1"/>
    </xf>
    <xf numFmtId="173" fontId="34" fillId="11" borderId="1" applyAlignment="1" pivotButton="0" quotePrefix="0" xfId="0">
      <alignment horizontal="right" vertical="center"/>
    </xf>
    <xf numFmtId="0" fontId="39" fillId="5" borderId="1" applyAlignment="1" pivotButton="0" quotePrefix="0" xfId="0">
      <alignment horizontal="left" vertical="center" wrapText="1"/>
    </xf>
    <xf numFmtId="173" fontId="34" fillId="0" borderId="1" applyAlignment="1" pivotButton="0" quotePrefix="0" xfId="0">
      <alignment horizontal="right" vertical="center"/>
    </xf>
    <xf numFmtId="170" fontId="21" fillId="0" borderId="1" applyAlignment="1" pivotButton="0" quotePrefix="0" xfId="0">
      <alignment horizontal="right" vertical="center"/>
    </xf>
    <xf numFmtId="0" fontId="26" fillId="5" borderId="1" applyAlignment="1" pivotButton="0" quotePrefix="0" xfId="0">
      <alignment horizontal="general" vertical="bottom"/>
    </xf>
    <xf numFmtId="174" fontId="11" fillId="10" borderId="1" applyAlignment="1" pivotButton="0" quotePrefix="0" xfId="0">
      <alignment horizontal="center" vertical="center" wrapText="1"/>
    </xf>
    <xf numFmtId="0" fontId="25" fillId="5" borderId="1" applyAlignment="1" pivotButton="0" quotePrefix="0" xfId="0">
      <alignment horizontal="general" vertical="bottom"/>
    </xf>
    <xf numFmtId="0" fontId="27" fillId="5" borderId="1" applyAlignment="1" pivotButton="0" quotePrefix="0" xfId="0">
      <alignment horizontal="general" vertical="bottom"/>
    </xf>
    <xf numFmtId="0" fontId="21" fillId="5" borderId="1" applyAlignment="1" pivotButton="0" quotePrefix="0" xfId="0">
      <alignment horizontal="general" vertical="bottom"/>
    </xf>
    <xf numFmtId="0" fontId="39" fillId="11" borderId="1" applyAlignment="1" pivotButton="0" quotePrefix="0" xfId="0">
      <alignment horizontal="general" vertical="bottom"/>
    </xf>
    <xf numFmtId="3" fontId="40" fillId="11" borderId="1" applyAlignment="1" pivotButton="0" quotePrefix="0" xfId="0">
      <alignment horizontal="right" vertical="center"/>
    </xf>
    <xf numFmtId="174" fontId="21" fillId="0" borderId="1" applyAlignment="1" pivotButton="0" quotePrefix="0" xfId="0">
      <alignment horizontal="right" vertical="center"/>
    </xf>
    <xf numFmtId="0" fontId="5" fillId="3" borderId="1" applyAlignment="1" pivotButton="0" quotePrefix="0" xfId="0">
      <alignment horizontal="center" vertical="center" wrapText="1"/>
    </xf>
    <xf numFmtId="0" fontId="39" fillId="11" borderId="2" applyAlignment="1" pivotButton="0" quotePrefix="0" xfId="0">
      <alignment horizontal="general" vertical="bottom"/>
    </xf>
    <xf numFmtId="0" fontId="7" fillId="3" borderId="1" applyAlignment="1" pivotButton="0" quotePrefix="0" xfId="0">
      <alignment horizontal="general" vertical="bottom"/>
    </xf>
    <xf numFmtId="173" fontId="11" fillId="0" borderId="1" applyAlignment="1" pivotButton="0" quotePrefix="0" xfId="0">
      <alignment horizontal="right" vertical="center"/>
    </xf>
    <xf numFmtId="173" fontId="21" fillId="0" borderId="1" applyAlignment="1" pivotButton="0" quotePrefix="0" xfId="0">
      <alignment horizontal="right" vertical="center"/>
    </xf>
    <xf numFmtId="0" fontId="39" fillId="10" borderId="2" applyAlignment="1" pivotButton="0" quotePrefix="0" xfId="0">
      <alignment horizontal="general" vertical="bottom"/>
    </xf>
    <xf numFmtId="0" fontId="39" fillId="10" borderId="1" applyAlignment="1" pivotButton="0" quotePrefix="0" xfId="0">
      <alignment horizontal="general" vertical="bottom"/>
    </xf>
    <xf numFmtId="3" fontId="40" fillId="10" borderId="1" applyAlignment="1" pivotButton="0" quotePrefix="0" xfId="0">
      <alignment horizontal="right" vertical="center"/>
    </xf>
    <xf numFmtId="0" fontId="35" fillId="5" borderId="1" applyAlignment="1" pivotButton="0" quotePrefix="0" xfId="0">
      <alignment horizontal="general" vertical="bottom"/>
    </xf>
    <xf numFmtId="166" fontId="35" fillId="0" borderId="1" applyAlignment="1" pivotButton="0" quotePrefix="0" xfId="0">
      <alignment horizontal="right" vertical="center"/>
    </xf>
    <xf numFmtId="0" fontId="39" fillId="12" borderId="1" applyAlignment="1" pivotButton="0" quotePrefix="0" xfId="0">
      <alignment horizontal="general" vertical="bottom"/>
    </xf>
    <xf numFmtId="3" fontId="40" fillId="12" borderId="1" applyAlignment="1" pivotButton="0" quotePrefix="0" xfId="0">
      <alignment horizontal="right" vertical="center"/>
    </xf>
    <xf numFmtId="0" fontId="41" fillId="2" borderId="0" applyAlignment="1" pivotButton="0" quotePrefix="0" xfId="0">
      <alignment horizontal="left" vertical="center" wrapText="1"/>
    </xf>
    <xf numFmtId="0" fontId="34" fillId="11" borderId="1" applyAlignment="1" pivotButton="0" quotePrefix="0" xfId="0">
      <alignment horizontal="general" vertical="bottom"/>
    </xf>
    <xf numFmtId="173" fontId="11" fillId="10" borderId="1" applyAlignment="1" pivotButton="0" quotePrefix="0" xfId="0">
      <alignment horizontal="right" vertical="center"/>
    </xf>
    <xf numFmtId="0" fontId="43" fillId="5" borderId="1" applyAlignment="1" pivotButton="0" quotePrefix="0" xfId="0">
      <alignment horizontal="general" vertical="bottom"/>
    </xf>
    <xf numFmtId="172" fontId="33" fillId="0" borderId="1" applyAlignment="1" pivotButton="0" quotePrefix="0" xfId="0">
      <alignment horizontal="right" vertical="center"/>
    </xf>
    <xf numFmtId="0" fontId="44" fillId="11" borderId="1" applyAlignment="1" pivotButton="0" quotePrefix="0" xfId="0">
      <alignment horizontal="general" vertical="bottom"/>
    </xf>
    <xf numFmtId="0" fontId="45" fillId="5" borderId="1" applyAlignment="1" pivotButton="0" quotePrefix="0" xfId="0">
      <alignment horizontal="general" vertical="bottom"/>
    </xf>
    <xf numFmtId="174" fontId="33" fillId="0" borderId="1" applyAlignment="1" pivotButton="0" quotePrefix="0" xfId="0">
      <alignment horizontal="right" vertical="center"/>
    </xf>
    <xf numFmtId="0" fontId="44" fillId="11" borderId="0" applyAlignment="1" pivotButton="0" quotePrefix="0" xfId="0">
      <alignment horizontal="general" vertical="bottom"/>
    </xf>
    <xf numFmtId="0" fontId="33" fillId="0" borderId="2" applyAlignment="1" pivotButton="0" quotePrefix="0" xfId="0">
      <alignment horizontal="left" vertical="top" wrapText="1"/>
    </xf>
    <xf numFmtId="0" fontId="66" fillId="17" borderId="0" applyAlignment="1" pivotButton="0" quotePrefix="0" xfId="0">
      <alignment horizontal="center" vertical="center" wrapText="1"/>
    </xf>
    <xf numFmtId="0" fontId="67" fillId="18" borderId="0" pivotButton="0" quotePrefix="0" xfId="0"/>
    <xf numFmtId="0" fontId="0" fillId="0" borderId="7" pivotButton="0" quotePrefix="0" xfId="0"/>
    <xf numFmtId="0" fontId="68" fillId="19" borderId="7" applyAlignment="1" pivotButton="0" quotePrefix="0" xfId="0">
      <alignment horizontal="center" vertical="center" wrapText="1"/>
    </xf>
    <xf numFmtId="0" fontId="69" fillId="19" borderId="7" pivotButton="0" quotePrefix="0" xfId="0"/>
    <xf numFmtId="170" fontId="70" fillId="0" borderId="7" applyAlignment="1" pivotButton="0" quotePrefix="0" xfId="0">
      <alignment horizontal="right" vertical="center"/>
    </xf>
    <xf numFmtId="3" fontId="70" fillId="0" borderId="7" applyAlignment="1" pivotButton="0" quotePrefix="0" xfId="0">
      <alignment horizontal="right" vertical="center"/>
    </xf>
    <xf numFmtId="0" fontId="71" fillId="17" borderId="0" applyAlignment="1" pivotButton="0" quotePrefix="0" xfId="0">
      <alignment horizontal="center" vertical="center" wrapText="1"/>
    </xf>
    <xf numFmtId="0" fontId="72" fillId="17" borderId="0" applyAlignment="1" pivotButton="0" quotePrefix="0" xfId="0">
      <alignment horizontal="left" vertical="center" wrapText="1"/>
    </xf>
    <xf numFmtId="0" fontId="67" fillId="20" borderId="7" applyAlignment="1" pivotButton="0" quotePrefix="0" xfId="0">
      <alignment horizontal="center" vertical="center" wrapText="1"/>
    </xf>
    <xf numFmtId="0" fontId="73" fillId="19" borderId="7" pivotButton="0" quotePrefix="0" xfId="0"/>
    <xf numFmtId="0" fontId="74" fillId="0" borderId="7" applyAlignment="1" pivotButton="0" quotePrefix="0" xfId="0">
      <alignment horizontal="center" vertical="center" wrapText="1"/>
    </xf>
    <xf numFmtId="0" fontId="67" fillId="20" borderId="7" pivotButton="0" quotePrefix="0" xfId="0"/>
    <xf numFmtId="3" fontId="75" fillId="0" borderId="7" applyAlignment="1" pivotButton="0" quotePrefix="0" xfId="0">
      <alignment horizontal="right" vertical="center"/>
    </xf>
    <xf numFmtId="0" fontId="74" fillId="21" borderId="7" applyAlignment="1" pivotButton="0" quotePrefix="0" xfId="0">
      <alignment horizontal="center" vertical="center" wrapText="1"/>
    </xf>
    <xf numFmtId="0" fontId="76" fillId="22" borderId="7" applyAlignment="1" pivotButton="0" quotePrefix="0" xfId="0">
      <alignment horizontal="center" vertical="center" wrapText="1"/>
    </xf>
    <xf numFmtId="0" fontId="73" fillId="19" borderId="7" applyAlignment="1" pivotButton="0" quotePrefix="0" xfId="0">
      <alignment horizontal="left" vertical="top" wrapText="1"/>
    </xf>
    <xf numFmtId="0" fontId="77" fillId="0" borderId="7" applyAlignment="1" pivotButton="0" quotePrefix="0" xfId="0">
      <alignment horizontal="left" vertical="top" wrapText="1"/>
    </xf>
    <xf numFmtId="0" fontId="78" fillId="0" borderId="7" applyAlignment="1" pivotButton="0" quotePrefix="0" xfId="0">
      <alignment horizontal="left" vertical="top" wrapText="1"/>
    </xf>
    <xf numFmtId="0" fontId="73" fillId="23" borderId="7" applyAlignment="1" pivotButton="0" quotePrefix="0" xfId="0">
      <alignment horizontal="center" vertical="center" wrapText="1"/>
    </xf>
    <xf numFmtId="0" fontId="73" fillId="21" borderId="7" applyAlignment="1" pivotButton="0" quotePrefix="0" xfId="0">
      <alignment horizontal="center" vertical="center" wrapText="1"/>
    </xf>
    <xf numFmtId="0" fontId="79" fillId="23" borderId="7" applyAlignment="1" pivotButton="0" quotePrefix="0" xfId="0">
      <alignment horizontal="left" vertical="top" wrapText="1"/>
    </xf>
    <xf numFmtId="0" fontId="59" fillId="0" borderId="0" applyAlignment="1" pivotButton="0" quotePrefix="0" xfId="0">
      <alignment horizontal="left" vertical="top" wrapText="1"/>
    </xf>
    <xf numFmtId="0" fontId="21" fillId="0" borderId="1" applyAlignment="1" pivotButton="0" quotePrefix="0" xfId="0">
      <alignment horizontal="center" vertical="center" wrapText="1"/>
    </xf>
    <xf numFmtId="0" fontId="25" fillId="11" borderId="1" applyAlignment="1" pivotButton="0" quotePrefix="0" xfId="0">
      <alignment horizontal="center" vertical="center" wrapText="1"/>
    </xf>
    <xf numFmtId="0" fontId="52" fillId="0" borderId="1" applyAlignment="1" pivotButton="0" quotePrefix="0" xfId="0">
      <alignment horizontal="left" vertical="top" wrapText="1"/>
    </xf>
    <xf numFmtId="0" fontId="25" fillId="10" borderId="1" applyAlignment="1" pivotButton="0" quotePrefix="0" xfId="0">
      <alignment horizontal="center" vertical="center" wrapText="1"/>
    </xf>
    <xf numFmtId="0" fontId="25" fillId="12" borderId="1" applyAlignment="1" pivotButton="0" quotePrefix="0" xfId="0">
      <alignment horizontal="center" vertical="center" wrapText="1"/>
    </xf>
    <xf numFmtId="0" fontId="31" fillId="11" borderId="1" applyAlignment="1" pivotButton="0" quotePrefix="0" xfId="0">
      <alignment horizontal="left" vertical="top" wrapText="1"/>
    </xf>
    <xf numFmtId="0" fontId="21" fillId="0" borderId="2" applyAlignment="1" pivotButton="0" quotePrefix="0" xfId="0">
      <alignment horizontal="left" vertical="top" wrapText="1"/>
    </xf>
    <xf numFmtId="0" fontId="31" fillId="10" borderId="1" applyAlignment="1" pivotButton="0" quotePrefix="0" xfId="0">
      <alignment horizontal="left" vertical="top" wrapText="1"/>
    </xf>
    <xf numFmtId="0" fontId="31" fillId="12" borderId="1" applyAlignment="1" pivotButton="0" quotePrefix="0" xfId="0">
      <alignment horizontal="left" vertical="top" wrapText="1"/>
    </xf>
    <xf numFmtId="0" fontId="38" fillId="0" borderId="1" applyAlignment="1" pivotButton="0" quotePrefix="0" xfId="0">
      <alignment horizontal="left" vertical="center" wrapText="1"/>
    </xf>
    <xf numFmtId="0" fontId="11" fillId="0" borderId="1" applyAlignment="1" pivotButton="0" quotePrefix="0" xfId="0">
      <alignment horizontal="right" vertical="center"/>
    </xf>
    <xf numFmtId="174" fontId="11" fillId="0" borderId="1" applyAlignment="1" pivotButton="0" quotePrefix="0" xfId="0">
      <alignment horizontal="right" vertical="center"/>
    </xf>
    <xf numFmtId="0" fontId="60" fillId="10" borderId="2" applyAlignment="1" pivotButton="0" quotePrefix="0" xfId="0">
      <alignment horizontal="left" vertical="top" wrapText="1"/>
    </xf>
    <xf numFmtId="0" fontId="31" fillId="5" borderId="1" applyAlignment="1" pivotButton="0" quotePrefix="0" xfId="0">
      <alignment horizontal="left" vertical="top" wrapText="1"/>
    </xf>
    <xf numFmtId="0" fontId="61" fillId="11" borderId="2" applyAlignment="1" pivotButton="0" quotePrefix="0" xfId="0">
      <alignment horizontal="left" vertical="center" wrapText="1"/>
    </xf>
    <xf numFmtId="0" fontId="25" fillId="5" borderId="1" applyAlignment="1" pivotButton="0" quotePrefix="0" xfId="0">
      <alignment horizontal="left" vertical="top" wrapText="1"/>
    </xf>
    <xf numFmtId="0" fontId="25" fillId="0" borderId="2" applyAlignment="1" pivotButton="0" quotePrefix="0" xfId="0">
      <alignment horizontal="left" vertical="top" wrapText="1"/>
    </xf>
    <xf numFmtId="0" fontId="61" fillId="10" borderId="2" applyAlignment="1" pivotButton="0" quotePrefix="0" xfId="0">
      <alignment horizontal="left" vertical="center" wrapText="1"/>
    </xf>
    <xf numFmtId="0" fontId="61" fillId="12" borderId="2" applyAlignment="1" pivotButton="0" quotePrefix="0" xfId="0">
      <alignment horizontal="left" vertical="center" wrapText="1"/>
    </xf>
    <xf numFmtId="0" fontId="62" fillId="10" borderId="2" applyAlignment="1" pivotButton="0" quotePrefix="0" xfId="0">
      <alignment horizontal="center" vertical="center" wrapText="1"/>
    </xf>
    <xf numFmtId="0" fontId="40" fillId="0" borderId="1" applyAlignment="1" pivotButton="0" quotePrefix="0" xfId="0">
      <alignment horizontal="center" vertical="center" wrapText="1"/>
    </xf>
    <xf numFmtId="0" fontId="21" fillId="0" borderId="2" applyAlignment="1" pivotButton="0" quotePrefix="0" xfId="0">
      <alignment horizontal="left" vertical="center" wrapText="1"/>
    </xf>
    <xf numFmtId="0" fontId="38" fillId="0" borderId="2" applyAlignment="1" pivotButton="0" quotePrefix="0" xfId="0">
      <alignment horizontal="left" vertical="center" wrapText="1"/>
    </xf>
    <xf numFmtId="0" fontId="40" fillId="11" borderId="1" applyAlignment="1" pivotButton="0" quotePrefix="0" xfId="0">
      <alignment horizontal="center" vertical="center" wrapText="1"/>
    </xf>
    <xf numFmtId="0" fontId="40" fillId="12" borderId="1" applyAlignment="1" pivotButton="0" quotePrefix="0" xfId="0">
      <alignment horizontal="center" vertical="center" wrapText="1"/>
    </xf>
    <xf numFmtId="0" fontId="31" fillId="10" borderId="2" applyAlignment="1" pivotButton="0" quotePrefix="0" xfId="0">
      <alignment horizontal="left" vertical="top" wrapText="1"/>
    </xf>
    <xf numFmtId="0" fontId="63" fillId="11" borderId="2" applyAlignment="1" pivotButton="0" quotePrefix="0" xfId="0">
      <alignment horizontal="left" vertical="top" wrapText="1"/>
    </xf>
    <xf numFmtId="0" fontId="25" fillId="11" borderId="2" applyAlignment="1" pivotButton="0" quotePrefix="0" xfId="0">
      <alignment horizontal="center" vertical="center" wrapText="1"/>
    </xf>
    <xf numFmtId="0" fontId="25" fillId="12"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5" borderId="2" applyAlignment="1" pivotButton="0" quotePrefix="0" xfId="0">
      <alignment horizontal="center" vertical="center" wrapText="1"/>
    </xf>
    <xf numFmtId="0" fontId="40" fillId="0" borderId="2" applyAlignment="1" pivotButton="0" quotePrefix="0" xfId="0">
      <alignment horizontal="center" vertical="center" wrapText="1"/>
    </xf>
    <xf numFmtId="0" fontId="38" fillId="0" borderId="2" applyAlignment="1" pivotButton="0" quotePrefix="0" xfId="0">
      <alignment horizontal="left" vertical="top" wrapText="1"/>
    </xf>
    <xf numFmtId="0" fontId="8" fillId="14" borderId="0" applyAlignment="1" pivotButton="0" quotePrefix="0" xfId="0">
      <alignment horizontal="left" vertical="center" wrapText="1"/>
    </xf>
    <xf numFmtId="0" fontId="25" fillId="0" borderId="1" applyAlignment="1" pivotButton="0" quotePrefix="0" xfId="0">
      <alignment horizontal="left" vertical="top" wrapText="1"/>
    </xf>
    <xf numFmtId="0" fontId="12" fillId="11" borderId="1" applyAlignment="1" pivotButton="0" quotePrefix="0" xfId="0">
      <alignment horizontal="left" vertical="top" wrapText="1"/>
    </xf>
    <xf numFmtId="0" fontId="12" fillId="10" borderId="1" applyAlignment="1" pivotButton="0" quotePrefix="0" xfId="0">
      <alignment horizontal="left" vertical="top" wrapText="1"/>
    </xf>
    <xf numFmtId="0" fontId="64" fillId="12" borderId="1" applyAlignment="1" pivotButton="0" quotePrefix="0" xfId="0">
      <alignment horizontal="left" vertical="top" wrapText="1"/>
    </xf>
    <xf numFmtId="0" fontId="8" fillId="15" borderId="0" applyAlignment="1" pivotButton="0" quotePrefix="0" xfId="0">
      <alignment horizontal="left" vertical="center" wrapText="1"/>
    </xf>
    <xf numFmtId="0" fontId="8" fillId="16" borderId="0" applyAlignment="1" pivotButton="0" quotePrefix="0" xfId="0">
      <alignment horizontal="left" vertical="center" wrapText="1"/>
    </xf>
    <xf numFmtId="0" fontId="31" fillId="11" borderId="1" applyAlignment="1" pivotButton="0" quotePrefix="0" xfId="0">
      <alignment horizontal="center" vertical="center" wrapText="1"/>
    </xf>
    <xf numFmtId="0" fontId="65" fillId="11" borderId="1" applyAlignment="1" pivotButton="0" quotePrefix="0" xfId="0">
      <alignment horizontal="center" vertical="center" wrapText="1"/>
    </xf>
    <xf numFmtId="0" fontId="31" fillId="10" borderId="1" applyAlignment="1" pivotButton="0" quotePrefix="0" xfId="0">
      <alignment horizontal="center" vertical="center" wrapText="1"/>
    </xf>
    <xf numFmtId="0" fontId="65" fillId="10" borderId="1" applyAlignment="1" pivotButton="0" quotePrefix="0" xfId="0">
      <alignment horizontal="center" vertical="center" wrapText="1"/>
    </xf>
    <xf numFmtId="0" fontId="31" fillId="12" borderId="1" applyAlignment="1" pivotButton="0" quotePrefix="0" xfId="0">
      <alignment horizontal="center" vertical="center" wrapText="1"/>
    </xf>
    <xf numFmtId="0" fontId="65" fillId="12" borderId="1" applyAlignment="1" pivotButton="0" quotePrefix="0" xfId="0">
      <alignment horizontal="center" vertical="center" wrapText="1"/>
    </xf>
    <xf numFmtId="0" fontId="80" fillId="17" borderId="0" applyAlignment="1" pivotButton="0" quotePrefix="0" xfId="0">
      <alignment horizontal="left" vertical="center" wrapText="1"/>
    </xf>
    <xf numFmtId="0" fontId="81" fillId="20" borderId="7" applyAlignment="1" pivotButton="0" quotePrefix="0" xfId="0">
      <alignment horizontal="center" vertical="center" wrapText="1"/>
    </xf>
    <xf numFmtId="0" fontId="73" fillId="21" borderId="7" pivotButton="0" quotePrefix="0" xfId="0"/>
    <xf numFmtId="175" fontId="74" fillId="0" borderId="7" applyAlignment="1" pivotButton="0" quotePrefix="0" xfId="0">
      <alignment horizontal="center" vertical="center" wrapText="1"/>
    </xf>
    <xf numFmtId="176" fontId="74" fillId="0" borderId="7" applyAlignment="1" pivotButton="0" quotePrefix="0" xfId="0">
      <alignment horizontal="center" vertical="center" wrapText="1"/>
    </xf>
    <xf numFmtId="3" fontId="82" fillId="21" borderId="7" applyAlignment="1" pivotButton="0" quotePrefix="0" xfId="0">
      <alignment horizontal="center" vertical="center" wrapText="1"/>
    </xf>
    <xf numFmtId="177" fontId="83" fillId="0" borderId="7" applyAlignment="1" pivotButton="0" quotePrefix="0" xfId="0">
      <alignment horizontal="center" vertical="center" wrapText="1"/>
    </xf>
    <xf numFmtId="0" fontId="73" fillId="23" borderId="7" pivotButton="0" quotePrefix="0" xfId="0"/>
    <xf numFmtId="3" fontId="82" fillId="23" borderId="7" applyAlignment="1" pivotButton="0" quotePrefix="0" xfId="0">
      <alignment horizontal="center" vertical="center" wrapText="1"/>
    </xf>
    <xf numFmtId="177" fontId="79" fillId="0" borderId="7" applyAlignment="1" pivotButton="0" quotePrefix="0" xfId="0">
      <alignment horizontal="center" vertical="center" wrapText="1"/>
    </xf>
    <xf numFmtId="0" fontId="73" fillId="22" borderId="7" applyAlignment="1" pivotButton="0" quotePrefix="0" xfId="0">
      <alignment horizontal="center" vertical="center" wrapText="1"/>
    </xf>
    <xf numFmtId="0" fontId="73" fillId="22" borderId="7" pivotButton="0" quotePrefix="0" xfId="0"/>
    <xf numFmtId="3" fontId="82" fillId="22" borderId="7" applyAlignment="1" pivotButton="0" quotePrefix="0" xfId="0">
      <alignment horizontal="center" vertical="center" wrapText="1"/>
    </xf>
    <xf numFmtId="0" fontId="82" fillId="23" borderId="7" pivotButton="0" quotePrefix="0" xfId="0"/>
    <xf numFmtId="3" fontId="84" fillId="23" borderId="7" applyAlignment="1" pivotButton="0" quotePrefix="0" xfId="0">
      <alignment horizontal="center" vertical="center" wrapText="1"/>
    </xf>
    <xf numFmtId="177" fontId="85" fillId="23" borderId="7" applyAlignment="1" pivotButton="0" quotePrefix="0" xfId="0">
      <alignment horizontal="center" vertical="center" wrapText="1"/>
    </xf>
    <xf numFmtId="0" fontId="86" fillId="23" borderId="7" applyAlignment="1" pivotButton="0" quotePrefix="0" xfId="0">
      <alignment horizontal="left" vertical="top" wrapText="1"/>
    </xf>
    <xf numFmtId="0" fontId="0" fillId="0" borderId="10" pivotButton="0" quotePrefix="0" xfId="0"/>
    <xf numFmtId="0" fontId="0" fillId="0" borderId="11" pivotButton="0" quotePrefix="0" xfId="0"/>
    <xf numFmtId="0" fontId="87" fillId="0" borderId="0" applyAlignment="1" pivotButton="0" quotePrefix="0" xfId="0">
      <alignment horizontal="left" vertical="top" wrapText="1"/>
    </xf>
    <xf numFmtId="0" fontId="72" fillId="20" borderId="0" applyAlignment="1" pivotButton="0" quotePrefix="0" xfId="0">
      <alignment horizontal="left" vertical="center" wrapText="1"/>
    </xf>
    <xf numFmtId="0" fontId="88" fillId="0" borderId="7" applyAlignment="1" pivotButton="0" quotePrefix="0" xfId="0">
      <alignment horizontal="left" vertical="top" wrapText="1"/>
    </xf>
    <xf numFmtId="0" fontId="86" fillId="22" borderId="7" applyAlignment="1" pivotButton="0" quotePrefix="0" xfId="0">
      <alignment horizontal="left" vertical="top" wrapText="1"/>
    </xf>
    <xf numFmtId="0" fontId="86" fillId="21" borderId="7" applyAlignment="1" pivotButton="0" quotePrefix="0" xfId="0">
      <alignment horizontal="left" vertical="top" wrapText="1"/>
    </xf>
    <xf numFmtId="0" fontId="86" fillId="19" borderId="7" applyAlignment="1" pivotButton="0" quotePrefix="0" xfId="0">
      <alignment horizontal="center" vertical="center" wrapText="1"/>
    </xf>
    <xf numFmtId="3" fontId="74" fillId="0" borderId="7" applyAlignment="1" pivotButton="0" quotePrefix="0" xfId="0">
      <alignment horizontal="center" vertical="center" wrapText="1"/>
    </xf>
    <xf numFmtId="9" fontId="76" fillId="0" borderId="7" applyAlignment="1" pivotButton="0" quotePrefix="0" xfId="0">
      <alignment horizontal="center" vertical="center" wrapText="1"/>
    </xf>
    <xf numFmtId="178" fontId="74" fillId="0" borderId="7" applyAlignment="1" pivotButton="0" quotePrefix="0" xfId="0">
      <alignment horizontal="center" vertical="center" wrapText="1"/>
    </xf>
    <xf numFmtId="9" fontId="74" fillId="21" borderId="7" applyAlignment="1" pivotButton="0" quotePrefix="0" xfId="0">
      <alignment horizontal="center" vertical="center" wrapText="1"/>
    </xf>
    <xf numFmtId="177" fontId="79" fillId="23" borderId="7" applyAlignment="1" pivotButton="0" quotePrefix="0" xfId="0">
      <alignment horizontal="center" vertical="center" wrapText="1"/>
    </xf>
    <xf numFmtId="0" fontId="78" fillId="0" borderId="7" applyAlignment="1" pivotButton="0" quotePrefix="0" xfId="0">
      <alignment horizontal="center" vertical="center" wrapText="1"/>
    </xf>
    <xf numFmtId="0" fontId="89" fillId="0" borderId="7" applyAlignment="1" pivotButton="0" quotePrefix="0" xfId="0">
      <alignment horizontal="left" vertical="top" wrapText="1"/>
    </xf>
    <xf numFmtId="177" fontId="79" fillId="22" borderId="7" applyAlignment="1" pivotButton="0" quotePrefix="0" xfId="0">
      <alignment horizontal="center" vertical="center" wrapText="1"/>
    </xf>
    <xf numFmtId="9" fontId="74" fillId="23" borderId="7" applyAlignment="1" pivotButton="0" quotePrefix="0" xfId="0">
      <alignment horizontal="center" vertical="center" wrapText="1"/>
    </xf>
    <xf numFmtId="9" fontId="74" fillId="22" borderId="7" applyAlignment="1" pivotButton="0" quotePrefix="0" xfId="0">
      <alignment horizontal="center" vertical="center" wrapText="1"/>
    </xf>
    <xf numFmtId="0" fontId="74" fillId="0" borderId="7" applyAlignment="1" pivotButton="0" quotePrefix="0" xfId="0">
      <alignment horizontal="left" vertical="center" wrapText="1"/>
    </xf>
    <xf numFmtId="0" fontId="76" fillId="22" borderId="7" applyAlignment="1" pivotButton="0" quotePrefix="0" xfId="0">
      <alignment horizontal="left" vertical="center" wrapText="1"/>
    </xf>
    <xf numFmtId="0" fontId="74" fillId="21" borderId="7" applyAlignment="1" pivotButton="0" quotePrefix="0" xfId="0">
      <alignment horizontal="left" vertical="center" wrapText="1"/>
    </xf>
    <xf numFmtId="0" fontId="74" fillId="23" borderId="7"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80000"/>
      <rgbColor rgb="FF00FF00"/>
      <rgbColor rgb="FF0000FF"/>
      <rgbColor rgb="FFFFFF00"/>
      <rgbColor rgb="FFFF00FF"/>
      <rgbColor rgb="FF00FFFF"/>
      <rgbColor rgb="FF8B0000"/>
      <rgbColor rgb="FF008000"/>
      <rgbColor rgb="FF000080"/>
      <rgbColor rgb="FF808000"/>
      <rgbColor rgb="FF800080"/>
      <rgbColor rgb="FF0078D4"/>
      <rgbColor rgb="FFBFBFBF"/>
      <rgbColor rgb="FF808080"/>
      <rgbColor rgb="FF9999FF"/>
      <rgbColor rgb="FF993366"/>
      <rgbColor rgb="FFF2F2F2"/>
      <rgbColor rgb="FFCCFFFF"/>
      <rgbColor rgb="FF660066"/>
      <rgbColor rgb="FFFF8080"/>
      <rgbColor rgb="FF0668E1"/>
      <rgbColor rgb="FFD9D9D9"/>
      <rgbColor rgb="FF000080"/>
      <rgbColor rgb="FFFF00FF"/>
      <rgbColor rgb="FFFFFF00"/>
      <rgbColor rgb="FF00FFFF"/>
      <rgbColor rgb="FF800080"/>
      <rgbColor rgb="FFC00000"/>
      <rgbColor rgb="FF008080"/>
      <rgbColor rgb="FF0000FF"/>
      <rgbColor rgb="FF00CCFF"/>
      <rgbColor rgb="FFCCFFFF"/>
      <rgbColor rgb="FFC6E0B4"/>
      <rgbColor rgb="FFFFE699"/>
      <rgbColor rgb="FF99CCFF"/>
      <rgbColor rgb="FFFF99CC"/>
      <rgbColor rgb="FFCC99FF"/>
      <rgbColor rgb="FFF8CBAD"/>
      <rgbColor rgb="FF4285F4"/>
      <rgbColor rgb="FF33CCCC"/>
      <rgbColor rgb="FF99CC00"/>
      <rgbColor rgb="FFFFCC00"/>
      <rgbColor rgb="FFFF9900"/>
      <rgbColor rgb="FFD4762C"/>
      <rgbColor rgb="FF595959"/>
      <rgbColor rgb="FFB3B3B3"/>
      <rgbColor rgb="FF1F3864"/>
      <rgbColor rgb="FF339966"/>
      <rgbColor rgb="FF006400"/>
      <rgbColor rgb="FF333300"/>
      <rgbColor rgb="FF993300"/>
      <rgbColor rgb="FF993366"/>
      <rgbColor rgb="FF2F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Capex / Revenue %</a:t>
            </a:r>
          </a:p>
        </rich>
      </tx>
    </title>
    <plotArea>
      <lineChart>
        <grouping val="standard"/>
        <ser>
          <idx val="0"/>
          <order val="0"/>
          <tx>
            <strRef>
              <f>'8. Charts'!A5</f>
            </strRef>
          </tx>
          <spPr>
            <a:ln xmlns:a="http://schemas.openxmlformats.org/drawingml/2006/main">
              <a:prstDash val="solid"/>
            </a:ln>
          </spPr>
          <marker>
            <symbol val="none"/>
            <spPr>
              <a:ln xmlns:a="http://schemas.openxmlformats.org/drawingml/2006/main">
                <a:prstDash val="solid"/>
              </a:ln>
            </spPr>
          </marker>
          <cat>
            <numRef>
              <f>'8. Charts'!$B$4:$S$4</f>
            </numRef>
          </cat>
          <val>
            <numRef>
              <f>'8. Charts'!$B$5:$S$5</f>
            </numRef>
          </val>
        </ser>
        <ser>
          <idx val="1"/>
          <order val="1"/>
          <tx>
            <strRef>
              <f>'8. Charts'!A6</f>
            </strRef>
          </tx>
          <spPr>
            <a:ln xmlns:a="http://schemas.openxmlformats.org/drawingml/2006/main">
              <a:prstDash val="solid"/>
            </a:ln>
          </spPr>
          <marker>
            <symbol val="none"/>
            <spPr>
              <a:ln xmlns:a="http://schemas.openxmlformats.org/drawingml/2006/main">
                <a:prstDash val="solid"/>
              </a:ln>
            </spPr>
          </marker>
          <cat>
            <numRef>
              <f>'8. Charts'!$B$4:$S$4</f>
            </numRef>
          </cat>
          <val>
            <numRef>
              <f>'8. Charts'!$B$6:$S$6</f>
            </numRef>
          </val>
        </ser>
        <ser>
          <idx val="2"/>
          <order val="2"/>
          <tx>
            <strRef>
              <f>'8. Charts'!A7</f>
            </strRef>
          </tx>
          <spPr>
            <a:ln xmlns:a="http://schemas.openxmlformats.org/drawingml/2006/main">
              <a:prstDash val="solid"/>
            </a:ln>
          </spPr>
          <marker>
            <symbol val="none"/>
            <spPr>
              <a:ln xmlns:a="http://schemas.openxmlformats.org/drawingml/2006/main">
                <a:prstDash val="solid"/>
              </a:ln>
            </spPr>
          </marker>
          <cat>
            <numRef>
              <f>'8. Charts'!$B$4:$S$4</f>
            </numRef>
          </cat>
          <val>
            <numRef>
              <f>'8. Charts'!$B$7:$S$7</f>
            </numRef>
          </val>
        </ser>
        <ser>
          <idx val="3"/>
          <order val="3"/>
          <tx>
            <strRef>
              <f>'8. Charts'!A8</f>
            </strRef>
          </tx>
          <spPr>
            <a:ln xmlns:a="http://schemas.openxmlformats.org/drawingml/2006/main">
              <a:prstDash val="solid"/>
            </a:ln>
          </spPr>
          <marker>
            <symbol val="none"/>
            <spPr>
              <a:ln xmlns:a="http://schemas.openxmlformats.org/drawingml/2006/main">
                <a:prstDash val="solid"/>
              </a:ln>
            </spPr>
          </marker>
          <cat>
            <numRef>
              <f>'8. Charts'!$B$4:$S$4</f>
            </numRef>
          </cat>
          <val>
            <numRef>
              <f>'8. Charts'!$B$8:$S$8</f>
            </numRef>
          </val>
        </ser>
        <ser>
          <idx val="4"/>
          <order val="4"/>
          <tx>
            <strRef>
              <f>'8. Charts'!A9</f>
            </strRef>
          </tx>
          <spPr>
            <a:ln xmlns:a="http://schemas.openxmlformats.org/drawingml/2006/main">
              <a:prstDash val="solid"/>
            </a:ln>
          </spPr>
          <marker>
            <symbol val="none"/>
            <spPr>
              <a:ln xmlns:a="http://schemas.openxmlformats.org/drawingml/2006/main">
                <a:prstDash val="solid"/>
              </a:ln>
            </spPr>
          </marker>
          <cat>
            <numRef>
              <f>'8. Charts'!$B$4:$S$4</f>
            </numRef>
          </cat>
          <val>
            <numRef>
              <f>'8. Charts'!$B$9:$S$9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FCF Margin %</a:t>
            </a:r>
          </a:p>
        </rich>
      </tx>
    </title>
    <plotArea>
      <lineChart>
        <grouping val="standard"/>
        <ser>
          <idx val="0"/>
          <order val="0"/>
          <tx>
            <strRef>
              <f>'8. Charts'!A30</f>
            </strRef>
          </tx>
          <spPr>
            <a:ln xmlns:a="http://schemas.openxmlformats.org/drawingml/2006/main">
              <a:prstDash val="solid"/>
            </a:ln>
          </spPr>
          <marker>
            <symbol val="none"/>
            <spPr>
              <a:ln xmlns:a="http://schemas.openxmlformats.org/drawingml/2006/main">
                <a:prstDash val="solid"/>
              </a:ln>
            </spPr>
          </marker>
          <cat>
            <numRef>
              <f>'8. Charts'!$B$29:$S$29</f>
            </numRef>
          </cat>
          <val>
            <numRef>
              <f>'8. Charts'!$B$30:$S$30</f>
            </numRef>
          </val>
        </ser>
        <ser>
          <idx val="1"/>
          <order val="1"/>
          <tx>
            <strRef>
              <f>'8. Charts'!A31</f>
            </strRef>
          </tx>
          <spPr>
            <a:ln xmlns:a="http://schemas.openxmlformats.org/drawingml/2006/main">
              <a:prstDash val="solid"/>
            </a:ln>
          </spPr>
          <marker>
            <symbol val="none"/>
            <spPr>
              <a:ln xmlns:a="http://schemas.openxmlformats.org/drawingml/2006/main">
                <a:prstDash val="solid"/>
              </a:ln>
            </spPr>
          </marker>
          <cat>
            <numRef>
              <f>'8. Charts'!$B$29:$S$29</f>
            </numRef>
          </cat>
          <val>
            <numRef>
              <f>'8. Charts'!$B$31:$S$31</f>
            </numRef>
          </val>
        </ser>
        <ser>
          <idx val="2"/>
          <order val="2"/>
          <tx>
            <strRef>
              <f>'8. Charts'!A32</f>
            </strRef>
          </tx>
          <spPr>
            <a:ln xmlns:a="http://schemas.openxmlformats.org/drawingml/2006/main">
              <a:prstDash val="solid"/>
            </a:ln>
          </spPr>
          <marker>
            <symbol val="none"/>
            <spPr>
              <a:ln xmlns:a="http://schemas.openxmlformats.org/drawingml/2006/main">
                <a:prstDash val="solid"/>
              </a:ln>
            </spPr>
          </marker>
          <cat>
            <numRef>
              <f>'8. Charts'!$B$29:$S$29</f>
            </numRef>
          </cat>
          <val>
            <numRef>
              <f>'8. Charts'!$B$32:$S$32</f>
            </numRef>
          </val>
        </ser>
        <ser>
          <idx val="3"/>
          <order val="3"/>
          <tx>
            <strRef>
              <f>'8. Charts'!A33</f>
            </strRef>
          </tx>
          <spPr>
            <a:ln xmlns:a="http://schemas.openxmlformats.org/drawingml/2006/main">
              <a:prstDash val="solid"/>
            </a:ln>
          </spPr>
          <marker>
            <symbol val="none"/>
            <spPr>
              <a:ln xmlns:a="http://schemas.openxmlformats.org/drawingml/2006/main">
                <a:prstDash val="solid"/>
              </a:ln>
            </spPr>
          </marker>
          <cat>
            <numRef>
              <f>'8. Charts'!$B$29:$S$29</f>
            </numRef>
          </cat>
          <val>
            <numRef>
              <f>'8. Charts'!$B$33:$S$33</f>
            </numRef>
          </val>
        </ser>
        <ser>
          <idx val="4"/>
          <order val="4"/>
          <tx>
            <strRef>
              <f>'8. Charts'!A34</f>
            </strRef>
          </tx>
          <spPr>
            <a:ln xmlns:a="http://schemas.openxmlformats.org/drawingml/2006/main">
              <a:prstDash val="solid"/>
            </a:ln>
          </spPr>
          <marker>
            <symbol val="none"/>
            <spPr>
              <a:ln xmlns:a="http://schemas.openxmlformats.org/drawingml/2006/main">
                <a:prstDash val="solid"/>
              </a:ln>
            </spPr>
          </marker>
          <cat>
            <numRef>
              <f>'8. Charts'!$B$29:$S$29</f>
            </numRef>
          </cat>
          <val>
            <numRef>
              <f>'8. Charts'!$B$34:$S$34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Capex ($mm)</a:t>
            </a:r>
          </a:p>
        </rich>
      </tx>
    </title>
    <plotArea>
      <barChart>
        <barDir val="col"/>
        <grouping val="clustered"/>
        <ser>
          <idx val="0"/>
          <order val="0"/>
          <tx>
            <strRef>
              <f>'8. Charts'!A55</f>
            </strRef>
          </tx>
          <spPr>
            <a:ln xmlns:a="http://schemas.openxmlformats.org/drawingml/2006/main">
              <a:prstDash val="solid"/>
            </a:ln>
          </spPr>
          <cat>
            <numRef>
              <f>'8. Charts'!$B$54:$S$54</f>
            </numRef>
          </cat>
          <val>
            <numRef>
              <f>'8. Charts'!$B$55:$S$55</f>
            </numRef>
          </val>
        </ser>
        <ser>
          <idx val="1"/>
          <order val="1"/>
          <tx>
            <strRef>
              <f>'8. Charts'!A56</f>
            </strRef>
          </tx>
          <spPr>
            <a:ln xmlns:a="http://schemas.openxmlformats.org/drawingml/2006/main">
              <a:prstDash val="solid"/>
            </a:ln>
          </spPr>
          <cat>
            <numRef>
              <f>'8. Charts'!$B$54:$S$54</f>
            </numRef>
          </cat>
          <val>
            <numRef>
              <f>'8. Charts'!$B$56:$S$56</f>
            </numRef>
          </val>
        </ser>
        <ser>
          <idx val="2"/>
          <order val="2"/>
          <tx>
            <strRef>
              <f>'8. Charts'!A57</f>
            </strRef>
          </tx>
          <spPr>
            <a:ln xmlns:a="http://schemas.openxmlformats.org/drawingml/2006/main">
              <a:prstDash val="solid"/>
            </a:ln>
          </spPr>
          <cat>
            <numRef>
              <f>'8. Charts'!$B$54:$S$54</f>
            </numRef>
          </cat>
          <val>
            <numRef>
              <f>'8. Charts'!$B$57:$S$57</f>
            </numRef>
          </val>
        </ser>
        <ser>
          <idx val="3"/>
          <order val="3"/>
          <tx>
            <strRef>
              <f>'8. Charts'!A58</f>
            </strRef>
          </tx>
          <spPr>
            <a:ln xmlns:a="http://schemas.openxmlformats.org/drawingml/2006/main">
              <a:prstDash val="solid"/>
            </a:ln>
          </spPr>
          <cat>
            <numRef>
              <f>'8. Charts'!$B$54:$S$54</f>
            </numRef>
          </cat>
          <val>
            <numRef>
              <f>'8. Charts'!$B$58:$S$58</f>
            </numRef>
          </val>
        </ser>
        <ser>
          <idx val="4"/>
          <order val="4"/>
          <tx>
            <strRef>
              <f>'8. Charts'!A59</f>
            </strRef>
          </tx>
          <spPr>
            <a:ln xmlns:a="http://schemas.openxmlformats.org/drawingml/2006/main">
              <a:prstDash val="solid"/>
            </a:ln>
          </spPr>
          <cat>
            <numRef>
              <f>'8. Charts'!$B$54:$S$54</f>
            </numRef>
          </cat>
          <val>
            <numRef>
              <f>'8. Charts'!$B$59:$S$59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Revenue YoY %</a:t>
            </a:r>
          </a:p>
        </rich>
      </tx>
    </title>
    <plotArea>
      <lineChart>
        <grouping val="standard"/>
        <ser>
          <idx val="0"/>
          <order val="0"/>
          <tx>
            <strRef>
              <f>'8. Charts'!A80</f>
            </strRef>
          </tx>
          <spPr>
            <a:ln xmlns:a="http://schemas.openxmlformats.org/drawingml/2006/main">
              <a:prstDash val="solid"/>
            </a:ln>
          </spPr>
          <marker>
            <symbol val="none"/>
            <spPr>
              <a:ln xmlns:a="http://schemas.openxmlformats.org/drawingml/2006/main">
                <a:prstDash val="solid"/>
              </a:ln>
            </spPr>
          </marker>
          <cat>
            <numRef>
              <f>'8. Charts'!$B$79:$S$79</f>
            </numRef>
          </cat>
          <val>
            <numRef>
              <f>'8. Charts'!$B$80:$S$80</f>
            </numRef>
          </val>
        </ser>
        <ser>
          <idx val="1"/>
          <order val="1"/>
          <tx>
            <strRef>
              <f>'8. Charts'!A81</f>
            </strRef>
          </tx>
          <spPr>
            <a:ln xmlns:a="http://schemas.openxmlformats.org/drawingml/2006/main">
              <a:prstDash val="solid"/>
            </a:ln>
          </spPr>
          <marker>
            <symbol val="none"/>
            <spPr>
              <a:ln xmlns:a="http://schemas.openxmlformats.org/drawingml/2006/main">
                <a:prstDash val="solid"/>
              </a:ln>
            </spPr>
          </marker>
          <cat>
            <numRef>
              <f>'8. Charts'!$B$79:$S$79</f>
            </numRef>
          </cat>
          <val>
            <numRef>
              <f>'8. Charts'!$B$81:$S$81</f>
            </numRef>
          </val>
        </ser>
        <ser>
          <idx val="2"/>
          <order val="2"/>
          <tx>
            <strRef>
              <f>'8. Charts'!A82</f>
            </strRef>
          </tx>
          <spPr>
            <a:ln xmlns:a="http://schemas.openxmlformats.org/drawingml/2006/main">
              <a:prstDash val="solid"/>
            </a:ln>
          </spPr>
          <marker>
            <symbol val="none"/>
            <spPr>
              <a:ln xmlns:a="http://schemas.openxmlformats.org/drawingml/2006/main">
                <a:prstDash val="solid"/>
              </a:ln>
            </spPr>
          </marker>
          <cat>
            <numRef>
              <f>'8. Charts'!$B$79:$S$79</f>
            </numRef>
          </cat>
          <val>
            <numRef>
              <f>'8. Charts'!$B$82:$S$82</f>
            </numRef>
          </val>
        </ser>
        <ser>
          <idx val="3"/>
          <order val="3"/>
          <tx>
            <strRef>
              <f>'8. Charts'!A83</f>
            </strRef>
          </tx>
          <spPr>
            <a:ln xmlns:a="http://schemas.openxmlformats.org/drawingml/2006/main">
              <a:prstDash val="solid"/>
            </a:ln>
          </spPr>
          <marker>
            <symbol val="none"/>
            <spPr>
              <a:ln xmlns:a="http://schemas.openxmlformats.org/drawingml/2006/main">
                <a:prstDash val="solid"/>
              </a:ln>
            </spPr>
          </marker>
          <cat>
            <numRef>
              <f>'8. Charts'!$B$79:$S$79</f>
            </numRef>
          </cat>
          <val>
            <numRef>
              <f>'8. Charts'!$B$83:$S$83</f>
            </numRef>
          </val>
        </ser>
        <ser>
          <idx val="4"/>
          <order val="4"/>
          <tx>
            <strRef>
              <f>'8. Charts'!A84</f>
            </strRef>
          </tx>
          <spPr>
            <a:ln xmlns:a="http://schemas.openxmlformats.org/drawingml/2006/main">
              <a:prstDash val="solid"/>
            </a:ln>
          </spPr>
          <marker>
            <symbol val="none"/>
            <spPr>
              <a:ln xmlns:a="http://schemas.openxmlformats.org/drawingml/2006/main">
                <a:prstDash val="solid"/>
              </a:ln>
            </spPr>
          </marker>
          <cat>
            <numRef>
              <f>'8. Charts'!$B$79:$S$79</f>
            </numRef>
          </cat>
          <val>
            <numRef>
              <f>'8. Charts'!$B$84:$S$84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Operating Margin %</a:t>
            </a:r>
          </a:p>
        </rich>
      </tx>
    </title>
    <plotArea>
      <lineChart>
        <grouping val="standard"/>
        <ser>
          <idx val="0"/>
          <order val="0"/>
          <tx>
            <strRef>
              <f>'8. Charts'!A105</f>
            </strRef>
          </tx>
          <spPr>
            <a:ln xmlns:a="http://schemas.openxmlformats.org/drawingml/2006/main">
              <a:prstDash val="solid"/>
            </a:ln>
          </spPr>
          <marker>
            <symbol val="none"/>
            <spPr>
              <a:ln xmlns:a="http://schemas.openxmlformats.org/drawingml/2006/main">
                <a:prstDash val="solid"/>
              </a:ln>
            </spPr>
          </marker>
          <cat>
            <numRef>
              <f>'8. Charts'!$B$104:$S$104</f>
            </numRef>
          </cat>
          <val>
            <numRef>
              <f>'8. Charts'!$B$105:$S$105</f>
            </numRef>
          </val>
        </ser>
        <ser>
          <idx val="1"/>
          <order val="1"/>
          <tx>
            <strRef>
              <f>'8. Charts'!A106</f>
            </strRef>
          </tx>
          <spPr>
            <a:ln xmlns:a="http://schemas.openxmlformats.org/drawingml/2006/main">
              <a:prstDash val="solid"/>
            </a:ln>
          </spPr>
          <marker>
            <symbol val="none"/>
            <spPr>
              <a:ln xmlns:a="http://schemas.openxmlformats.org/drawingml/2006/main">
                <a:prstDash val="solid"/>
              </a:ln>
            </spPr>
          </marker>
          <cat>
            <numRef>
              <f>'8. Charts'!$B$104:$S$104</f>
            </numRef>
          </cat>
          <val>
            <numRef>
              <f>'8. Charts'!$B$106:$S$106</f>
            </numRef>
          </val>
        </ser>
        <ser>
          <idx val="2"/>
          <order val="2"/>
          <tx>
            <strRef>
              <f>'8. Charts'!A107</f>
            </strRef>
          </tx>
          <spPr>
            <a:ln xmlns:a="http://schemas.openxmlformats.org/drawingml/2006/main">
              <a:prstDash val="solid"/>
            </a:ln>
          </spPr>
          <marker>
            <symbol val="none"/>
            <spPr>
              <a:ln xmlns:a="http://schemas.openxmlformats.org/drawingml/2006/main">
                <a:prstDash val="solid"/>
              </a:ln>
            </spPr>
          </marker>
          <cat>
            <numRef>
              <f>'8. Charts'!$B$104:$S$104</f>
            </numRef>
          </cat>
          <val>
            <numRef>
              <f>'8. Charts'!$B$107:$S$107</f>
            </numRef>
          </val>
        </ser>
        <ser>
          <idx val="3"/>
          <order val="3"/>
          <tx>
            <strRef>
              <f>'8. Charts'!A108</f>
            </strRef>
          </tx>
          <spPr>
            <a:ln xmlns:a="http://schemas.openxmlformats.org/drawingml/2006/main">
              <a:prstDash val="solid"/>
            </a:ln>
          </spPr>
          <marker>
            <symbol val="none"/>
            <spPr>
              <a:ln xmlns:a="http://schemas.openxmlformats.org/drawingml/2006/main">
                <a:prstDash val="solid"/>
              </a:ln>
            </spPr>
          </marker>
          <cat>
            <numRef>
              <f>'8. Charts'!$B$104:$S$104</f>
            </numRef>
          </cat>
          <val>
            <numRef>
              <f>'8. Charts'!$B$108:$S$108</f>
            </numRef>
          </val>
        </ser>
        <ser>
          <idx val="4"/>
          <order val="4"/>
          <tx>
            <strRef>
              <f>'8. Charts'!A109</f>
            </strRef>
          </tx>
          <spPr>
            <a:ln xmlns:a="http://schemas.openxmlformats.org/drawingml/2006/main">
              <a:prstDash val="solid"/>
            </a:ln>
          </spPr>
          <marker>
            <symbol val="none"/>
            <spPr>
              <a:ln xmlns:a="http://schemas.openxmlformats.org/drawingml/2006/main">
                <a:prstDash val="solid"/>
              </a:ln>
            </spPr>
          </marker>
          <cat>
            <numRef>
              <f>'8. Charts'!$B$104:$S$104</f>
            </numRef>
          </cat>
          <val>
            <numRef>
              <f>'8. Charts'!$B$109:$S$109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D&amp;A / Revenue %</a:t>
            </a:r>
          </a:p>
        </rich>
      </tx>
    </title>
    <plotArea>
      <lineChart>
        <grouping val="standard"/>
        <ser>
          <idx val="0"/>
          <order val="0"/>
          <tx>
            <strRef>
              <f>'8. Charts'!A130</f>
            </strRef>
          </tx>
          <spPr>
            <a:ln xmlns:a="http://schemas.openxmlformats.org/drawingml/2006/main">
              <a:prstDash val="solid"/>
            </a:ln>
          </spPr>
          <marker>
            <symbol val="none"/>
            <spPr>
              <a:ln xmlns:a="http://schemas.openxmlformats.org/drawingml/2006/main">
                <a:prstDash val="solid"/>
              </a:ln>
            </spPr>
          </marker>
          <cat>
            <numRef>
              <f>'8. Charts'!$B$129:$S$129</f>
            </numRef>
          </cat>
          <val>
            <numRef>
              <f>'8. Charts'!$B$130:$S$130</f>
            </numRef>
          </val>
        </ser>
        <ser>
          <idx val="1"/>
          <order val="1"/>
          <tx>
            <strRef>
              <f>'8. Charts'!A131</f>
            </strRef>
          </tx>
          <spPr>
            <a:ln xmlns:a="http://schemas.openxmlformats.org/drawingml/2006/main">
              <a:prstDash val="solid"/>
            </a:ln>
          </spPr>
          <marker>
            <symbol val="none"/>
            <spPr>
              <a:ln xmlns:a="http://schemas.openxmlformats.org/drawingml/2006/main">
                <a:prstDash val="solid"/>
              </a:ln>
            </spPr>
          </marker>
          <cat>
            <numRef>
              <f>'8. Charts'!$B$129:$S$129</f>
            </numRef>
          </cat>
          <val>
            <numRef>
              <f>'8. Charts'!$B$131:$S$131</f>
            </numRef>
          </val>
        </ser>
        <ser>
          <idx val="2"/>
          <order val="2"/>
          <tx>
            <strRef>
              <f>'8. Charts'!A132</f>
            </strRef>
          </tx>
          <spPr>
            <a:ln xmlns:a="http://schemas.openxmlformats.org/drawingml/2006/main">
              <a:prstDash val="solid"/>
            </a:ln>
          </spPr>
          <marker>
            <symbol val="none"/>
            <spPr>
              <a:ln xmlns:a="http://schemas.openxmlformats.org/drawingml/2006/main">
                <a:prstDash val="solid"/>
              </a:ln>
            </spPr>
          </marker>
          <cat>
            <numRef>
              <f>'8. Charts'!$B$129:$S$129</f>
            </numRef>
          </cat>
          <val>
            <numRef>
              <f>'8. Charts'!$B$132:$S$132</f>
            </numRef>
          </val>
        </ser>
        <ser>
          <idx val="3"/>
          <order val="3"/>
          <tx>
            <strRef>
              <f>'8. Charts'!A133</f>
            </strRef>
          </tx>
          <spPr>
            <a:ln xmlns:a="http://schemas.openxmlformats.org/drawingml/2006/main">
              <a:prstDash val="solid"/>
            </a:ln>
          </spPr>
          <marker>
            <symbol val="none"/>
            <spPr>
              <a:ln xmlns:a="http://schemas.openxmlformats.org/drawingml/2006/main">
                <a:prstDash val="solid"/>
              </a:ln>
            </spPr>
          </marker>
          <cat>
            <numRef>
              <f>'8. Charts'!$B$129:$S$129</f>
            </numRef>
          </cat>
          <val>
            <numRef>
              <f>'8. Charts'!$B$133:$S$133</f>
            </numRef>
          </val>
        </ser>
        <ser>
          <idx val="4"/>
          <order val="4"/>
          <tx>
            <strRef>
              <f>'8. Charts'!A134</f>
            </strRef>
          </tx>
          <spPr>
            <a:ln xmlns:a="http://schemas.openxmlformats.org/drawingml/2006/main">
              <a:prstDash val="solid"/>
            </a:ln>
          </spPr>
          <marker>
            <symbol val="none"/>
            <spPr>
              <a:ln xmlns:a="http://schemas.openxmlformats.org/drawingml/2006/main">
                <a:prstDash val="solid"/>
              </a:ln>
            </spPr>
          </marker>
          <cat>
            <numRef>
              <f>'8. Charts'!$B$129:$S$129</f>
            </numRef>
          </cat>
          <val>
            <numRef>
              <f>'8. Charts'!$B$134:$S$134</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10</row>
      <rowOff>0</rowOff>
    </from>
    <ext cx="1008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35</row>
      <rowOff>0</rowOff>
    </from>
    <ext cx="1008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60</row>
      <rowOff>0</rowOff>
    </from>
    <ext cx="10080000" cy="504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85</row>
      <rowOff>0</rowOff>
    </from>
    <ext cx="10080000" cy="504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110</row>
      <rowOff>0</rowOff>
    </from>
    <ext cx="10080000" cy="504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0</col>
      <colOff>0</colOff>
      <row>135</row>
      <rowOff>0</rowOff>
    </from>
    <ext cx="10080000" cy="504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T87"/>
  <sheetViews>
    <sheetView showFormulas="0" showGridLines="0" showRowColHeaders="1" showZeros="1" rightToLeft="0" tabSelected="1"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6796875" defaultRowHeight="15" zeroHeight="0" outlineLevelRow="0"/>
  <cols>
    <col width="10" customWidth="1" style="196" min="1" max="1"/>
    <col width="22" customWidth="1" style="196" min="2" max="2"/>
    <col width="10.51" customWidth="1" style="196" min="3" max="21"/>
  </cols>
  <sheetData>
    <row r="1" ht="24" customHeight="1" s="197">
      <c r="A1" s="198" t="inlineStr">
        <is>
          <t>Centralized Database (USD mm except EPS/shares) — Blue = input</t>
        </is>
      </c>
    </row>
    <row r="3" ht="15" customHeight="1" s="197">
      <c r="A3" s="199" t="inlineStr">
        <is>
          <t>Ticker</t>
        </is>
      </c>
      <c r="B3" s="200" t="inlineStr">
        <is>
          <t>Metric</t>
        </is>
      </c>
      <c r="C3" s="201" t="inlineStr">
        <is>
          <t>2013A</t>
        </is>
      </c>
      <c r="D3" s="201" t="inlineStr">
        <is>
          <t>2014A</t>
        </is>
      </c>
      <c r="E3" s="201" t="inlineStr">
        <is>
          <t>2015A</t>
        </is>
      </c>
      <c r="F3" s="201" t="inlineStr">
        <is>
          <t>2016A</t>
        </is>
      </c>
      <c r="G3" s="201" t="inlineStr">
        <is>
          <t>2017A</t>
        </is>
      </c>
      <c r="H3" s="201" t="inlineStr">
        <is>
          <t>2018A</t>
        </is>
      </c>
      <c r="I3" s="201" t="inlineStr">
        <is>
          <t>2019A</t>
        </is>
      </c>
      <c r="J3" s="201" t="inlineStr">
        <is>
          <t>2020A</t>
        </is>
      </c>
      <c r="K3" s="201" t="inlineStr">
        <is>
          <t>2021A</t>
        </is>
      </c>
      <c r="L3" s="201" t="inlineStr">
        <is>
          <t>2022A</t>
        </is>
      </c>
      <c r="M3" s="201" t="inlineStr">
        <is>
          <t>2023A</t>
        </is>
      </c>
      <c r="N3" s="201" t="inlineStr">
        <is>
          <t>2024A</t>
        </is>
      </c>
      <c r="O3" s="201" t="inlineStr">
        <is>
          <t>2025E</t>
        </is>
      </c>
      <c r="P3" s="201" t="inlineStr">
        <is>
          <t>2026E</t>
        </is>
      </c>
      <c r="Q3" s="201" t="inlineStr">
        <is>
          <t>2027E</t>
        </is>
      </c>
      <c r="R3" s="201" t="inlineStr">
        <is>
          <t>2028E</t>
        </is>
      </c>
      <c r="S3" s="201" t="inlineStr">
        <is>
          <t>2029E</t>
        </is>
      </c>
      <c r="T3" s="201" t="inlineStr">
        <is>
          <t>2030E</t>
        </is>
      </c>
    </row>
    <row r="4" ht="15" customHeight="1" s="197">
      <c r="A4" s="202" t="inlineStr">
        <is>
          <t>MSFT (FY(Jun))</t>
        </is>
      </c>
    </row>
    <row r="5" ht="15" customHeight="1" s="197">
      <c r="A5" s="203" t="inlineStr">
        <is>
          <t>MSFT</t>
        </is>
      </c>
      <c r="B5" s="204" t="inlineStr">
        <is>
          <t>Revenue</t>
        </is>
      </c>
      <c r="C5" s="205" t="n">
        <v>77849</v>
      </c>
      <c r="D5" s="205" t="n">
        <v>86833</v>
      </c>
      <c r="E5" s="205" t="n">
        <v>93580</v>
      </c>
      <c r="F5" s="205" t="n">
        <v>85320</v>
      </c>
      <c r="G5" s="205" t="n">
        <v>96571</v>
      </c>
      <c r="H5" s="205" t="n">
        <v>110360</v>
      </c>
      <c r="I5" s="205" t="n">
        <v>125843</v>
      </c>
      <c r="J5" s="205" t="n">
        <v>143015</v>
      </c>
      <c r="K5" s="205" t="n">
        <v>168088</v>
      </c>
      <c r="L5" s="205" t="n">
        <v>198270</v>
      </c>
      <c r="M5" s="205" t="n">
        <v>211915</v>
      </c>
      <c r="N5" s="205" t="n">
        <v>245122</v>
      </c>
      <c r="O5" s="205" t="n">
        <v>281724</v>
      </c>
      <c r="P5" s="205" t="n">
        <v>329440.24</v>
      </c>
      <c r="Q5" s="205" t="n">
        <v>387103.71</v>
      </c>
      <c r="R5" s="205" t="n">
        <v>463474.17</v>
      </c>
      <c r="S5" s="205" t="n">
        <v>553714.52</v>
      </c>
      <c r="T5" s="205" t="n">
        <v>652772.62</v>
      </c>
    </row>
    <row r="6" ht="15" customHeight="1" s="197">
      <c r="A6" s="203" t="inlineStr">
        <is>
          <t>MSFT</t>
        </is>
      </c>
      <c r="B6" s="204" t="inlineStr">
        <is>
          <t>Operating Income</t>
        </is>
      </c>
      <c r="C6" s="205" t="n">
        <v>26764</v>
      </c>
      <c r="D6" s="205" t="n">
        <v>27759</v>
      </c>
      <c r="E6" s="205" t="n">
        <v>18161</v>
      </c>
      <c r="F6" s="205" t="n">
        <v>20182</v>
      </c>
      <c r="G6" s="205" t="n">
        <v>29025</v>
      </c>
      <c r="H6" s="205" t="n">
        <v>35058</v>
      </c>
      <c r="I6" s="205" t="n">
        <v>42959</v>
      </c>
      <c r="J6" s="205" t="n">
        <v>52959</v>
      </c>
      <c r="K6" s="205" t="n">
        <v>69916</v>
      </c>
      <c r="L6" s="205" t="n">
        <v>83383</v>
      </c>
      <c r="M6" s="205" t="n">
        <v>88523</v>
      </c>
      <c r="N6" s="205" t="n">
        <v>109433</v>
      </c>
      <c r="O6" s="205" t="n">
        <v>128528</v>
      </c>
      <c r="P6" s="205" t="n">
        <v>153454.1</v>
      </c>
      <c r="Q6" s="205" t="n">
        <v>179274.53</v>
      </c>
      <c r="R6" s="205" t="n">
        <v>217551.82</v>
      </c>
      <c r="S6" s="205" t="n">
        <v>266239.28</v>
      </c>
      <c r="T6" s="205" t="n">
        <v>318436.19</v>
      </c>
    </row>
    <row r="7" ht="15" customHeight="1" s="197">
      <c r="A7" s="203" t="inlineStr">
        <is>
          <t>MSFT</t>
        </is>
      </c>
      <c r="B7" s="204" t="inlineStr">
        <is>
          <t>Net Income</t>
        </is>
      </c>
      <c r="C7" s="205" t="n">
        <v>21863</v>
      </c>
      <c r="D7" s="205" t="n">
        <v>22074</v>
      </c>
      <c r="E7" s="205" t="n">
        <v>12193</v>
      </c>
      <c r="F7" s="205" t="n">
        <v>16798</v>
      </c>
      <c r="G7" s="205" t="n">
        <v>25489</v>
      </c>
      <c r="H7" s="205" t="n">
        <v>16571</v>
      </c>
      <c r="I7" s="205" t="n">
        <v>39240</v>
      </c>
      <c r="J7" s="205" t="n">
        <v>44281</v>
      </c>
      <c r="K7" s="205" t="n">
        <v>61271</v>
      </c>
      <c r="L7" s="205" t="n">
        <v>72738</v>
      </c>
      <c r="M7" s="205" t="n">
        <v>72361</v>
      </c>
      <c r="N7" s="205" t="n">
        <v>88136</v>
      </c>
      <c r="O7" s="205" t="n">
        <v>101832</v>
      </c>
      <c r="P7" s="205" t="n">
        <v>129372.86</v>
      </c>
      <c r="Q7" s="205" t="n">
        <v>144971.56</v>
      </c>
      <c r="R7" s="205" t="n">
        <v>175683.92</v>
      </c>
      <c r="S7" s="205" t="n">
        <v>215472.22</v>
      </c>
      <c r="T7" s="205" t="n">
        <v>258948.36</v>
      </c>
    </row>
    <row r="8" ht="15" customHeight="1" s="197">
      <c r="A8" s="203" t="inlineStr">
        <is>
          <t>MSFT</t>
        </is>
      </c>
      <c r="B8" s="206" t="inlineStr">
        <is>
          <t>EPS</t>
        </is>
      </c>
      <c r="C8" s="207" t="n">
        <v>2.63</v>
      </c>
      <c r="D8" s="207" t="n">
        <v>2.66</v>
      </c>
      <c r="E8" s="207" t="n">
        <v>2.59</v>
      </c>
      <c r="F8" s="207" t="n">
        <v>2.79</v>
      </c>
      <c r="G8" s="207" t="n">
        <v>3.29</v>
      </c>
      <c r="H8" s="207" t="n">
        <v>3.88</v>
      </c>
      <c r="I8" s="207" t="n">
        <v>4.75</v>
      </c>
      <c r="J8" s="207" t="n">
        <v>5.76</v>
      </c>
      <c r="K8" s="207" t="n">
        <v>7.97</v>
      </c>
      <c r="L8" s="207" t="n">
        <v>9.210000000000001</v>
      </c>
      <c r="M8" s="207" t="n">
        <v>9.81</v>
      </c>
      <c r="N8" s="207" t="n">
        <v>11.8</v>
      </c>
      <c r="O8" s="207" t="n">
        <v>13.91</v>
      </c>
      <c r="P8" s="207" t="n">
        <v>16.75</v>
      </c>
      <c r="Q8" s="207" t="n">
        <v>19.47</v>
      </c>
      <c r="R8" s="207" t="n">
        <v>23.61</v>
      </c>
      <c r="S8" s="207" t="n">
        <v>28.97</v>
      </c>
      <c r="T8" s="207" t="n">
        <v>34.82</v>
      </c>
    </row>
    <row r="9" ht="15" customHeight="1" s="197">
      <c r="A9" s="203" t="inlineStr">
        <is>
          <t>MSFT</t>
        </is>
      </c>
      <c r="B9" s="204" t="inlineStr">
        <is>
          <t>Diluted Shares (mm)</t>
        </is>
      </c>
      <c r="C9" s="205" t="n">
        <v>8452.25</v>
      </c>
      <c r="D9" s="205" t="n">
        <v>8385.25</v>
      </c>
      <c r="E9" s="205" t="n">
        <v>8254</v>
      </c>
      <c r="F9" s="205" t="n">
        <v>8012.25</v>
      </c>
      <c r="G9" s="205" t="n">
        <v>7831.25</v>
      </c>
      <c r="H9" s="205" t="n">
        <v>7792.25</v>
      </c>
      <c r="I9" s="205" t="n">
        <v>7752</v>
      </c>
      <c r="J9" s="205" t="n">
        <v>7681.5</v>
      </c>
      <c r="K9" s="205" t="n">
        <v>7607.75</v>
      </c>
      <c r="L9" s="205" t="n">
        <v>7540.5</v>
      </c>
      <c r="M9" s="205" t="n">
        <v>7472.25</v>
      </c>
      <c r="N9" s="205" t="n">
        <v>7468.5</v>
      </c>
      <c r="O9" s="205" t="n">
        <v>7467.75</v>
      </c>
      <c r="P9" s="205" t="n">
        <v>7453.97</v>
      </c>
      <c r="Q9" s="205" t="n">
        <v>7446.49</v>
      </c>
      <c r="R9" s="205" t="n">
        <v>7440.67</v>
      </c>
      <c r="S9" s="205" t="n">
        <v>7436.61</v>
      </c>
      <c r="T9" s="205" t="n">
        <v>7436.22</v>
      </c>
    </row>
    <row r="10" ht="15" customHeight="1" s="197">
      <c r="A10" s="203" t="inlineStr">
        <is>
          <t>MSFT</t>
        </is>
      </c>
      <c r="B10" s="206" t="inlineStr">
        <is>
          <t>SBC</t>
        </is>
      </c>
      <c r="C10" s="205" t="n">
        <v>2406</v>
      </c>
      <c r="D10" s="205" t="n">
        <v>2446</v>
      </c>
      <c r="E10" s="205" t="n">
        <v>2574</v>
      </c>
      <c r="F10" s="205" t="n">
        <v>2668</v>
      </c>
      <c r="G10" s="205" t="n">
        <v>3266</v>
      </c>
      <c r="H10" s="205" t="n">
        <v>3940</v>
      </c>
      <c r="I10" s="205" t="n">
        <v>4652</v>
      </c>
      <c r="J10" s="205" t="n">
        <v>5289</v>
      </c>
      <c r="K10" s="205" t="n">
        <v>6118</v>
      </c>
      <c r="L10" s="205" t="n">
        <v>7502</v>
      </c>
      <c r="M10" s="205" t="n">
        <v>9611</v>
      </c>
      <c r="N10" s="205" t="n">
        <v>10734</v>
      </c>
      <c r="O10" s="205" t="n">
        <v>11974</v>
      </c>
      <c r="P10" s="205" t="n">
        <v>12189</v>
      </c>
      <c r="Q10" s="205" t="n">
        <v>10478.4</v>
      </c>
      <c r="R10" s="205" t="n">
        <v>11434.24</v>
      </c>
      <c r="S10" s="205" t="n">
        <v>12826.56</v>
      </c>
      <c r="T10" s="205" t="n">
        <v>14871.62</v>
      </c>
    </row>
    <row r="11" ht="15" customHeight="1" s="197">
      <c r="A11" s="203" t="inlineStr">
        <is>
          <t>MSFT</t>
        </is>
      </c>
      <c r="B11" s="206" t="inlineStr">
        <is>
          <t>D&amp;A</t>
        </is>
      </c>
      <c r="C11" s="205" t="n">
        <v>3339</v>
      </c>
      <c r="D11" s="205" t="n">
        <v>4245</v>
      </c>
      <c r="E11" s="205" t="n">
        <v>5400</v>
      </c>
      <c r="F11" s="205" t="n">
        <v>5878</v>
      </c>
      <c r="G11" s="205" t="n">
        <v>7800</v>
      </c>
      <c r="H11" s="205" t="n">
        <v>9900</v>
      </c>
      <c r="I11" s="205" t="n">
        <v>11600</v>
      </c>
      <c r="J11" s="205" t="n">
        <v>12300</v>
      </c>
      <c r="K11" s="205" t="n">
        <v>10900</v>
      </c>
      <c r="L11" s="205" t="n">
        <v>14600</v>
      </c>
      <c r="M11" s="205" t="n">
        <v>13500</v>
      </c>
      <c r="N11" s="205" t="n">
        <v>20000</v>
      </c>
      <c r="O11" s="205" t="n">
        <v>28000</v>
      </c>
      <c r="P11" s="205" t="n">
        <v>39638.96</v>
      </c>
      <c r="Q11" s="205" t="n">
        <v>62441.96</v>
      </c>
      <c r="R11" s="205" t="n">
        <v>94995.42999999999</v>
      </c>
      <c r="S11" s="205" t="n">
        <v>131504.45</v>
      </c>
      <c r="T11" s="205" t="n">
        <v>167239.58</v>
      </c>
    </row>
    <row r="12" ht="15" customHeight="1" s="197">
      <c r="A12" s="203" t="inlineStr">
        <is>
          <t>MSFT</t>
        </is>
      </c>
      <c r="B12" s="206" t="inlineStr">
        <is>
          <t>Capex</t>
        </is>
      </c>
      <c r="C12" s="205" t="n">
        <v>4257</v>
      </c>
      <c r="D12" s="205" t="n">
        <v>5485</v>
      </c>
      <c r="E12" s="205" t="n">
        <v>5944</v>
      </c>
      <c r="F12" s="205" t="n">
        <v>8932</v>
      </c>
      <c r="G12" s="205" t="n">
        <v>10200</v>
      </c>
      <c r="H12" s="205" t="n">
        <v>13600</v>
      </c>
      <c r="I12" s="205" t="n">
        <v>16900</v>
      </c>
      <c r="J12" s="205" t="n">
        <v>19000</v>
      </c>
      <c r="K12" s="205" t="n">
        <v>24200</v>
      </c>
      <c r="L12" s="205" t="n">
        <v>29200</v>
      </c>
      <c r="M12" s="205" t="n">
        <v>31900</v>
      </c>
      <c r="N12" s="205" t="n">
        <v>55700</v>
      </c>
      <c r="O12" s="205" t="n">
        <v>88200</v>
      </c>
      <c r="P12" s="205" t="n">
        <v>145871.3</v>
      </c>
      <c r="Q12" s="205" t="n">
        <v>245263.45</v>
      </c>
      <c r="R12" s="205" t="n">
        <v>286760.35</v>
      </c>
      <c r="S12" s="205" t="n">
        <v>300210.91</v>
      </c>
      <c r="T12" s="205" t="n">
        <v>304616.04</v>
      </c>
    </row>
    <row r="13" ht="15" customHeight="1" s="197">
      <c r="A13" s="203" t="inlineStr">
        <is>
          <t>MSFT</t>
        </is>
      </c>
      <c r="B13" s="206" t="inlineStr">
        <is>
          <t>CFO</t>
        </is>
      </c>
      <c r="C13" s="205" t="n">
        <v>28833</v>
      </c>
      <c r="D13" s="205" t="n">
        <v>32231</v>
      </c>
      <c r="E13" s="205" t="n">
        <v>29080</v>
      </c>
      <c r="F13" s="205" t="n">
        <v>33325</v>
      </c>
      <c r="G13" s="205" t="n">
        <v>39507</v>
      </c>
      <c r="H13" s="205" t="n">
        <v>43884</v>
      </c>
      <c r="I13" s="205" t="n">
        <v>52185</v>
      </c>
      <c r="J13" s="205" t="n">
        <v>60675</v>
      </c>
      <c r="K13" s="205" t="n">
        <v>76740</v>
      </c>
      <c r="L13" s="205" t="n">
        <v>89035</v>
      </c>
      <c r="M13" s="205" t="n">
        <v>87582</v>
      </c>
      <c r="N13" s="205" t="n">
        <v>118548</v>
      </c>
      <c r="O13" s="205" t="n">
        <v>136162</v>
      </c>
      <c r="P13" s="205" t="n">
        <v>174558.18</v>
      </c>
      <c r="Q13" s="205" t="n">
        <v>232097.78</v>
      </c>
      <c r="R13" s="205" t="n">
        <v>294570.35</v>
      </c>
      <c r="S13" s="205" t="n">
        <v>359672.36</v>
      </c>
      <c r="T13" s="205" t="n">
        <v>438548.9</v>
      </c>
    </row>
    <row r="14" ht="15" customHeight="1" s="197">
      <c r="A14" s="203" t="inlineStr">
        <is>
          <t>MSFT</t>
        </is>
      </c>
      <c r="B14" s="206" t="inlineStr">
        <is>
          <t>FCF</t>
        </is>
      </c>
      <c r="C14" s="205" t="n">
        <v>24576</v>
      </c>
      <c r="D14" s="205" t="n">
        <v>26746</v>
      </c>
      <c r="E14" s="205" t="n">
        <v>23136</v>
      </c>
      <c r="F14" s="205" t="n">
        <v>24393</v>
      </c>
      <c r="G14" s="205" t="n">
        <v>29307</v>
      </c>
      <c r="H14" s="205" t="n">
        <v>30284</v>
      </c>
      <c r="I14" s="205" t="n">
        <v>35285</v>
      </c>
      <c r="J14" s="205" t="n">
        <v>41675</v>
      </c>
      <c r="K14" s="205" t="n">
        <v>52540</v>
      </c>
      <c r="L14" s="205" t="n">
        <v>59835</v>
      </c>
      <c r="M14" s="205" t="n">
        <v>55682</v>
      </c>
      <c r="N14" s="205" t="n">
        <v>62848</v>
      </c>
      <c r="O14" s="205" t="n">
        <v>47962</v>
      </c>
      <c r="P14" s="205" t="n">
        <v>28686.88</v>
      </c>
      <c r="Q14" s="205" t="n">
        <v>-13165.67</v>
      </c>
      <c r="R14" s="205" t="n">
        <v>7810</v>
      </c>
      <c r="S14" s="205" t="n">
        <v>59461.45</v>
      </c>
      <c r="T14" s="205" t="n">
        <v>133932.86</v>
      </c>
    </row>
    <row r="15" ht="15" customHeight="1" s="197">
      <c r="A15" s="203" t="inlineStr">
        <is>
          <t>MSFT</t>
        </is>
      </c>
      <c r="B15" s="204" t="inlineStr">
        <is>
          <t>Buybacks</t>
        </is>
      </c>
      <c r="C15" s="205" t="n">
        <v>5360</v>
      </c>
      <c r="D15" s="205" t="n">
        <v>7316</v>
      </c>
      <c r="E15" s="205" t="n">
        <v>14443</v>
      </c>
      <c r="F15" s="205" t="n">
        <v>15969</v>
      </c>
      <c r="G15" s="205" t="n">
        <v>11788</v>
      </c>
      <c r="H15" s="205" t="n">
        <v>10721</v>
      </c>
      <c r="I15" s="205" t="n">
        <v>19543</v>
      </c>
      <c r="J15" s="205" t="n">
        <v>22968</v>
      </c>
      <c r="K15" s="205" t="n">
        <v>27385</v>
      </c>
      <c r="L15" s="205" t="n">
        <v>32696</v>
      </c>
      <c r="M15" s="205" t="n">
        <v>22245</v>
      </c>
      <c r="N15" s="205" t="n">
        <v>17254</v>
      </c>
      <c r="O15" s="205" t="n">
        <v>18420</v>
      </c>
      <c r="P15" s="205" t="n">
        <v>22499.7</v>
      </c>
      <c r="Q15" s="205" t="n">
        <v>19070.28</v>
      </c>
      <c r="R15" s="205" t="n">
        <v>19500.41</v>
      </c>
      <c r="S15" s="205" t="n">
        <v>20126.95</v>
      </c>
      <c r="T15" s="205" t="n">
        <v>21047.23</v>
      </c>
    </row>
    <row r="16" ht="15" customHeight="1" s="197">
      <c r="A16" s="203" t="inlineStr">
        <is>
          <t>MSFT</t>
        </is>
      </c>
      <c r="B16" s="206" t="inlineStr">
        <is>
          <t>Intell Cloud</t>
        </is>
      </c>
      <c r="C16" s="205" t="n">
        <v>0</v>
      </c>
      <c r="D16" s="205" t="n">
        <v>0</v>
      </c>
      <c r="E16" s="205" t="n">
        <v>0</v>
      </c>
      <c r="F16" s="205" t="n">
        <v>0</v>
      </c>
      <c r="G16" s="205" t="n">
        <v>0</v>
      </c>
      <c r="H16" s="205" t="n">
        <v>0</v>
      </c>
      <c r="I16" s="205" t="n">
        <v>0</v>
      </c>
      <c r="J16" s="205" t="n">
        <v>0</v>
      </c>
      <c r="K16" s="205" t="n">
        <v>0</v>
      </c>
      <c r="L16" s="205" t="n">
        <v>0</v>
      </c>
      <c r="M16" s="205" t="n">
        <v>72314</v>
      </c>
      <c r="N16" s="205" t="n">
        <v>87464</v>
      </c>
      <c r="O16" s="205" t="n">
        <v>106265</v>
      </c>
      <c r="P16" s="205" t="n">
        <v>136688.31</v>
      </c>
      <c r="Q16" s="205" t="n">
        <v>180358.14</v>
      </c>
      <c r="R16" s="205" t="n">
        <v>235873.55</v>
      </c>
      <c r="S16" s="205" t="n">
        <v>304531.45</v>
      </c>
      <c r="T16" s="205" t="n">
        <v>384276.13</v>
      </c>
    </row>
    <row r="17" ht="15" customHeight="1" s="197">
      <c r="A17" s="203" t="inlineStr">
        <is>
          <t>MSFT</t>
        </is>
      </c>
      <c r="B17" s="206" t="inlineStr">
        <is>
          <t>PP&amp;ENet</t>
        </is>
      </c>
      <c r="C17" s="205" t="n">
        <v>9991</v>
      </c>
      <c r="D17" s="205" t="n">
        <v>13011</v>
      </c>
      <c r="E17" s="205" t="n">
        <v>14731</v>
      </c>
      <c r="F17" s="205" t="n">
        <v>18356</v>
      </c>
      <c r="G17" s="205" t="n">
        <v>23734</v>
      </c>
      <c r="H17" s="205" t="n">
        <v>29460</v>
      </c>
      <c r="I17" s="205" t="n">
        <v>36477</v>
      </c>
      <c r="J17" s="205" t="n">
        <v>44151</v>
      </c>
      <c r="K17" s="205" t="n">
        <v>59715</v>
      </c>
      <c r="L17" s="205" t="n">
        <v>74398</v>
      </c>
      <c r="M17" s="205" t="n">
        <v>95641</v>
      </c>
      <c r="N17" s="205" t="n">
        <v>135591</v>
      </c>
      <c r="O17" s="205" t="n">
        <v>204966</v>
      </c>
      <c r="P17" s="205" t="n">
        <v>314226</v>
      </c>
      <c r="Q17" s="205" t="n">
        <v>499947.5</v>
      </c>
      <c r="R17" s="205" t="n">
        <v>693712.41</v>
      </c>
      <c r="S17" s="205" t="n">
        <v>864268.87</v>
      </c>
      <c r="T17" s="205" t="n">
        <v>1003045.34</v>
      </c>
    </row>
    <row r="18" ht="15" customHeight="1" s="197">
      <c r="A18" s="203" t="inlineStr">
        <is>
          <t>MSFT</t>
        </is>
      </c>
      <c r="B18" s="206" t="inlineStr">
        <is>
          <t>Useful Life(yr)</t>
        </is>
      </c>
      <c r="C18" s="208" t="n">
        <v>3.16</v>
      </c>
      <c r="D18" s="208" t="n">
        <v>2.69</v>
      </c>
      <c r="E18" s="208" t="n">
        <v>2.81</v>
      </c>
      <c r="F18" s="208" t="n">
        <v>2.83</v>
      </c>
      <c r="G18" s="208" t="n">
        <v>2.71</v>
      </c>
      <c r="H18" s="208" t="n">
        <v>2.73</v>
      </c>
      <c r="I18" s="208" t="n">
        <v>2.74</v>
      </c>
      <c r="J18" s="208" t="n">
        <v>3.08</v>
      </c>
      <c r="K18" s="208" t="n">
        <v>4.33</v>
      </c>
      <c r="L18" s="208" t="n">
        <v>4.12</v>
      </c>
      <c r="M18" s="208" t="n">
        <v>6.1</v>
      </c>
      <c r="N18" s="208" t="n">
        <v>5.59</v>
      </c>
      <c r="O18" s="208" t="n">
        <v>5.26</v>
      </c>
      <c r="P18" s="208" t="n">
        <v>4.89</v>
      </c>
      <c r="Q18" s="208" t="n">
        <v>4.36</v>
      </c>
      <c r="R18" s="208" t="n">
        <v>4.38</v>
      </c>
      <c r="S18" s="208" t="n">
        <v>4.6</v>
      </c>
      <c r="T18" s="208" t="n">
        <v>4.7</v>
      </c>
    </row>
    <row r="20" ht="15" customHeight="1" s="197">
      <c r="A20" s="209" t="inlineStr">
        <is>
          <t>AMZN (CY)</t>
        </is>
      </c>
    </row>
    <row r="21" ht="15" customHeight="1" s="197">
      <c r="A21" s="203" t="inlineStr">
        <is>
          <t>AMZN</t>
        </is>
      </c>
      <c r="B21" s="204" t="inlineStr">
        <is>
          <t>Revenue</t>
        </is>
      </c>
      <c r="C21" s="205" t="n">
        <v>74453</v>
      </c>
      <c r="D21" s="205" t="n">
        <v>88988.39999999999</v>
      </c>
      <c r="E21" s="205" t="n">
        <v>107006.6</v>
      </c>
      <c r="F21" s="205" t="n">
        <v>135987</v>
      </c>
      <c r="G21" s="205" t="n">
        <v>177866</v>
      </c>
      <c r="H21" s="205" t="n">
        <v>232887</v>
      </c>
      <c r="I21" s="205" t="n">
        <v>280522</v>
      </c>
      <c r="J21" s="205" t="n">
        <v>386064</v>
      </c>
      <c r="K21" s="205" t="n">
        <v>469822</v>
      </c>
      <c r="L21" s="205" t="n">
        <v>513983</v>
      </c>
      <c r="M21" s="205" t="n">
        <v>574785</v>
      </c>
      <c r="N21" s="205" t="n">
        <v>637959</v>
      </c>
      <c r="O21" s="205" t="n">
        <v>716924</v>
      </c>
      <c r="P21" s="205" t="n">
        <v>827599.51</v>
      </c>
      <c r="Q21" s="205" t="n">
        <v>946630.91</v>
      </c>
      <c r="R21" s="205" t="n">
        <v>1063340.59</v>
      </c>
      <c r="S21" s="205" t="n">
        <v>1183117.72</v>
      </c>
      <c r="T21" s="205" t="n">
        <v>1305415.48</v>
      </c>
    </row>
    <row r="22" ht="15" customHeight="1" s="197">
      <c r="A22" s="203" t="inlineStr">
        <is>
          <t>AMZN</t>
        </is>
      </c>
      <c r="B22" s="204" t="inlineStr">
        <is>
          <t>Operating Income</t>
        </is>
      </c>
      <c r="C22" s="205" t="n">
        <v>745</v>
      </c>
      <c r="D22" s="205" t="n">
        <v>178.4</v>
      </c>
      <c r="E22" s="205" t="n">
        <v>2232.6</v>
      </c>
      <c r="F22" s="205" t="n">
        <v>4186</v>
      </c>
      <c r="G22" s="205" t="n">
        <v>4107</v>
      </c>
      <c r="H22" s="205" t="n">
        <v>12420</v>
      </c>
      <c r="I22" s="205" t="n">
        <v>14540</v>
      </c>
      <c r="J22" s="205" t="n">
        <v>22899</v>
      </c>
      <c r="K22" s="205" t="n">
        <v>24879</v>
      </c>
      <c r="L22" s="205" t="n">
        <v>12248</v>
      </c>
      <c r="M22" s="205" t="n">
        <v>36852</v>
      </c>
      <c r="N22" s="205" t="n">
        <v>68593</v>
      </c>
      <c r="O22" s="205" t="n">
        <v>79975</v>
      </c>
      <c r="P22" s="205" t="n">
        <v>109001.86</v>
      </c>
      <c r="Q22" s="205" t="n">
        <v>146127.4</v>
      </c>
      <c r="R22" s="205" t="n">
        <v>183469.22</v>
      </c>
      <c r="S22" s="205" t="n">
        <v>223208.87</v>
      </c>
      <c r="T22" s="205" t="n">
        <v>264582.39</v>
      </c>
    </row>
    <row r="23" ht="15" customHeight="1" s="197">
      <c r="A23" s="203" t="inlineStr">
        <is>
          <t>AMZN</t>
        </is>
      </c>
      <c r="B23" s="204" t="inlineStr">
        <is>
          <t>Net Income</t>
        </is>
      </c>
      <c r="C23" s="205" t="n">
        <v>273</v>
      </c>
      <c r="D23" s="205" t="n">
        <v>-240.6</v>
      </c>
      <c r="E23" s="205" t="n">
        <v>596.1</v>
      </c>
      <c r="F23" s="205" t="n">
        <v>2371</v>
      </c>
      <c r="G23" s="205" t="n">
        <v>3033</v>
      </c>
      <c r="H23" s="205" t="n">
        <v>10073</v>
      </c>
      <c r="I23" s="205" t="n">
        <v>11588</v>
      </c>
      <c r="J23" s="205" t="n">
        <v>21331</v>
      </c>
      <c r="K23" s="205" t="n">
        <v>33364</v>
      </c>
      <c r="L23" s="205" t="n">
        <v>-2722</v>
      </c>
      <c r="M23" s="205" t="n">
        <v>30425</v>
      </c>
      <c r="N23" s="205" t="n">
        <v>59248</v>
      </c>
      <c r="O23" s="205" t="n">
        <v>77670</v>
      </c>
      <c r="P23" s="205" t="n">
        <v>98333.72</v>
      </c>
      <c r="Q23" s="205" t="n">
        <v>116218.4</v>
      </c>
      <c r="R23" s="205" t="n">
        <v>145016.4</v>
      </c>
      <c r="S23" s="205" t="n">
        <v>177176.2</v>
      </c>
      <c r="T23" s="205" t="n">
        <v>211925.99</v>
      </c>
    </row>
    <row r="24" ht="15" customHeight="1" s="197">
      <c r="A24" s="203" t="inlineStr">
        <is>
          <t>AMZN</t>
        </is>
      </c>
      <c r="B24" s="206" t="inlineStr">
        <is>
          <t>EPS</t>
        </is>
      </c>
      <c r="C24" s="207" t="n">
        <v>0.03</v>
      </c>
      <c r="D24" s="207" t="n">
        <v>-0.03</v>
      </c>
      <c r="E24" s="207" t="n">
        <v>0.06</v>
      </c>
      <c r="F24" s="207" t="n">
        <v>0.24</v>
      </c>
      <c r="G24" s="207" t="n">
        <v>0.31</v>
      </c>
      <c r="H24" s="207" t="n">
        <v>1.01</v>
      </c>
      <c r="I24" s="207" t="n">
        <v>1.15</v>
      </c>
      <c r="J24" s="207" t="n">
        <v>2.08</v>
      </c>
      <c r="K24" s="207" t="n">
        <v>3.25</v>
      </c>
      <c r="L24" s="207" t="n">
        <v>-0.26</v>
      </c>
      <c r="M24" s="207" t="n">
        <v>2.88</v>
      </c>
      <c r="N24" s="207" t="n">
        <v>5.53</v>
      </c>
      <c r="O24" s="207" t="n">
        <v>7.17</v>
      </c>
      <c r="P24" s="207" t="n">
        <v>9.02</v>
      </c>
      <c r="Q24" s="207" t="n">
        <v>10.58</v>
      </c>
      <c r="R24" s="207" t="n">
        <v>13.11</v>
      </c>
      <c r="S24" s="207" t="n">
        <v>15.92</v>
      </c>
      <c r="T24" s="207" t="n">
        <v>18.92</v>
      </c>
    </row>
    <row r="25" ht="15" customHeight="1" s="197">
      <c r="A25" s="203" t="inlineStr">
        <is>
          <t>AMZN</t>
        </is>
      </c>
      <c r="B25" s="204" t="inlineStr">
        <is>
          <t>Diluted Shares (mm)</t>
        </is>
      </c>
      <c r="C25" s="205" t="n">
        <v>9340</v>
      </c>
      <c r="D25" s="205" t="n">
        <v>9440</v>
      </c>
      <c r="E25" s="205" t="n">
        <v>9620</v>
      </c>
      <c r="F25" s="205" t="n">
        <v>9720</v>
      </c>
      <c r="G25" s="205" t="n">
        <v>9910</v>
      </c>
      <c r="H25" s="205" t="n">
        <v>10020</v>
      </c>
      <c r="I25" s="205" t="n">
        <v>10100</v>
      </c>
      <c r="J25" s="205" t="n">
        <v>10254</v>
      </c>
      <c r="K25" s="205" t="n">
        <v>10274.5</v>
      </c>
      <c r="L25" s="205" t="n">
        <v>10296.5</v>
      </c>
      <c r="M25" s="205" t="n">
        <v>10568.69</v>
      </c>
      <c r="N25" s="205" t="n">
        <v>10721</v>
      </c>
      <c r="O25" s="205" t="n">
        <v>10827</v>
      </c>
      <c r="P25" s="205" t="n">
        <v>10907.55</v>
      </c>
      <c r="Q25" s="205" t="n">
        <v>10986.16</v>
      </c>
      <c r="R25" s="205" t="n">
        <v>11059.39</v>
      </c>
      <c r="S25" s="205" t="n">
        <v>11131.13</v>
      </c>
      <c r="T25" s="205" t="n">
        <v>11201.4</v>
      </c>
    </row>
    <row r="26" ht="15" customHeight="1" s="197">
      <c r="A26" s="203" t="inlineStr">
        <is>
          <t>AMZN</t>
        </is>
      </c>
      <c r="B26" s="206" t="inlineStr">
        <is>
          <t>SBC</t>
        </is>
      </c>
      <c r="C26" s="205" t="n">
        <v>-1134</v>
      </c>
      <c r="D26" s="205" t="n">
        <v>-1497</v>
      </c>
      <c r="E26" s="205" t="n">
        <v>-2120</v>
      </c>
      <c r="F26" s="205" t="n">
        <v>-2975</v>
      </c>
      <c r="G26" s="205" t="n">
        <v>-4214</v>
      </c>
      <c r="H26" s="205" t="n">
        <v>-5418</v>
      </c>
      <c r="I26" s="205" t="n">
        <v>-6864</v>
      </c>
      <c r="J26" s="205" t="n">
        <v>-9208</v>
      </c>
      <c r="K26" s="205" t="n">
        <v>-12757</v>
      </c>
      <c r="L26" s="205" t="n">
        <v>-19621</v>
      </c>
      <c r="M26" s="205" t="n">
        <v>-24023</v>
      </c>
      <c r="N26" s="205" t="n">
        <v>-22077.4</v>
      </c>
      <c r="O26" s="205" t="n">
        <v>-19467</v>
      </c>
      <c r="P26" s="205" t="n">
        <v>-18863.32</v>
      </c>
      <c r="Q26" s="205" t="n">
        <v>-17920.15</v>
      </c>
      <c r="R26" s="205" t="n">
        <v>-18816.16</v>
      </c>
      <c r="S26" s="205" t="n">
        <v>-19756.97</v>
      </c>
      <c r="T26" s="205" t="n">
        <v>-20744.82</v>
      </c>
    </row>
    <row r="27" ht="15" customHeight="1" s="197">
      <c r="A27" s="203" t="inlineStr">
        <is>
          <t>AMZN</t>
        </is>
      </c>
      <c r="B27" s="206" t="inlineStr">
        <is>
          <t>D&amp;A</t>
        </is>
      </c>
      <c r="C27" s="205" t="n">
        <v>3253</v>
      </c>
      <c r="D27" s="205" t="n">
        <v>4745</v>
      </c>
      <c r="E27" s="205" t="n">
        <v>6281</v>
      </c>
      <c r="F27" s="205" t="n">
        <v>8117</v>
      </c>
      <c r="G27" s="205" t="n">
        <v>11478</v>
      </c>
      <c r="H27" s="205" t="n">
        <v>15341</v>
      </c>
      <c r="I27" s="205" t="n">
        <v>21789</v>
      </c>
      <c r="J27" s="205" t="n">
        <v>25251</v>
      </c>
      <c r="K27" s="205" t="n">
        <v>34296</v>
      </c>
      <c r="L27" s="205" t="n">
        <v>41461</v>
      </c>
      <c r="M27" s="205" t="n">
        <v>48663</v>
      </c>
      <c r="N27" s="205" t="n">
        <v>52795</v>
      </c>
      <c r="O27" s="205" t="n">
        <v>65756</v>
      </c>
      <c r="P27" s="205" t="n">
        <v>81175.82000000001</v>
      </c>
      <c r="Q27" s="205" t="n">
        <v>90716.92999999999</v>
      </c>
      <c r="R27" s="205" t="n">
        <v>120533.23</v>
      </c>
      <c r="S27" s="205" t="n">
        <v>150703.05</v>
      </c>
      <c r="T27" s="205" t="n">
        <v>175451.44</v>
      </c>
    </row>
    <row r="28" ht="15" customHeight="1" s="197">
      <c r="A28" s="203" t="inlineStr">
        <is>
          <t>AMZN</t>
        </is>
      </c>
      <c r="B28" s="206" t="inlineStr">
        <is>
          <t>Capex</t>
        </is>
      </c>
      <c r="C28" s="205" t="n">
        <v>3443</v>
      </c>
      <c r="D28" s="205" t="n">
        <v>4892</v>
      </c>
      <c r="E28" s="205" t="n">
        <v>4588</v>
      </c>
      <c r="F28" s="205" t="n">
        <v>6736</v>
      </c>
      <c r="G28" s="205" t="n">
        <v>10057</v>
      </c>
      <c r="H28" s="205" t="n">
        <v>11322</v>
      </c>
      <c r="I28" s="205" t="n">
        <v>12690</v>
      </c>
      <c r="J28" s="205" t="n">
        <v>35046</v>
      </c>
      <c r="K28" s="205" t="n">
        <v>55396</v>
      </c>
      <c r="L28" s="205" t="n">
        <v>58321</v>
      </c>
      <c r="M28" s="205" t="n">
        <v>48133</v>
      </c>
      <c r="N28" s="205" t="n">
        <v>77658</v>
      </c>
      <c r="O28" s="205" t="n">
        <v>128320</v>
      </c>
      <c r="P28" s="205" t="n">
        <v>200104.98</v>
      </c>
      <c r="Q28" s="205" t="n">
        <v>270141.72</v>
      </c>
      <c r="R28" s="205" t="n">
        <v>283648.81</v>
      </c>
      <c r="S28" s="205" t="n">
        <v>297831.25</v>
      </c>
      <c r="T28" s="205" t="n">
        <v>312722.81</v>
      </c>
    </row>
    <row r="29" ht="15" customHeight="1" s="197">
      <c r="A29" s="203" t="inlineStr">
        <is>
          <t>AMZN</t>
        </is>
      </c>
      <c r="B29" s="206" t="inlineStr">
        <is>
          <t>CFO</t>
        </is>
      </c>
      <c r="C29" s="205" t="n">
        <v>5474</v>
      </c>
      <c r="D29" s="205" t="n">
        <v>6841.4</v>
      </c>
      <c r="E29" s="205" t="n">
        <v>11920.1</v>
      </c>
      <c r="F29" s="205" t="n">
        <v>17271</v>
      </c>
      <c r="G29" s="205" t="n">
        <v>18434</v>
      </c>
      <c r="H29" s="205" t="n">
        <v>30724</v>
      </c>
      <c r="I29" s="205" t="n">
        <v>38515</v>
      </c>
      <c r="J29" s="205" t="n">
        <v>66064</v>
      </c>
      <c r="K29" s="205" t="n">
        <v>46327</v>
      </c>
      <c r="L29" s="205" t="n">
        <v>46752</v>
      </c>
      <c r="M29" s="205" t="n">
        <v>84946</v>
      </c>
      <c r="N29" s="205" t="n">
        <v>115877</v>
      </c>
      <c r="O29" s="205" t="n">
        <v>139514</v>
      </c>
      <c r="P29" s="205" t="n">
        <v>181004.31</v>
      </c>
      <c r="Q29" s="205" t="n">
        <v>224443.7</v>
      </c>
      <c r="R29" s="205" t="n">
        <v>281471.71</v>
      </c>
      <c r="S29" s="205" t="n">
        <v>342814.42</v>
      </c>
      <c r="T29" s="205" t="n">
        <v>401080.41</v>
      </c>
    </row>
    <row r="30" ht="15" customHeight="1" s="197">
      <c r="A30" s="203" t="inlineStr">
        <is>
          <t>AMZN</t>
        </is>
      </c>
      <c r="B30" s="206" t="inlineStr">
        <is>
          <t>FCF</t>
        </is>
      </c>
      <c r="C30" s="205" t="n">
        <v>2031</v>
      </c>
      <c r="D30" s="205" t="n">
        <v>1949.4</v>
      </c>
      <c r="E30" s="205" t="n">
        <v>7332.1</v>
      </c>
      <c r="F30" s="205" t="n">
        <v>10535</v>
      </c>
      <c r="G30" s="205" t="n">
        <v>8377</v>
      </c>
      <c r="H30" s="205" t="n">
        <v>19402</v>
      </c>
      <c r="I30" s="205" t="n">
        <v>25825</v>
      </c>
      <c r="J30" s="205" t="n">
        <v>31018</v>
      </c>
      <c r="K30" s="205" t="n">
        <v>-9069</v>
      </c>
      <c r="L30" s="205" t="n">
        <v>-11569</v>
      </c>
      <c r="M30" s="205" t="n">
        <v>36813</v>
      </c>
      <c r="N30" s="205" t="n">
        <v>38219</v>
      </c>
      <c r="O30" s="205" t="n">
        <v>11194</v>
      </c>
      <c r="P30" s="205" t="n">
        <v>-19100.67</v>
      </c>
      <c r="Q30" s="205" t="n">
        <v>-45698.02</v>
      </c>
      <c r="R30" s="205" t="n">
        <v>-2177.1</v>
      </c>
      <c r="S30" s="205" t="n">
        <v>44983.17</v>
      </c>
      <c r="T30" s="205" t="n">
        <v>88357.60000000001</v>
      </c>
    </row>
    <row r="31" ht="15" customHeight="1" s="197">
      <c r="A31" s="203" t="inlineStr">
        <is>
          <t>AMZN</t>
        </is>
      </c>
      <c r="B31" s="204" t="inlineStr">
        <is>
          <t>Buybacks</t>
        </is>
      </c>
      <c r="C31" s="205" t="n">
        <v>0</v>
      </c>
      <c r="D31" s="205" t="n">
        <v>0</v>
      </c>
      <c r="E31" s="205" t="n">
        <v>0</v>
      </c>
      <c r="F31" s="205" t="n">
        <v>0</v>
      </c>
      <c r="G31" s="205" t="n">
        <v>0</v>
      </c>
      <c r="H31" s="205" t="n">
        <v>0</v>
      </c>
      <c r="I31" s="205" t="n">
        <v>0</v>
      </c>
      <c r="J31" s="205" t="n">
        <v>0</v>
      </c>
      <c r="K31" s="205" t="n">
        <v>0</v>
      </c>
      <c r="L31" s="205" t="n">
        <v>6000</v>
      </c>
      <c r="M31" s="205" t="n">
        <v>0</v>
      </c>
      <c r="N31" s="205" t="n">
        <v>0</v>
      </c>
      <c r="O31" s="205" t="n">
        <v>0</v>
      </c>
      <c r="P31" s="205" t="n">
        <v>0</v>
      </c>
      <c r="Q31" s="205" t="n">
        <v>0</v>
      </c>
      <c r="R31" s="205" t="n">
        <v>0</v>
      </c>
      <c r="S31" s="205" t="n">
        <v>0</v>
      </c>
      <c r="T31" s="205" t="n">
        <v>0</v>
      </c>
    </row>
    <row r="32" ht="15" customHeight="1" s="197">
      <c r="A32" s="203" t="inlineStr">
        <is>
          <t>AMZN</t>
        </is>
      </c>
      <c r="B32" s="206" t="inlineStr">
        <is>
          <t>AWS Rev</t>
        </is>
      </c>
      <c r="C32" s="205" t="n">
        <v>3107.57</v>
      </c>
      <c r="D32" s="205" t="n">
        <v>4644</v>
      </c>
      <c r="E32" s="205" t="n">
        <v>7880</v>
      </c>
      <c r="F32" s="205" t="n">
        <v>12219</v>
      </c>
      <c r="G32" s="205" t="n">
        <v>17458</v>
      </c>
      <c r="H32" s="205" t="n">
        <v>25656</v>
      </c>
      <c r="I32" s="205" t="n">
        <v>35026</v>
      </c>
      <c r="J32" s="205" t="n">
        <v>45370</v>
      </c>
      <c r="K32" s="205" t="n">
        <v>62202</v>
      </c>
      <c r="L32" s="205" t="n">
        <v>80096</v>
      </c>
      <c r="M32" s="205" t="n">
        <v>90757</v>
      </c>
      <c r="N32" s="205" t="n">
        <v>107556</v>
      </c>
      <c r="O32" s="205" t="n">
        <v>128725</v>
      </c>
      <c r="P32" s="205" t="n">
        <v>171284.9</v>
      </c>
      <c r="Q32" s="205" t="n">
        <v>225587.94</v>
      </c>
      <c r="R32" s="205" t="n">
        <v>274421.67</v>
      </c>
      <c r="S32" s="205" t="n">
        <v>323817.58</v>
      </c>
      <c r="T32" s="205" t="n">
        <v>374009.3</v>
      </c>
    </row>
    <row r="33" ht="15" customHeight="1" s="197">
      <c r="A33" s="203" t="inlineStr">
        <is>
          <t>AMZN</t>
        </is>
      </c>
      <c r="B33" s="206" t="inlineStr">
        <is>
          <t>AWS OI</t>
        </is>
      </c>
      <c r="C33" s="210" t="n"/>
      <c r="D33" s="205" t="n">
        <v>458</v>
      </c>
      <c r="E33" s="205" t="n">
        <v>1508</v>
      </c>
      <c r="F33" s="205" t="n">
        <v>3109</v>
      </c>
      <c r="G33" s="205" t="n">
        <v>4331</v>
      </c>
      <c r="H33" s="205" t="n">
        <v>7296</v>
      </c>
      <c r="I33" s="205" t="n">
        <v>9201</v>
      </c>
      <c r="J33" s="205" t="n">
        <v>13531</v>
      </c>
      <c r="K33" s="205" t="n">
        <v>18532</v>
      </c>
      <c r="L33" s="205" t="n">
        <v>22841</v>
      </c>
      <c r="M33" s="205" t="n">
        <v>24631</v>
      </c>
      <c r="N33" s="205" t="n">
        <v>39834</v>
      </c>
      <c r="O33" s="205" t="n">
        <v>45606</v>
      </c>
      <c r="P33" s="205" t="n">
        <v>61254.41</v>
      </c>
      <c r="Q33" s="205" t="n">
        <v>81248.3</v>
      </c>
      <c r="R33" s="205" t="n">
        <v>100888.47</v>
      </c>
      <c r="S33" s="205" t="n">
        <v>121477.03</v>
      </c>
      <c r="T33" s="205" t="n">
        <v>143111.04</v>
      </c>
    </row>
    <row r="35" ht="15" customHeight="1" s="197">
      <c r="A35" s="211" t="inlineStr">
        <is>
          <t>GOOGL (CY)</t>
        </is>
      </c>
    </row>
    <row r="36" ht="15" customHeight="1" s="197">
      <c r="A36" s="203" t="inlineStr">
        <is>
          <t>GOOGL</t>
        </is>
      </c>
      <c r="B36" s="204" t="inlineStr">
        <is>
          <t>Revenue</t>
        </is>
      </c>
      <c r="C36" s="205" t="n">
        <v>55519</v>
      </c>
      <c r="D36" s="205" t="n">
        <v>66001</v>
      </c>
      <c r="E36" s="205" t="n">
        <v>74989</v>
      </c>
      <c r="F36" s="205" t="n">
        <v>90272</v>
      </c>
      <c r="G36" s="205" t="n">
        <v>110855</v>
      </c>
      <c r="H36" s="205" t="n">
        <v>136819</v>
      </c>
      <c r="I36" s="205" t="n">
        <v>161857</v>
      </c>
      <c r="J36" s="205" t="n">
        <v>182527</v>
      </c>
      <c r="K36" s="205" t="n">
        <v>257637</v>
      </c>
      <c r="L36" s="205" t="n">
        <v>282836</v>
      </c>
      <c r="M36" s="205" t="n">
        <v>307394</v>
      </c>
      <c r="N36" s="205" t="n">
        <v>350018</v>
      </c>
      <c r="O36" s="205" t="n">
        <v>402836</v>
      </c>
      <c r="P36" s="205" t="n">
        <v>488278.6</v>
      </c>
      <c r="Q36" s="205" t="n">
        <v>591935.74</v>
      </c>
      <c r="R36" s="205" t="n">
        <v>701414.49</v>
      </c>
      <c r="S36" s="205" t="n">
        <v>815276.88</v>
      </c>
      <c r="T36" s="205" t="n">
        <v>921874.95</v>
      </c>
    </row>
    <row r="37" ht="15" customHeight="1" s="197">
      <c r="A37" s="203" t="inlineStr">
        <is>
          <t>GOOGL</t>
        </is>
      </c>
      <c r="B37" s="204" t="inlineStr">
        <is>
          <t>Operating Income</t>
        </is>
      </c>
      <c r="C37" s="205" t="n">
        <v>15403</v>
      </c>
      <c r="D37" s="205" t="n">
        <v>16496</v>
      </c>
      <c r="E37" s="205" t="n">
        <v>19360</v>
      </c>
      <c r="F37" s="205" t="n">
        <v>23716</v>
      </c>
      <c r="G37" s="205" t="n">
        <v>26146</v>
      </c>
      <c r="H37" s="205" t="n">
        <v>26953</v>
      </c>
      <c r="I37" s="205" t="n">
        <v>34231</v>
      </c>
      <c r="J37" s="205" t="n">
        <v>41224</v>
      </c>
      <c r="K37" s="205" t="n">
        <v>78714</v>
      </c>
      <c r="L37" s="205" t="n">
        <v>74842</v>
      </c>
      <c r="M37" s="205" t="n">
        <v>84293</v>
      </c>
      <c r="N37" s="205" t="n">
        <v>112390</v>
      </c>
      <c r="O37" s="205" t="n">
        <v>129039</v>
      </c>
      <c r="P37" s="205" t="n">
        <v>167318.21</v>
      </c>
      <c r="Q37" s="205" t="n">
        <v>210287.33</v>
      </c>
      <c r="R37" s="205" t="n">
        <v>253779.42</v>
      </c>
      <c r="S37" s="205" t="n">
        <v>298519.7</v>
      </c>
      <c r="T37" s="205" t="n">
        <v>338347.07</v>
      </c>
    </row>
    <row r="38" ht="15" customHeight="1" s="197">
      <c r="A38" s="203" t="inlineStr">
        <is>
          <t>GOOGL</t>
        </is>
      </c>
      <c r="B38" s="204" t="inlineStr">
        <is>
          <t>Net Income</t>
        </is>
      </c>
      <c r="C38" s="205" t="n">
        <v>12720</v>
      </c>
      <c r="D38" s="205" t="n">
        <v>14136</v>
      </c>
      <c r="E38" s="205" t="n">
        <v>16348</v>
      </c>
      <c r="F38" s="205" t="n">
        <v>19478</v>
      </c>
      <c r="G38" s="205" t="n">
        <v>12662</v>
      </c>
      <c r="H38" s="205" t="n">
        <v>30736</v>
      </c>
      <c r="I38" s="205" t="n">
        <v>34343</v>
      </c>
      <c r="J38" s="205" t="n">
        <v>40269</v>
      </c>
      <c r="K38" s="205" t="n">
        <v>76033</v>
      </c>
      <c r="L38" s="205" t="n">
        <v>59972</v>
      </c>
      <c r="M38" s="205" t="n">
        <v>73795</v>
      </c>
      <c r="N38" s="205" t="n">
        <v>100118</v>
      </c>
      <c r="O38" s="205" t="n">
        <v>132170</v>
      </c>
      <c r="P38" s="205" t="n">
        <v>168543.28</v>
      </c>
      <c r="Q38" s="205" t="n">
        <v>174626.97</v>
      </c>
      <c r="R38" s="205" t="n">
        <v>210753.44</v>
      </c>
      <c r="S38" s="205" t="n">
        <v>249488.6</v>
      </c>
      <c r="T38" s="205" t="n">
        <v>285975.76</v>
      </c>
    </row>
    <row r="39" ht="15" customHeight="1" s="197">
      <c r="A39" s="203" t="inlineStr">
        <is>
          <t>GOOGL</t>
        </is>
      </c>
      <c r="B39" s="206" t="inlineStr">
        <is>
          <t>EPS</t>
        </is>
      </c>
      <c r="C39" s="207" t="n">
        <v>0.9399999999999999</v>
      </c>
      <c r="D39" s="207" t="n">
        <v>1.03</v>
      </c>
      <c r="E39" s="207" t="n">
        <v>1.18</v>
      </c>
      <c r="F39" s="207" t="n">
        <v>1.39</v>
      </c>
      <c r="G39" s="207" t="n">
        <v>0.9</v>
      </c>
      <c r="H39" s="207" t="n">
        <v>2.19</v>
      </c>
      <c r="I39" s="207" t="n">
        <v>2.46</v>
      </c>
      <c r="J39" s="207" t="n">
        <v>2.93</v>
      </c>
      <c r="K39" s="207" t="n">
        <v>5.61</v>
      </c>
      <c r="L39" s="207" t="n">
        <v>4.56</v>
      </c>
      <c r="M39" s="207" t="n">
        <v>5.8</v>
      </c>
      <c r="N39" s="207" t="n">
        <v>8.039999999999999</v>
      </c>
      <c r="O39" s="207" t="n">
        <v>10.81</v>
      </c>
      <c r="P39" s="207" t="n">
        <v>13.73</v>
      </c>
      <c r="Q39" s="207" t="n">
        <v>14.16</v>
      </c>
      <c r="R39" s="207" t="n">
        <v>17.04</v>
      </c>
      <c r="S39" s="207" t="n">
        <v>20.12</v>
      </c>
      <c r="T39" s="207" t="n">
        <v>22.99</v>
      </c>
    </row>
    <row r="40" ht="15" customHeight="1" s="197">
      <c r="A40" s="203" t="inlineStr">
        <is>
          <t>GOOGL</t>
        </is>
      </c>
      <c r="B40" s="204" t="inlineStr">
        <is>
          <t>Diluted Shares (mm)</t>
        </is>
      </c>
      <c r="C40" s="205" t="n">
        <v>13552.38</v>
      </c>
      <c r="D40" s="205" t="n">
        <v>13741.41</v>
      </c>
      <c r="E40" s="205" t="n">
        <v>13858.6</v>
      </c>
      <c r="F40" s="205" t="n">
        <v>13974.09</v>
      </c>
      <c r="G40" s="205" t="n">
        <v>14071.67</v>
      </c>
      <c r="H40" s="205" t="n">
        <v>14065.69</v>
      </c>
      <c r="I40" s="205" t="n">
        <v>13971.13</v>
      </c>
      <c r="J40" s="205" t="n">
        <v>13740.56</v>
      </c>
      <c r="K40" s="205" t="n">
        <v>13553</v>
      </c>
      <c r="L40" s="205" t="n">
        <v>13159</v>
      </c>
      <c r="M40" s="205" t="n">
        <v>12722</v>
      </c>
      <c r="N40" s="205" t="n">
        <v>12447</v>
      </c>
      <c r="O40" s="205" t="n">
        <v>12230</v>
      </c>
      <c r="P40" s="205" t="n">
        <v>12275.96</v>
      </c>
      <c r="Q40" s="205" t="n">
        <v>12335.53</v>
      </c>
      <c r="R40" s="205" t="n">
        <v>12366.42</v>
      </c>
      <c r="S40" s="205" t="n">
        <v>12399.99</v>
      </c>
      <c r="T40" s="205" t="n">
        <v>12436.85</v>
      </c>
    </row>
    <row r="41" ht="15" customHeight="1" s="197">
      <c r="A41" s="203" t="inlineStr">
        <is>
          <t>GOOGL</t>
        </is>
      </c>
      <c r="B41" s="206" t="inlineStr">
        <is>
          <t>SBC</t>
        </is>
      </c>
      <c r="C41" s="205" t="n">
        <v>-3268</v>
      </c>
      <c r="D41" s="205" t="n">
        <v>-4175</v>
      </c>
      <c r="E41" s="205" t="n">
        <v>-4903</v>
      </c>
      <c r="F41" s="205" t="n">
        <v>-6703</v>
      </c>
      <c r="G41" s="205" t="n">
        <v>-7679</v>
      </c>
      <c r="H41" s="205" t="n">
        <v>-9353</v>
      </c>
      <c r="I41" s="205" t="n">
        <v>-10794</v>
      </c>
      <c r="J41" s="205" t="n">
        <v>-12991</v>
      </c>
      <c r="K41" s="205" t="n">
        <v>-15376</v>
      </c>
      <c r="L41" s="205" t="n">
        <v>-19362</v>
      </c>
      <c r="M41" s="205" t="n">
        <v>-22460</v>
      </c>
      <c r="N41" s="205" t="n">
        <v>-22785</v>
      </c>
      <c r="O41" s="205" t="n">
        <v>-24953</v>
      </c>
      <c r="P41" s="205" t="n">
        <v>-27937.33</v>
      </c>
      <c r="Q41" s="205" t="n">
        <v>-30032.63</v>
      </c>
      <c r="R41" s="205" t="n">
        <v>-31979.73</v>
      </c>
      <c r="S41" s="205" t="n">
        <v>-33657.1</v>
      </c>
      <c r="T41" s="205" t="n">
        <v>-35339.95</v>
      </c>
    </row>
    <row r="42" ht="15" customHeight="1" s="197">
      <c r="A42" s="203" t="inlineStr">
        <is>
          <t>GOOGL</t>
        </is>
      </c>
      <c r="B42" s="206" t="inlineStr">
        <is>
          <t>D&amp;A</t>
        </is>
      </c>
      <c r="C42" s="205" t="n">
        <v>2781</v>
      </c>
      <c r="D42" s="205" t="n">
        <v>3523</v>
      </c>
      <c r="E42" s="205" t="n">
        <v>4132</v>
      </c>
      <c r="F42" s="205" t="n">
        <v>5267</v>
      </c>
      <c r="G42" s="205" t="n">
        <v>6103</v>
      </c>
      <c r="H42" s="205" t="n">
        <v>8164</v>
      </c>
      <c r="I42" s="205" t="n">
        <v>10856</v>
      </c>
      <c r="J42" s="205" t="n">
        <v>12905</v>
      </c>
      <c r="K42" s="205" t="n">
        <v>11555</v>
      </c>
      <c r="L42" s="205" t="n">
        <v>15287</v>
      </c>
      <c r="M42" s="205" t="n">
        <v>13326</v>
      </c>
      <c r="N42" s="205" t="n">
        <v>15311</v>
      </c>
      <c r="O42" s="205" t="n">
        <v>21136</v>
      </c>
      <c r="P42" s="205" t="n">
        <v>42874.7</v>
      </c>
      <c r="Q42" s="205" t="n">
        <v>69582.72</v>
      </c>
      <c r="R42" s="205" t="n">
        <v>98340.16</v>
      </c>
      <c r="S42" s="205" t="n">
        <v>127674.93</v>
      </c>
      <c r="T42" s="205" t="n">
        <v>156155.17</v>
      </c>
    </row>
    <row r="43" ht="15" customHeight="1" s="197">
      <c r="A43" s="203" t="inlineStr">
        <is>
          <t>GOOGL</t>
        </is>
      </c>
      <c r="B43" s="206" t="inlineStr">
        <is>
          <t>Capex</t>
        </is>
      </c>
      <c r="C43" s="205" t="n">
        <v>7358</v>
      </c>
      <c r="D43" s="205" t="n">
        <v>10959</v>
      </c>
      <c r="E43" s="205" t="n">
        <v>9915</v>
      </c>
      <c r="F43" s="205" t="n">
        <v>10183</v>
      </c>
      <c r="G43" s="205" t="n">
        <v>13184</v>
      </c>
      <c r="H43" s="205" t="n">
        <v>25139</v>
      </c>
      <c r="I43" s="205" t="n">
        <v>23548</v>
      </c>
      <c r="J43" s="205" t="n">
        <v>22281</v>
      </c>
      <c r="K43" s="205" t="n">
        <v>24640</v>
      </c>
      <c r="L43" s="205" t="n">
        <v>31485</v>
      </c>
      <c r="M43" s="205" t="n">
        <v>32251</v>
      </c>
      <c r="N43" s="205" t="n">
        <v>52535</v>
      </c>
      <c r="O43" s="205" t="n">
        <v>91447</v>
      </c>
      <c r="P43" s="205" t="n">
        <v>185234.28</v>
      </c>
      <c r="Q43" s="205" t="n">
        <v>259327.99</v>
      </c>
      <c r="R43" s="205" t="n">
        <v>285260.79</v>
      </c>
      <c r="S43" s="205" t="n">
        <v>299523.83</v>
      </c>
      <c r="T43" s="205" t="n">
        <v>314500.02</v>
      </c>
    </row>
    <row r="44" ht="15" customHeight="1" s="197">
      <c r="A44" s="203" t="inlineStr">
        <is>
          <t>GOOGL</t>
        </is>
      </c>
      <c r="B44" s="206" t="inlineStr">
        <is>
          <t>CFO</t>
        </is>
      </c>
      <c r="C44" s="205" t="n">
        <v>18584</v>
      </c>
      <c r="D44" s="205" t="n">
        <v>22272</v>
      </c>
      <c r="E44" s="205" t="n">
        <v>25829</v>
      </c>
      <c r="F44" s="205" t="n">
        <v>36036</v>
      </c>
      <c r="G44" s="205" t="n">
        <v>37091</v>
      </c>
      <c r="H44" s="205" t="n">
        <v>47971</v>
      </c>
      <c r="I44" s="205" t="n">
        <v>54520</v>
      </c>
      <c r="J44" s="205" t="n">
        <v>65124</v>
      </c>
      <c r="K44" s="205" t="n">
        <v>91652</v>
      </c>
      <c r="L44" s="205" t="n">
        <v>91495</v>
      </c>
      <c r="M44" s="205" t="n">
        <v>101746</v>
      </c>
      <c r="N44" s="205" t="n">
        <v>125299</v>
      </c>
      <c r="O44" s="205" t="n">
        <v>164713</v>
      </c>
      <c r="P44" s="205" t="n">
        <v>211985.47</v>
      </c>
      <c r="Q44" s="205" t="n">
        <v>282346.21</v>
      </c>
      <c r="R44" s="205" t="n">
        <v>352943.8</v>
      </c>
      <c r="S44" s="205" t="n">
        <v>424226.82</v>
      </c>
      <c r="T44" s="205" t="n">
        <v>490867.35</v>
      </c>
    </row>
    <row r="45" ht="15" customHeight="1" s="197">
      <c r="A45" s="203" t="inlineStr">
        <is>
          <t>GOOGL</t>
        </is>
      </c>
      <c r="B45" s="206" t="inlineStr">
        <is>
          <t>FCF</t>
        </is>
      </c>
      <c r="C45" s="205" t="n">
        <v>11226</v>
      </c>
      <c r="D45" s="205" t="n">
        <v>11313</v>
      </c>
      <c r="E45" s="205" t="n">
        <v>15914</v>
      </c>
      <c r="F45" s="205" t="n">
        <v>25853</v>
      </c>
      <c r="G45" s="205" t="n">
        <v>23907</v>
      </c>
      <c r="H45" s="205" t="n">
        <v>22832</v>
      </c>
      <c r="I45" s="205" t="n">
        <v>30972</v>
      </c>
      <c r="J45" s="205" t="n">
        <v>42843</v>
      </c>
      <c r="K45" s="205" t="n">
        <v>67012</v>
      </c>
      <c r="L45" s="205" t="n">
        <v>60010</v>
      </c>
      <c r="M45" s="205" t="n">
        <v>69495</v>
      </c>
      <c r="N45" s="205" t="n">
        <v>72764</v>
      </c>
      <c r="O45" s="205" t="n">
        <v>73266</v>
      </c>
      <c r="P45" s="205" t="n">
        <v>26751.19</v>
      </c>
      <c r="Q45" s="205" t="n">
        <v>23018.22</v>
      </c>
      <c r="R45" s="205" t="n">
        <v>67683.00999999999</v>
      </c>
      <c r="S45" s="205" t="n">
        <v>124702.99</v>
      </c>
      <c r="T45" s="205" t="n">
        <v>176367.33</v>
      </c>
    </row>
    <row r="46" ht="15" customHeight="1" s="197">
      <c r="A46" s="203" t="inlineStr">
        <is>
          <t>GOOGL</t>
        </is>
      </c>
      <c r="B46" s="204" t="inlineStr">
        <is>
          <t>Buybacks</t>
        </is>
      </c>
      <c r="C46" s="205" t="n">
        <v>0</v>
      </c>
      <c r="D46" s="205" t="n">
        <v>0</v>
      </c>
      <c r="E46" s="205" t="n">
        <v>1827</v>
      </c>
      <c r="F46" s="205" t="n">
        <v>3693</v>
      </c>
      <c r="G46" s="205" t="n">
        <v>4846</v>
      </c>
      <c r="H46" s="205" t="n">
        <v>9075</v>
      </c>
      <c r="I46" s="205" t="n">
        <v>18396</v>
      </c>
      <c r="J46" s="205" t="n">
        <v>31149</v>
      </c>
      <c r="K46" s="205" t="n">
        <v>50274</v>
      </c>
      <c r="L46" s="205" t="n">
        <v>59296</v>
      </c>
      <c r="M46" s="205" t="n">
        <v>61504</v>
      </c>
      <c r="N46" s="205" t="n">
        <v>62222</v>
      </c>
      <c r="O46" s="205" t="n">
        <v>45709</v>
      </c>
      <c r="P46" s="205" t="n">
        <v>0</v>
      </c>
      <c r="Q46" s="205" t="n">
        <v>20000</v>
      </c>
      <c r="R46" s="205" t="n">
        <v>20000</v>
      </c>
      <c r="S46" s="205" t="n">
        <v>20000</v>
      </c>
      <c r="T46" s="205" t="n">
        <v>15000</v>
      </c>
    </row>
    <row r="47" ht="15" customHeight="1" s="197">
      <c r="A47" s="203" t="inlineStr">
        <is>
          <t>GOOGL</t>
        </is>
      </c>
      <c r="B47" s="206" t="inlineStr">
        <is>
          <t>Cloud Rev</t>
        </is>
      </c>
      <c r="C47" s="210" t="n"/>
      <c r="D47" s="210" t="n"/>
      <c r="E47" s="210" t="n"/>
      <c r="F47" s="210" t="n"/>
      <c r="G47" s="205" t="n">
        <v>4056</v>
      </c>
      <c r="H47" s="205" t="n">
        <v>5838</v>
      </c>
      <c r="I47" s="205" t="n">
        <v>8918</v>
      </c>
      <c r="J47" s="205" t="n">
        <v>13059</v>
      </c>
      <c r="K47" s="205" t="n">
        <v>19206</v>
      </c>
      <c r="L47" s="205" t="n">
        <v>26280</v>
      </c>
      <c r="M47" s="205" t="n">
        <v>33088</v>
      </c>
      <c r="N47" s="205" t="n">
        <v>43229</v>
      </c>
      <c r="O47" s="205" t="n">
        <v>58705</v>
      </c>
      <c r="P47" s="205" t="n">
        <v>99085.92999999999</v>
      </c>
      <c r="Q47" s="205" t="n">
        <v>157303.91</v>
      </c>
      <c r="R47" s="205" t="n">
        <v>220225.47</v>
      </c>
      <c r="S47" s="205" t="n">
        <v>286293.12</v>
      </c>
      <c r="T47" s="205" t="n">
        <v>343551.74</v>
      </c>
    </row>
    <row r="48" ht="15" customHeight="1" s="197">
      <c r="A48" s="203" t="inlineStr">
        <is>
          <t>GOOGL</t>
        </is>
      </c>
      <c r="B48" s="206" t="inlineStr">
        <is>
          <t>Search Rev</t>
        </is>
      </c>
      <c r="C48" s="210" t="n"/>
      <c r="D48" s="210" t="n"/>
      <c r="E48" s="210" t="n"/>
      <c r="F48" s="210" t="n"/>
      <c r="G48" s="205" t="n">
        <v>69811</v>
      </c>
      <c r="H48" s="205" t="n">
        <v>85296</v>
      </c>
      <c r="I48" s="205" t="n">
        <v>98115</v>
      </c>
      <c r="J48" s="205" t="n">
        <v>104062</v>
      </c>
      <c r="K48" s="205" t="n">
        <v>148951</v>
      </c>
      <c r="L48" s="205" t="n">
        <v>162450</v>
      </c>
      <c r="M48" s="205" t="n">
        <v>175033</v>
      </c>
      <c r="N48" s="205" t="n">
        <v>198084</v>
      </c>
      <c r="O48" s="205" t="n">
        <v>224532</v>
      </c>
      <c r="P48" s="205" t="n">
        <v>258723.55</v>
      </c>
      <c r="Q48" s="205" t="n">
        <v>291360.5</v>
      </c>
      <c r="R48" s="205" t="n">
        <v>324483.39</v>
      </c>
      <c r="S48" s="205" t="n">
        <v>358139.29</v>
      </c>
      <c r="T48" s="205" t="n">
        <v>392613.71</v>
      </c>
    </row>
    <row r="49" ht="15" customHeight="1" s="197">
      <c r="A49" s="203" t="inlineStr">
        <is>
          <t>GOOGL</t>
        </is>
      </c>
      <c r="B49" s="206" t="inlineStr">
        <is>
          <t>YouTube Rev</t>
        </is>
      </c>
      <c r="C49" s="210" t="n"/>
      <c r="D49" s="210" t="n"/>
      <c r="E49" s="210" t="n"/>
      <c r="F49" s="210" t="n"/>
      <c r="G49" s="205" t="n">
        <v>8150</v>
      </c>
      <c r="H49" s="205" t="n">
        <v>11115</v>
      </c>
      <c r="I49" s="205" t="n">
        <v>15149</v>
      </c>
      <c r="J49" s="205" t="n">
        <v>19772</v>
      </c>
      <c r="K49" s="205" t="n">
        <v>28845</v>
      </c>
      <c r="L49" s="205" t="n">
        <v>29243</v>
      </c>
      <c r="M49" s="205" t="n">
        <v>31510</v>
      </c>
      <c r="N49" s="205" t="n">
        <v>36147</v>
      </c>
      <c r="O49" s="205" t="n">
        <v>40367</v>
      </c>
      <c r="P49" s="205" t="n">
        <v>43997.73</v>
      </c>
      <c r="Q49" s="205" t="n">
        <v>49277.45</v>
      </c>
      <c r="R49" s="205" t="n">
        <v>54574.78</v>
      </c>
      <c r="S49" s="205" t="n">
        <v>59759.38</v>
      </c>
      <c r="T49" s="205" t="n">
        <v>64838.93</v>
      </c>
    </row>
    <row r="50" ht="15" customHeight="1" s="197">
      <c r="A50" s="203" t="inlineStr">
        <is>
          <t>GOOGL</t>
        </is>
      </c>
      <c r="B50" s="206" t="inlineStr">
        <is>
          <t>GCloud OI</t>
        </is>
      </c>
      <c r="C50" s="210" t="n"/>
      <c r="D50" s="210" t="n"/>
      <c r="E50" s="210" t="n"/>
      <c r="F50" s="210" t="n"/>
      <c r="G50" s="210" t="n"/>
      <c r="H50" s="205" t="n">
        <v>-4348</v>
      </c>
      <c r="I50" s="205" t="n">
        <v>-4645</v>
      </c>
      <c r="J50" s="205" t="n">
        <v>-5607</v>
      </c>
      <c r="K50" s="205" t="n">
        <v>-2282</v>
      </c>
      <c r="L50" s="205" t="n">
        <v>-1922</v>
      </c>
      <c r="M50" s="205" t="n">
        <v>1716</v>
      </c>
      <c r="N50" s="205" t="n">
        <v>6112</v>
      </c>
      <c r="O50" s="205" t="n">
        <v>13910</v>
      </c>
      <c r="P50" s="205" t="n">
        <v>32420.97</v>
      </c>
      <c r="Q50" s="205" t="n">
        <v>57771.82</v>
      </c>
      <c r="R50" s="205" t="n">
        <v>85285.05</v>
      </c>
      <c r="S50" s="205" t="n">
        <v>113733.5</v>
      </c>
      <c r="T50" s="205" t="n">
        <v>138713.29</v>
      </c>
    </row>
    <row r="52" ht="15" customHeight="1" s="197">
      <c r="A52" s="212" t="inlineStr">
        <is>
          <t>META (CY)</t>
        </is>
      </c>
    </row>
    <row r="53" ht="15" customHeight="1" s="197">
      <c r="A53" s="203" t="inlineStr">
        <is>
          <t>META</t>
        </is>
      </c>
      <c r="B53" s="204" t="inlineStr">
        <is>
          <t>Revenue</t>
        </is>
      </c>
      <c r="C53" s="205" t="n">
        <v>7872</v>
      </c>
      <c r="D53" s="205" t="n">
        <v>12466</v>
      </c>
      <c r="E53" s="205" t="n">
        <v>17927</v>
      </c>
      <c r="F53" s="205" t="n">
        <v>27638</v>
      </c>
      <c r="G53" s="205" t="n">
        <v>40653</v>
      </c>
      <c r="H53" s="205" t="n">
        <v>55838</v>
      </c>
      <c r="I53" s="205" t="n">
        <v>70696.5</v>
      </c>
      <c r="J53" s="205" t="n">
        <v>85966</v>
      </c>
      <c r="K53" s="205" t="n">
        <v>117929</v>
      </c>
      <c r="L53" s="205" t="n">
        <v>116609</v>
      </c>
      <c r="M53" s="205" t="n">
        <v>134901</v>
      </c>
      <c r="N53" s="205" t="n">
        <v>164500</v>
      </c>
      <c r="O53" s="205" t="n">
        <v>200965</v>
      </c>
      <c r="P53" s="205" t="n">
        <v>255175.56</v>
      </c>
      <c r="Q53" s="205" t="n">
        <v>306410.52</v>
      </c>
      <c r="R53" s="205" t="n">
        <v>357336.07</v>
      </c>
      <c r="S53" s="205" t="n">
        <v>407351.97</v>
      </c>
      <c r="T53" s="205" t="n">
        <v>456192.68</v>
      </c>
    </row>
    <row r="54" ht="15" customHeight="1" s="197">
      <c r="A54" s="203" t="inlineStr">
        <is>
          <t>META</t>
        </is>
      </c>
      <c r="B54" s="204" t="inlineStr">
        <is>
          <t>Operating Income</t>
        </is>
      </c>
      <c r="C54" s="205" t="n">
        <v>2804</v>
      </c>
      <c r="D54" s="205" t="n">
        <v>4994.8</v>
      </c>
      <c r="E54" s="205" t="n">
        <v>6225</v>
      </c>
      <c r="F54" s="205" t="n">
        <v>12427</v>
      </c>
      <c r="G54" s="205" t="n">
        <v>20202</v>
      </c>
      <c r="H54" s="205" t="n">
        <v>24913</v>
      </c>
      <c r="I54" s="205" t="n">
        <v>23985.5</v>
      </c>
      <c r="J54" s="205" t="n">
        <v>32671</v>
      </c>
      <c r="K54" s="205" t="n">
        <v>46753</v>
      </c>
      <c r="L54" s="205" t="n">
        <v>28945</v>
      </c>
      <c r="M54" s="205" t="n">
        <v>46751</v>
      </c>
      <c r="N54" s="205" t="n">
        <v>69380</v>
      </c>
      <c r="O54" s="205" t="n">
        <v>83276</v>
      </c>
      <c r="P54" s="205" t="n">
        <v>90489.78999999999</v>
      </c>
      <c r="Q54" s="205" t="n">
        <v>104437.61</v>
      </c>
      <c r="R54" s="205" t="n">
        <v>118413.08</v>
      </c>
      <c r="S54" s="205" t="n">
        <v>131523.75</v>
      </c>
      <c r="T54" s="205" t="n">
        <v>142814.67</v>
      </c>
    </row>
    <row r="55" ht="15" customHeight="1" s="197">
      <c r="A55" s="203" t="inlineStr">
        <is>
          <t>META</t>
        </is>
      </c>
      <c r="B55" s="204" t="inlineStr">
        <is>
          <t>Net Income</t>
        </is>
      </c>
      <c r="C55" s="205" t="n">
        <v>1491</v>
      </c>
      <c r="D55" s="205" t="n">
        <v>2924.8</v>
      </c>
      <c r="E55" s="205" t="n">
        <v>3669</v>
      </c>
      <c r="F55" s="205" t="n">
        <v>10187.2</v>
      </c>
      <c r="G55" s="205" t="n">
        <v>15919</v>
      </c>
      <c r="H55" s="205" t="n">
        <v>22112</v>
      </c>
      <c r="I55" s="205" t="n">
        <v>18484.5</v>
      </c>
      <c r="J55" s="205" t="n">
        <v>29145</v>
      </c>
      <c r="K55" s="205" t="n">
        <v>39370</v>
      </c>
      <c r="L55" s="205" t="n">
        <v>23199</v>
      </c>
      <c r="M55" s="205" t="n">
        <v>39097</v>
      </c>
      <c r="N55" s="205" t="n">
        <v>62360</v>
      </c>
      <c r="O55" s="205" t="n">
        <v>60458</v>
      </c>
      <c r="P55" s="205" t="n">
        <v>85782.86</v>
      </c>
      <c r="Q55" s="205" t="n">
        <v>91160.94</v>
      </c>
      <c r="R55" s="205" t="n">
        <v>103452.71</v>
      </c>
      <c r="S55" s="205" t="n">
        <v>115846.5</v>
      </c>
      <c r="T55" s="205" t="n">
        <v>127804.37</v>
      </c>
    </row>
    <row r="56" ht="15" customHeight="1" s="197">
      <c r="A56" s="203" t="inlineStr">
        <is>
          <t>META</t>
        </is>
      </c>
      <c r="B56" s="206" t="inlineStr">
        <is>
          <t>EPS</t>
        </is>
      </c>
      <c r="C56" s="207" t="n">
        <v>0.59</v>
      </c>
      <c r="D56" s="207" t="n">
        <v>1.1</v>
      </c>
      <c r="E56" s="207" t="n">
        <v>1.28</v>
      </c>
      <c r="F56" s="207" t="n">
        <v>3.48</v>
      </c>
      <c r="G56" s="207" t="n">
        <v>5.39</v>
      </c>
      <c r="H56" s="207" t="n">
        <v>7.66</v>
      </c>
      <c r="I56" s="207" t="n">
        <v>6.44</v>
      </c>
      <c r="J56" s="207" t="n">
        <v>10.08</v>
      </c>
      <c r="K56" s="207" t="n">
        <v>14.07</v>
      </c>
      <c r="L56" s="207" t="n">
        <v>8.789999999999999</v>
      </c>
      <c r="M56" s="207" t="n">
        <v>14.87</v>
      </c>
      <c r="N56" s="207" t="n">
        <v>23.99</v>
      </c>
      <c r="O56" s="207" t="n">
        <v>23.49</v>
      </c>
      <c r="P56" s="207" t="n">
        <v>33.28</v>
      </c>
      <c r="Q56" s="207" t="n">
        <v>34.94</v>
      </c>
      <c r="R56" s="207" t="n">
        <v>39.24</v>
      </c>
      <c r="S56" s="207" t="n">
        <v>43.51</v>
      </c>
      <c r="T56" s="207" t="n">
        <v>47.52</v>
      </c>
    </row>
    <row r="57" ht="15" customHeight="1" s="197">
      <c r="A57" s="203" t="inlineStr">
        <is>
          <t>META</t>
        </is>
      </c>
      <c r="B57" s="204" t="inlineStr">
        <is>
          <t>Diluted Shares (mm)</t>
        </is>
      </c>
      <c r="C57" s="205" t="n">
        <v>2521.75</v>
      </c>
      <c r="D57" s="205" t="n">
        <v>2671</v>
      </c>
      <c r="E57" s="205" t="n">
        <v>2856.75</v>
      </c>
      <c r="F57" s="205" t="n">
        <v>2923.75</v>
      </c>
      <c r="G57" s="205" t="n">
        <v>2954</v>
      </c>
      <c r="H57" s="205" t="n">
        <v>2886</v>
      </c>
      <c r="I57" s="205" t="n">
        <v>2871</v>
      </c>
      <c r="J57" s="205" t="n">
        <v>2890</v>
      </c>
      <c r="K57" s="205" t="n">
        <v>2799</v>
      </c>
      <c r="L57" s="205" t="n">
        <v>2640</v>
      </c>
      <c r="M57" s="205" t="n">
        <v>2630</v>
      </c>
      <c r="N57" s="205" t="n">
        <v>2599</v>
      </c>
      <c r="O57" s="205" t="n">
        <v>2574</v>
      </c>
      <c r="P57" s="205" t="n">
        <v>2577.79</v>
      </c>
      <c r="Q57" s="205" t="n">
        <v>2609.3</v>
      </c>
      <c r="R57" s="205" t="n">
        <v>2636.12</v>
      </c>
      <c r="S57" s="205" t="n">
        <v>2662.83</v>
      </c>
      <c r="T57" s="205" t="n">
        <v>2689.4</v>
      </c>
    </row>
    <row r="58" ht="15" customHeight="1" s="197">
      <c r="A58" s="203" t="inlineStr">
        <is>
          <t>META</t>
        </is>
      </c>
      <c r="B58" s="206" t="inlineStr">
        <is>
          <t>SBC</t>
        </is>
      </c>
      <c r="C58" s="205" t="n">
        <v>-906</v>
      </c>
      <c r="D58" s="205" t="n">
        <v>-1837</v>
      </c>
      <c r="E58" s="205" t="n">
        <v>-2969</v>
      </c>
      <c r="F58" s="205" t="n">
        <v>-3202</v>
      </c>
      <c r="G58" s="205" t="n">
        <v>-3723</v>
      </c>
      <c r="H58" s="205" t="n">
        <v>-4152</v>
      </c>
      <c r="I58" s="205" t="n">
        <v>-4835</v>
      </c>
      <c r="J58" s="205" t="n">
        <v>-6536</v>
      </c>
      <c r="K58" s="205" t="n">
        <v>-9163</v>
      </c>
      <c r="L58" s="205" t="n">
        <v>-11991</v>
      </c>
      <c r="M58" s="205" t="n">
        <v>-14027</v>
      </c>
      <c r="N58" s="205" t="n">
        <v>-16690</v>
      </c>
      <c r="O58" s="205" t="n">
        <v>-20426</v>
      </c>
      <c r="P58" s="205" t="n">
        <v>-23722.2</v>
      </c>
      <c r="Q58" s="205" t="n">
        <v>-24908.31</v>
      </c>
      <c r="R58" s="205" t="n">
        <v>-26153.73</v>
      </c>
      <c r="S58" s="205" t="n">
        <v>-27461.41</v>
      </c>
      <c r="T58" s="205" t="n">
        <v>-28834.48</v>
      </c>
    </row>
    <row r="59" ht="15" customHeight="1" s="197">
      <c r="A59" s="203" t="inlineStr">
        <is>
          <t>META</t>
        </is>
      </c>
      <c r="B59" s="206" t="inlineStr">
        <is>
          <t>D&amp;A</t>
        </is>
      </c>
      <c r="C59" s="205" t="n">
        <v>1011</v>
      </c>
      <c r="D59" s="205" t="n">
        <v>1243</v>
      </c>
      <c r="E59" s="205" t="n">
        <v>1945</v>
      </c>
      <c r="F59" s="205" t="n">
        <v>2342</v>
      </c>
      <c r="G59" s="205" t="n">
        <v>3025</v>
      </c>
      <c r="H59" s="205" t="n">
        <v>4315</v>
      </c>
      <c r="I59" s="205" t="n">
        <v>5741</v>
      </c>
      <c r="J59" s="205" t="n">
        <v>6862</v>
      </c>
      <c r="K59" s="205" t="n">
        <v>7966</v>
      </c>
      <c r="L59" s="205" t="n">
        <v>8686</v>
      </c>
      <c r="M59" s="205" t="n">
        <v>11177</v>
      </c>
      <c r="N59" s="205" t="n">
        <v>15498</v>
      </c>
      <c r="O59" s="205" t="n">
        <v>18616</v>
      </c>
      <c r="P59" s="205" t="n">
        <v>35955.99</v>
      </c>
      <c r="Q59" s="205" t="n">
        <v>56602.9</v>
      </c>
      <c r="R59" s="205" t="n">
        <v>78641.85000000001</v>
      </c>
      <c r="S59" s="205" t="n">
        <v>100070.74</v>
      </c>
      <c r="T59" s="205" t="n">
        <v>120937.09</v>
      </c>
    </row>
    <row r="60" ht="15" customHeight="1" s="197">
      <c r="A60" s="203" t="inlineStr">
        <is>
          <t>META</t>
        </is>
      </c>
      <c r="B60" s="206" t="inlineStr">
        <is>
          <t>Capex</t>
        </is>
      </c>
      <c r="C60" s="205" t="n">
        <v>1362</v>
      </c>
      <c r="D60" s="205" t="n">
        <v>1831</v>
      </c>
      <c r="E60" s="205" t="n">
        <v>2523</v>
      </c>
      <c r="F60" s="205" t="n">
        <v>4491</v>
      </c>
      <c r="G60" s="205" t="n">
        <v>6732</v>
      </c>
      <c r="H60" s="205" t="n">
        <v>13980</v>
      </c>
      <c r="I60" s="205" t="n">
        <v>15102</v>
      </c>
      <c r="J60" s="205" t="n">
        <v>15115</v>
      </c>
      <c r="K60" s="205" t="n">
        <v>18567</v>
      </c>
      <c r="L60" s="205" t="n">
        <v>31186</v>
      </c>
      <c r="M60" s="205" t="n">
        <v>27045</v>
      </c>
      <c r="N60" s="205" t="n">
        <v>37256</v>
      </c>
      <c r="O60" s="205" t="n">
        <v>69691</v>
      </c>
      <c r="P60" s="205" t="n">
        <v>135583.71</v>
      </c>
      <c r="Q60" s="205" t="n">
        <v>165714.44</v>
      </c>
      <c r="R60" s="205" t="n">
        <v>185600.17</v>
      </c>
      <c r="S60" s="205" t="n">
        <v>196736.18</v>
      </c>
      <c r="T60" s="205" t="n">
        <v>208540.35</v>
      </c>
    </row>
    <row r="61" ht="15" customHeight="1" s="197">
      <c r="A61" s="203" t="inlineStr">
        <is>
          <t>META</t>
        </is>
      </c>
      <c r="B61" s="206" t="inlineStr">
        <is>
          <t>CFO</t>
        </is>
      </c>
      <c r="C61" s="205" t="n">
        <v>4222</v>
      </c>
      <c r="D61" s="205" t="n">
        <v>5507.8</v>
      </c>
      <c r="E61" s="205" t="n">
        <v>8607</v>
      </c>
      <c r="F61" s="205" t="n">
        <v>16061</v>
      </c>
      <c r="G61" s="205" t="n">
        <v>24216</v>
      </c>
      <c r="H61" s="205" t="n">
        <v>29339</v>
      </c>
      <c r="I61" s="205" t="n">
        <v>36312.5</v>
      </c>
      <c r="J61" s="205" t="n">
        <v>38747</v>
      </c>
      <c r="K61" s="205" t="n">
        <v>57683</v>
      </c>
      <c r="L61" s="205" t="n">
        <v>50475</v>
      </c>
      <c r="M61" s="205" t="n">
        <v>71113</v>
      </c>
      <c r="N61" s="205" t="n">
        <v>91328</v>
      </c>
      <c r="O61" s="205" t="n">
        <v>115800</v>
      </c>
      <c r="P61" s="205" t="n">
        <v>180250.64</v>
      </c>
      <c r="Q61" s="205" t="n">
        <v>206102.96</v>
      </c>
      <c r="R61" s="205" t="n">
        <v>243250.01</v>
      </c>
      <c r="S61" s="205" t="n">
        <v>279015.98</v>
      </c>
      <c r="T61" s="205" t="n">
        <v>314478.51</v>
      </c>
    </row>
    <row r="62" ht="15" customHeight="1" s="197">
      <c r="A62" s="203" t="inlineStr">
        <is>
          <t>META</t>
        </is>
      </c>
      <c r="B62" s="206" t="inlineStr">
        <is>
          <t>FCF</t>
        </is>
      </c>
      <c r="C62" s="205" t="n">
        <v>2860</v>
      </c>
      <c r="D62" s="205" t="n">
        <v>3676.8</v>
      </c>
      <c r="E62" s="205" t="n">
        <v>6084</v>
      </c>
      <c r="F62" s="205" t="n">
        <v>11570</v>
      </c>
      <c r="G62" s="205" t="n">
        <v>17484</v>
      </c>
      <c r="H62" s="205" t="n">
        <v>15359</v>
      </c>
      <c r="I62" s="205" t="n">
        <v>21210.5</v>
      </c>
      <c r="J62" s="205" t="n">
        <v>23632</v>
      </c>
      <c r="K62" s="205" t="n">
        <v>39116</v>
      </c>
      <c r="L62" s="205" t="n">
        <v>19289</v>
      </c>
      <c r="M62" s="205" t="n">
        <v>44068</v>
      </c>
      <c r="N62" s="205" t="n">
        <v>54072</v>
      </c>
      <c r="O62" s="205" t="n">
        <v>46109</v>
      </c>
      <c r="P62" s="205" t="n">
        <v>44666.93</v>
      </c>
      <c r="Q62" s="205" t="n">
        <v>40388.52</v>
      </c>
      <c r="R62" s="205" t="n">
        <v>57649.84</v>
      </c>
      <c r="S62" s="205" t="n">
        <v>82279.8</v>
      </c>
      <c r="T62" s="205" t="n">
        <v>105938.16</v>
      </c>
    </row>
    <row r="63" ht="15" customHeight="1" s="197">
      <c r="A63" s="203" t="inlineStr">
        <is>
          <t>META</t>
        </is>
      </c>
      <c r="B63" s="204" t="inlineStr">
        <is>
          <t>Buybacks</t>
        </is>
      </c>
      <c r="C63" s="205" t="n">
        <v>0</v>
      </c>
      <c r="D63" s="205" t="n">
        <v>0</v>
      </c>
      <c r="E63" s="205" t="n">
        <v>0</v>
      </c>
      <c r="F63" s="205" t="n">
        <v>0</v>
      </c>
      <c r="G63" s="205" t="n">
        <v>1976</v>
      </c>
      <c r="H63" s="205" t="n">
        <v>12879</v>
      </c>
      <c r="I63" s="205" t="n">
        <v>4201</v>
      </c>
      <c r="J63" s="205" t="n">
        <v>6272</v>
      </c>
      <c r="K63" s="205" t="n">
        <v>44538</v>
      </c>
      <c r="L63" s="205" t="n">
        <v>27956</v>
      </c>
      <c r="M63" s="205" t="n">
        <v>19775</v>
      </c>
      <c r="N63" s="205" t="n">
        <v>30125</v>
      </c>
      <c r="O63" s="205" t="n">
        <v>26248</v>
      </c>
      <c r="P63" s="205" t="n">
        <v>0</v>
      </c>
      <c r="Q63" s="205" t="n">
        <v>6000</v>
      </c>
      <c r="R63" s="205" t="n">
        <v>6000</v>
      </c>
      <c r="S63" s="205" t="n">
        <v>6000</v>
      </c>
      <c r="T63" s="205" t="n">
        <v>6000</v>
      </c>
    </row>
    <row r="64" ht="15" customHeight="1" s="197">
      <c r="A64" s="203" t="inlineStr">
        <is>
          <t>META</t>
        </is>
      </c>
      <c r="B64" s="206" t="inlineStr">
        <is>
          <t>Ad Rev(META)</t>
        </is>
      </c>
      <c r="C64" s="205" t="n">
        <v>6986</v>
      </c>
      <c r="D64" s="205" t="n">
        <v>11492</v>
      </c>
      <c r="E64" s="205" t="n">
        <v>17080</v>
      </c>
      <c r="F64" s="205" t="n">
        <v>26885</v>
      </c>
      <c r="G64" s="205" t="n">
        <v>39942</v>
      </c>
      <c r="H64" s="205" t="n">
        <v>55012</v>
      </c>
      <c r="I64" s="205" t="n">
        <v>69654.5</v>
      </c>
      <c r="J64" s="205" t="n">
        <v>84169</v>
      </c>
      <c r="K64" s="205" t="n">
        <v>114934</v>
      </c>
      <c r="L64" s="205" t="n">
        <v>113641</v>
      </c>
      <c r="M64" s="205" t="n">
        <v>131948</v>
      </c>
      <c r="N64" s="205" t="n">
        <v>160632</v>
      </c>
      <c r="O64" s="205" t="n">
        <v>196174</v>
      </c>
      <c r="P64" s="205" t="n">
        <v>248664.66</v>
      </c>
      <c r="Q64" s="205" t="n">
        <v>298597.44</v>
      </c>
      <c r="R64" s="205" t="n">
        <v>348271.65</v>
      </c>
      <c r="S64" s="205" t="n">
        <v>397194.59</v>
      </c>
      <c r="T64" s="205" t="n">
        <v>444912.31</v>
      </c>
    </row>
    <row r="65" ht="15" customHeight="1" s="197">
      <c r="A65" s="203" t="inlineStr">
        <is>
          <t>META</t>
        </is>
      </c>
      <c r="B65" s="206" t="inlineStr">
        <is>
          <t>FOA Rev</t>
        </is>
      </c>
      <c r="C65" s="210" t="n"/>
      <c r="D65" s="210" t="n"/>
      <c r="E65" s="210" t="n"/>
      <c r="F65" s="210" t="n"/>
      <c r="G65" s="210" t="n"/>
      <c r="H65" s="210" t="n"/>
      <c r="I65" s="205" t="n">
        <v>70196</v>
      </c>
      <c r="J65" s="205" t="n">
        <v>84826</v>
      </c>
      <c r="K65" s="205" t="n">
        <v>115655</v>
      </c>
      <c r="L65" s="205" t="n">
        <v>114450</v>
      </c>
      <c r="M65" s="205" t="n">
        <v>133005</v>
      </c>
      <c r="N65" s="205" t="n">
        <v>162354</v>
      </c>
      <c r="O65" s="205" t="n">
        <v>198758</v>
      </c>
      <c r="P65" s="205" t="n">
        <v>252529.81</v>
      </c>
      <c r="Q65" s="205" t="n">
        <v>303235.62</v>
      </c>
      <c r="R65" s="205" t="n">
        <v>353605.56</v>
      </c>
      <c r="S65" s="205" t="n">
        <v>403061.89</v>
      </c>
      <c r="T65" s="205" t="n">
        <v>451366.33</v>
      </c>
    </row>
    <row r="66" ht="15" customHeight="1" s="197">
      <c r="A66" s="203" t="inlineStr">
        <is>
          <t>META</t>
        </is>
      </c>
      <c r="B66" s="206" t="inlineStr">
        <is>
          <t>FOA OI</t>
        </is>
      </c>
      <c r="C66" s="210" t="n"/>
      <c r="D66" s="210" t="n"/>
      <c r="E66" s="210" t="n"/>
      <c r="F66" s="210" t="n"/>
      <c r="G66" s="210" t="n"/>
      <c r="H66" s="210" t="n"/>
      <c r="I66" s="205" t="n">
        <v>28489</v>
      </c>
      <c r="J66" s="205" t="n">
        <v>39294</v>
      </c>
      <c r="K66" s="205" t="n">
        <v>56947</v>
      </c>
      <c r="L66" s="205" t="n">
        <v>42662</v>
      </c>
      <c r="M66" s="205" t="n">
        <v>62870</v>
      </c>
      <c r="N66" s="205" t="n">
        <v>87109</v>
      </c>
      <c r="O66" s="205" t="n">
        <v>102469</v>
      </c>
      <c r="P66" s="205" t="n">
        <v>109500.79</v>
      </c>
      <c r="Q66" s="205" t="n">
        <v>122498.06</v>
      </c>
      <c r="R66" s="205" t="n">
        <v>135570.51</v>
      </c>
      <c r="S66" s="205" t="n">
        <v>147823.31</v>
      </c>
      <c r="T66" s="205" t="n">
        <v>158299.25</v>
      </c>
    </row>
    <row r="67" ht="15" customHeight="1" s="197">
      <c r="A67" s="203" t="inlineStr">
        <is>
          <t>META</t>
        </is>
      </c>
      <c r="B67" s="206" t="inlineStr">
        <is>
          <t>RL Rev</t>
        </is>
      </c>
      <c r="C67" s="210" t="n"/>
      <c r="D67" s="210" t="n"/>
      <c r="E67" s="210" t="n"/>
      <c r="F67" s="210" t="n"/>
      <c r="G67" s="210" t="n"/>
      <c r="H67" s="210" t="n"/>
      <c r="I67" s="205" t="n">
        <v>501</v>
      </c>
      <c r="J67" s="205" t="n">
        <v>1139</v>
      </c>
      <c r="K67" s="205" t="n">
        <v>2274</v>
      </c>
      <c r="L67" s="205" t="n">
        <v>2159</v>
      </c>
      <c r="M67" s="205" t="n">
        <v>1896</v>
      </c>
      <c r="N67" s="205" t="n">
        <v>2146</v>
      </c>
      <c r="O67" s="205" t="n">
        <v>2207</v>
      </c>
      <c r="P67" s="205" t="n">
        <v>2645.75</v>
      </c>
      <c r="Q67" s="205" t="n">
        <v>3174.9</v>
      </c>
      <c r="R67" s="205" t="n">
        <v>3730.51</v>
      </c>
      <c r="S67" s="205" t="n">
        <v>4290.08</v>
      </c>
      <c r="T67" s="205" t="n">
        <v>4826.34</v>
      </c>
    </row>
    <row r="68" ht="15" customHeight="1" s="197">
      <c r="A68" s="203" t="inlineStr">
        <is>
          <t>META</t>
        </is>
      </c>
      <c r="B68" s="206" t="inlineStr">
        <is>
          <t>RL OI</t>
        </is>
      </c>
      <c r="C68" s="210" t="n"/>
      <c r="D68" s="210" t="n"/>
      <c r="E68" s="210" t="n"/>
      <c r="F68" s="210" t="n"/>
      <c r="G68" s="210" t="n"/>
      <c r="H68" s="210" t="n"/>
      <c r="I68" s="205" t="n">
        <v>-4503</v>
      </c>
      <c r="J68" s="205" t="n">
        <v>-6623</v>
      </c>
      <c r="K68" s="205" t="n">
        <v>-10194</v>
      </c>
      <c r="L68" s="205" t="n">
        <v>-13717</v>
      </c>
      <c r="M68" s="205" t="n">
        <v>-16119</v>
      </c>
      <c r="N68" s="205" t="n">
        <v>-17729</v>
      </c>
      <c r="O68" s="205" t="n">
        <v>-19193</v>
      </c>
      <c r="P68" s="205" t="n">
        <v>-19011</v>
      </c>
      <c r="Q68" s="205" t="n">
        <v>-18060.45</v>
      </c>
      <c r="R68" s="205" t="n">
        <v>-17157.43</v>
      </c>
      <c r="S68" s="205" t="n">
        <v>-16299.56</v>
      </c>
      <c r="T68" s="205" t="n">
        <v>-15484.58</v>
      </c>
    </row>
    <row r="70" ht="15" customHeight="1" s="197">
      <c r="A70" s="213" t="inlineStr">
        <is>
          <t>ORCL (FY(May))</t>
        </is>
      </c>
    </row>
    <row r="71" ht="15" customHeight="1" s="197">
      <c r="A71" s="203" t="inlineStr">
        <is>
          <t>ORCL</t>
        </is>
      </c>
      <c r="B71" s="204" t="inlineStr">
        <is>
          <t>Revenue</t>
        </is>
      </c>
      <c r="C71" s="205" t="n">
        <v>37253</v>
      </c>
      <c r="D71" s="205" t="n">
        <v>38305</v>
      </c>
      <c r="E71" s="205" t="n">
        <v>38253</v>
      </c>
      <c r="F71" s="205" t="n">
        <v>37057</v>
      </c>
      <c r="G71" s="205" t="n">
        <v>37899</v>
      </c>
      <c r="H71" s="205" t="n">
        <v>39431</v>
      </c>
      <c r="I71" s="205" t="n">
        <v>39525</v>
      </c>
      <c r="J71" s="205" t="n">
        <v>39073</v>
      </c>
      <c r="K71" s="205" t="n">
        <v>40481</v>
      </c>
      <c r="L71" s="205" t="n">
        <v>42441</v>
      </c>
      <c r="M71" s="205" t="n">
        <v>49955</v>
      </c>
      <c r="N71" s="205" t="n">
        <v>52961</v>
      </c>
      <c r="O71" s="205" t="n">
        <v>57399</v>
      </c>
      <c r="P71" s="205" t="n">
        <v>67286.75</v>
      </c>
      <c r="Q71" s="205" t="n">
        <v>88782.02</v>
      </c>
      <c r="R71" s="205" t="n">
        <v>125445.05</v>
      </c>
      <c r="S71" s="205" t="n">
        <v>165192.96</v>
      </c>
      <c r="T71" s="205" t="n">
        <v>185555.08</v>
      </c>
    </row>
    <row r="72" ht="15" customHeight="1" s="197">
      <c r="A72" s="203" t="inlineStr">
        <is>
          <t>ORCL</t>
        </is>
      </c>
      <c r="B72" s="204" t="inlineStr">
        <is>
          <t>Operating Income</t>
        </is>
      </c>
      <c r="C72" s="205" t="n">
        <v>14684</v>
      </c>
      <c r="D72" s="205" t="n">
        <v>14758</v>
      </c>
      <c r="E72" s="205" t="n">
        <v>13870</v>
      </c>
      <c r="F72" s="205" t="n">
        <v>12604</v>
      </c>
      <c r="G72" s="205" t="n">
        <v>12710</v>
      </c>
      <c r="H72" s="205" t="n">
        <v>13264</v>
      </c>
      <c r="I72" s="205" t="n">
        <v>13535</v>
      </c>
      <c r="J72" s="205" t="n">
        <v>13897</v>
      </c>
      <c r="K72" s="205" t="n">
        <v>15214</v>
      </c>
      <c r="L72" s="205" t="n">
        <v>10927</v>
      </c>
      <c r="M72" s="205" t="n">
        <v>13094</v>
      </c>
      <c r="N72" s="205" t="n">
        <v>15354</v>
      </c>
      <c r="O72" s="205" t="n">
        <v>17678</v>
      </c>
      <c r="P72" s="205" t="n">
        <v>19462.44</v>
      </c>
      <c r="Q72" s="205" t="n">
        <v>21128.19</v>
      </c>
      <c r="R72" s="205" t="n">
        <v>36930.86</v>
      </c>
      <c r="S72" s="205" t="n">
        <v>53057.71</v>
      </c>
      <c r="T72" s="205" t="n">
        <v>57952.82</v>
      </c>
    </row>
    <row r="73" ht="15" customHeight="1" s="197">
      <c r="A73" s="203" t="inlineStr">
        <is>
          <t>ORCL</t>
        </is>
      </c>
      <c r="B73" s="204" t="inlineStr">
        <is>
          <t>Net Income</t>
        </is>
      </c>
      <c r="C73" s="205" t="n">
        <v>10926</v>
      </c>
      <c r="D73" s="205" t="n">
        <v>10955</v>
      </c>
      <c r="E73" s="205" t="n">
        <v>9938</v>
      </c>
      <c r="F73" s="205" t="n">
        <v>8900</v>
      </c>
      <c r="G73" s="205" t="n">
        <v>9334</v>
      </c>
      <c r="H73" s="205" t="n">
        <v>3587</v>
      </c>
      <c r="I73" s="205" t="n">
        <v>11083</v>
      </c>
      <c r="J73" s="205" t="n">
        <v>10135</v>
      </c>
      <c r="K73" s="205" t="n">
        <v>13747</v>
      </c>
      <c r="L73" s="205" t="n">
        <v>6718</v>
      </c>
      <c r="M73" s="205" t="n">
        <v>8504</v>
      </c>
      <c r="N73" s="205" t="n">
        <v>10467</v>
      </c>
      <c r="O73" s="205" t="n">
        <v>12443</v>
      </c>
      <c r="P73" s="205" t="n">
        <v>15820.55</v>
      </c>
      <c r="Q73" s="205" t="n">
        <v>13363.1</v>
      </c>
      <c r="R73" s="205" t="n">
        <v>26776.66</v>
      </c>
      <c r="S73" s="205" t="n">
        <v>39834.82</v>
      </c>
      <c r="T73" s="205" t="n">
        <v>44104.48</v>
      </c>
    </row>
    <row r="74" ht="15" customHeight="1" s="197">
      <c r="A74" s="203" t="inlineStr">
        <is>
          <t>ORCL</t>
        </is>
      </c>
      <c r="B74" s="206" t="inlineStr">
        <is>
          <t>EPS</t>
        </is>
      </c>
      <c r="C74" s="207" t="n">
        <v>2.26</v>
      </c>
      <c r="D74" s="207" t="n">
        <v>2.38</v>
      </c>
      <c r="E74" s="207" t="n">
        <v>2.21</v>
      </c>
      <c r="F74" s="207" t="n">
        <v>2.07</v>
      </c>
      <c r="G74" s="207" t="n">
        <v>2.21</v>
      </c>
      <c r="H74" s="207" t="n">
        <v>0.85</v>
      </c>
      <c r="I74" s="207" t="n">
        <v>2.97</v>
      </c>
      <c r="J74" s="207" t="n">
        <v>3.08</v>
      </c>
      <c r="K74" s="207" t="n">
        <v>4.55</v>
      </c>
      <c r="L74" s="207" t="n">
        <v>2.41</v>
      </c>
      <c r="M74" s="207" t="n">
        <v>3.07</v>
      </c>
      <c r="N74" s="207" t="n">
        <v>3.71</v>
      </c>
      <c r="O74" s="207" t="n">
        <v>4.34</v>
      </c>
      <c r="P74" s="207" t="n">
        <v>5.43</v>
      </c>
      <c r="Q74" s="207" t="n">
        <v>4.54</v>
      </c>
      <c r="R74" s="207" t="n">
        <v>8.98</v>
      </c>
      <c r="S74" s="207" t="n">
        <v>13.15</v>
      </c>
      <c r="T74" s="207" t="n">
        <v>14.32</v>
      </c>
    </row>
    <row r="75" ht="15" customHeight="1" s="197">
      <c r="A75" s="203" t="inlineStr">
        <is>
          <t>ORCL</t>
        </is>
      </c>
      <c r="B75" s="204" t="inlineStr">
        <is>
          <t>Diluted Shares (mm)</t>
        </is>
      </c>
      <c r="C75" s="205" t="n">
        <v>4843.75</v>
      </c>
      <c r="D75" s="205" t="n">
        <v>4604.5</v>
      </c>
      <c r="E75" s="205" t="n">
        <v>4502.5</v>
      </c>
      <c r="F75" s="205" t="n">
        <v>4305.5</v>
      </c>
      <c r="G75" s="205" t="n">
        <v>4217</v>
      </c>
      <c r="H75" s="205" t="n">
        <v>4238</v>
      </c>
      <c r="I75" s="205" t="n">
        <v>3732</v>
      </c>
      <c r="J75" s="205" t="n">
        <v>3293.5</v>
      </c>
      <c r="K75" s="205" t="n">
        <v>3022.5</v>
      </c>
      <c r="L75" s="205" t="n">
        <v>2785.5</v>
      </c>
      <c r="M75" s="205" t="n">
        <v>2766.25</v>
      </c>
      <c r="N75" s="205" t="n">
        <v>2823.25</v>
      </c>
      <c r="O75" s="205" t="n">
        <v>2866.25</v>
      </c>
      <c r="P75" s="205" t="n">
        <v>2915.76</v>
      </c>
      <c r="Q75" s="205" t="n">
        <v>2940.66</v>
      </c>
      <c r="R75" s="205" t="n">
        <v>2980.3</v>
      </c>
      <c r="S75" s="205" t="n">
        <v>3028.26</v>
      </c>
      <c r="T75" s="205" t="n">
        <v>3079.57</v>
      </c>
    </row>
    <row r="76" ht="15" customHeight="1" s="197">
      <c r="A76" s="203" t="inlineStr">
        <is>
          <t>ORCL</t>
        </is>
      </c>
      <c r="B76" s="206" t="inlineStr">
        <is>
          <t>SBC</t>
        </is>
      </c>
      <c r="C76" s="205" t="n">
        <v>755</v>
      </c>
      <c r="D76" s="205" t="n">
        <v>805</v>
      </c>
      <c r="E76" s="205" t="n">
        <v>933</v>
      </c>
      <c r="F76" s="205" t="n">
        <v>1037</v>
      </c>
      <c r="G76" s="205" t="n">
        <v>1350</v>
      </c>
      <c r="H76" s="205" t="n">
        <v>1607</v>
      </c>
      <c r="I76" s="205" t="n">
        <v>1653</v>
      </c>
      <c r="J76" s="205" t="n">
        <v>1590</v>
      </c>
      <c r="K76" s="205" t="n">
        <v>1837</v>
      </c>
      <c r="L76" s="205" t="n">
        <v>2613</v>
      </c>
      <c r="M76" s="205" t="n">
        <v>3547</v>
      </c>
      <c r="N76" s="205" t="n">
        <v>3974</v>
      </c>
      <c r="O76" s="205" t="n">
        <v>4674</v>
      </c>
      <c r="P76" s="205" t="n">
        <v>5069.6</v>
      </c>
      <c r="Q76" s="205" t="n">
        <v>6473.15</v>
      </c>
      <c r="R76" s="205" t="n">
        <v>8609.75</v>
      </c>
      <c r="S76" s="205" t="n">
        <v>10649.61</v>
      </c>
      <c r="T76" s="205" t="n">
        <v>11212.32</v>
      </c>
    </row>
    <row r="77" ht="15" customHeight="1" s="197">
      <c r="A77" s="203" t="inlineStr">
        <is>
          <t>ORCL</t>
        </is>
      </c>
      <c r="B77" s="206" t="inlineStr">
        <is>
          <t>D&amp;A</t>
        </is>
      </c>
      <c r="C77" s="205" t="n">
        <v>546</v>
      </c>
      <c r="D77" s="205" t="n">
        <v>608</v>
      </c>
      <c r="E77" s="205" t="n">
        <v>712</v>
      </c>
      <c r="F77" s="205" t="n">
        <v>871</v>
      </c>
      <c r="G77" s="205" t="n">
        <v>1000</v>
      </c>
      <c r="H77" s="205" t="n">
        <v>1165</v>
      </c>
      <c r="I77" s="205" t="n">
        <v>1230</v>
      </c>
      <c r="J77" s="205" t="n">
        <v>1382</v>
      </c>
      <c r="K77" s="205" t="n">
        <v>1537</v>
      </c>
      <c r="L77" s="205" t="n">
        <v>1972</v>
      </c>
      <c r="M77" s="205" t="n">
        <v>2526</v>
      </c>
      <c r="N77" s="205" t="n">
        <v>3129</v>
      </c>
      <c r="O77" s="205" t="n">
        <v>3867</v>
      </c>
      <c r="P77" s="205" t="n">
        <v>7501.53</v>
      </c>
      <c r="Q77" s="205" t="n">
        <v>16868.58</v>
      </c>
      <c r="R77" s="205" t="n">
        <v>27597.91</v>
      </c>
      <c r="S77" s="205" t="n">
        <v>39646.31</v>
      </c>
      <c r="T77" s="205" t="n">
        <v>48244.32</v>
      </c>
    </row>
    <row r="78" ht="15" customHeight="1" s="197">
      <c r="A78" s="203" t="inlineStr">
        <is>
          <t>ORCL</t>
        </is>
      </c>
      <c r="B78" s="206" t="inlineStr">
        <is>
          <t>Capex</t>
        </is>
      </c>
      <c r="C78" s="205" t="n">
        <v>650</v>
      </c>
      <c r="D78" s="205" t="n">
        <v>580</v>
      </c>
      <c r="E78" s="205" t="n">
        <v>1391</v>
      </c>
      <c r="F78" s="205" t="n">
        <v>1189</v>
      </c>
      <c r="G78" s="205" t="n">
        <v>2021</v>
      </c>
      <c r="H78" s="205" t="n">
        <v>1736</v>
      </c>
      <c r="I78" s="205" t="n">
        <v>1660</v>
      </c>
      <c r="J78" s="205" t="n">
        <v>1564</v>
      </c>
      <c r="K78" s="205" t="n">
        <v>2135</v>
      </c>
      <c r="L78" s="205" t="n">
        <v>4511</v>
      </c>
      <c r="M78" s="205" t="n">
        <v>8695</v>
      </c>
      <c r="N78" s="205" t="n">
        <v>6866</v>
      </c>
      <c r="O78" s="205" t="n">
        <v>21215</v>
      </c>
      <c r="P78" s="205" t="n">
        <v>51882</v>
      </c>
      <c r="Q78" s="205" t="n">
        <v>52141.41</v>
      </c>
      <c r="R78" s="205" t="n">
        <v>69869.49000000001</v>
      </c>
      <c r="S78" s="205" t="n">
        <v>81048.61</v>
      </c>
      <c r="T78" s="205" t="n">
        <v>66459.86</v>
      </c>
    </row>
    <row r="79" ht="15" customHeight="1" s="197">
      <c r="A79" s="203" t="inlineStr">
        <is>
          <t>ORCL</t>
        </is>
      </c>
      <c r="B79" s="206" t="inlineStr">
        <is>
          <t>CFO</t>
        </is>
      </c>
      <c r="C79" s="205" t="n">
        <v>14225</v>
      </c>
      <c r="D79" s="205" t="n">
        <v>14921</v>
      </c>
      <c r="E79" s="205" t="n">
        <v>14336</v>
      </c>
      <c r="F79" s="205" t="n">
        <v>13560</v>
      </c>
      <c r="G79" s="205" t="n">
        <v>14125</v>
      </c>
      <c r="H79" s="205" t="n">
        <v>15386</v>
      </c>
      <c r="I79" s="205" t="n">
        <v>14551</v>
      </c>
      <c r="J79" s="205" t="n">
        <v>13139</v>
      </c>
      <c r="K79" s="205" t="n">
        <v>15888</v>
      </c>
      <c r="L79" s="205" t="n">
        <v>9540</v>
      </c>
      <c r="M79" s="205" t="n">
        <v>17166</v>
      </c>
      <c r="N79" s="205" t="n">
        <v>18673</v>
      </c>
      <c r="O79" s="205" t="n">
        <v>20821</v>
      </c>
      <c r="P79" s="205" t="n">
        <v>25457.17</v>
      </c>
      <c r="Q79" s="205" t="n">
        <v>33694.38</v>
      </c>
      <c r="R79" s="205" t="n">
        <v>50132.95</v>
      </c>
      <c r="S79" s="205" t="n">
        <v>66529.00999999999</v>
      </c>
      <c r="T79" s="205" t="n">
        <v>84964.12</v>
      </c>
    </row>
    <row r="80" ht="15" customHeight="1" s="197">
      <c r="A80" s="203" t="inlineStr">
        <is>
          <t>ORCL</t>
        </is>
      </c>
      <c r="B80" s="206" t="inlineStr">
        <is>
          <t>FCF</t>
        </is>
      </c>
      <c r="C80" s="205" t="n">
        <v>13575</v>
      </c>
      <c r="D80" s="205" t="n">
        <v>14341</v>
      </c>
      <c r="E80" s="205" t="n">
        <v>12945</v>
      </c>
      <c r="F80" s="205" t="n">
        <v>12371</v>
      </c>
      <c r="G80" s="205" t="n">
        <v>12104</v>
      </c>
      <c r="H80" s="205" t="n">
        <v>13650</v>
      </c>
      <c r="I80" s="205" t="n">
        <v>12891</v>
      </c>
      <c r="J80" s="205" t="n">
        <v>11575</v>
      </c>
      <c r="K80" s="205" t="n">
        <v>13753</v>
      </c>
      <c r="L80" s="205" t="n">
        <v>5029</v>
      </c>
      <c r="M80" s="205" t="n">
        <v>8471</v>
      </c>
      <c r="N80" s="205" t="n">
        <v>11807</v>
      </c>
      <c r="O80" s="205" t="n">
        <v>-394</v>
      </c>
      <c r="P80" s="205" t="n">
        <v>-26424.83</v>
      </c>
      <c r="Q80" s="205" t="n">
        <v>-18447.03</v>
      </c>
      <c r="R80" s="205" t="n">
        <v>-19736.54</v>
      </c>
      <c r="S80" s="205" t="n">
        <v>-14519.6</v>
      </c>
      <c r="T80" s="205" t="n">
        <v>18504.26</v>
      </c>
    </row>
    <row r="81" ht="15" customHeight="1" s="197">
      <c r="A81" s="203" t="inlineStr">
        <is>
          <t>ORCL</t>
        </is>
      </c>
      <c r="B81" s="204" t="inlineStr">
        <is>
          <t>Buybacks</t>
        </is>
      </c>
      <c r="C81" s="205" t="n">
        <v>11021</v>
      </c>
      <c r="D81" s="205" t="n">
        <v>9813</v>
      </c>
      <c r="E81" s="205" t="n">
        <v>8087</v>
      </c>
      <c r="F81" s="205" t="n">
        <v>10440</v>
      </c>
      <c r="G81" s="205" t="n">
        <v>3561</v>
      </c>
      <c r="H81" s="205" t="n">
        <v>11347</v>
      </c>
      <c r="I81" s="205" t="n">
        <v>36140</v>
      </c>
      <c r="J81" s="205" t="n">
        <v>19240</v>
      </c>
      <c r="K81" s="205" t="n">
        <v>20934</v>
      </c>
      <c r="L81" s="205" t="n">
        <v>16248</v>
      </c>
      <c r="M81" s="205" t="n">
        <v>1300</v>
      </c>
      <c r="N81" s="205" t="n">
        <v>1202</v>
      </c>
      <c r="O81" s="205" t="n">
        <v>600</v>
      </c>
      <c r="P81" s="205" t="n">
        <v>95</v>
      </c>
      <c r="Q81" s="205" t="n">
        <v>0</v>
      </c>
      <c r="R81" s="205" t="n">
        <v>0</v>
      </c>
      <c r="S81" s="205" t="n">
        <v>0</v>
      </c>
      <c r="T81" s="205" t="n">
        <v>0</v>
      </c>
    </row>
    <row r="82" ht="15" customHeight="1" s="197">
      <c r="A82" s="203" t="inlineStr">
        <is>
          <t>ORCL</t>
        </is>
      </c>
      <c r="B82" s="204" t="inlineStr">
        <is>
          <t>CloudTotalRevenue(ORCL)</t>
        </is>
      </c>
      <c r="C82" s="205" t="n">
        <v>1365</v>
      </c>
      <c r="D82" s="205" t="n">
        <v>1577</v>
      </c>
      <c r="E82" s="205" t="n">
        <v>2094</v>
      </c>
      <c r="F82" s="205" t="n">
        <v>2854</v>
      </c>
      <c r="G82" s="205" t="n">
        <v>4572</v>
      </c>
      <c r="H82" s="205" t="n">
        <v>6189.17</v>
      </c>
      <c r="I82" s="205" t="n">
        <v>6918.19</v>
      </c>
      <c r="J82" s="205" t="n">
        <v>7811.32</v>
      </c>
      <c r="K82" s="205" t="n">
        <v>8945</v>
      </c>
      <c r="L82" s="205" t="n">
        <v>10809</v>
      </c>
      <c r="M82" s="205" t="n">
        <v>15882</v>
      </c>
      <c r="N82" s="205" t="n">
        <v>19775</v>
      </c>
      <c r="O82" s="205" t="n">
        <v>24507</v>
      </c>
      <c r="P82" s="205" t="n">
        <v>34020.24</v>
      </c>
      <c r="Q82" s="205" t="n">
        <v>55591.76</v>
      </c>
      <c r="R82" s="205" t="n">
        <v>92351.27</v>
      </c>
      <c r="S82" s="205" t="n">
        <v>132214.36</v>
      </c>
      <c r="T82" s="205" t="n">
        <v>152708.94</v>
      </c>
    </row>
    <row r="83" ht="15" customHeight="1" s="197">
      <c r="A83" s="203" t="inlineStr">
        <is>
          <t>ORCL</t>
        </is>
      </c>
      <c r="B83" s="206" t="inlineStr">
        <is>
          <t>IaaS Rev</t>
        </is>
      </c>
      <c r="C83" s="210" t="n"/>
      <c r="D83" s="210" t="n"/>
      <c r="E83" s="210" t="n"/>
      <c r="F83" s="210" t="n"/>
      <c r="G83" s="210" t="n"/>
      <c r="H83" s="210" t="n"/>
      <c r="I83" s="210" t="n"/>
      <c r="J83" s="210" t="n"/>
      <c r="K83" s="210" t="n"/>
      <c r="L83" s="205" t="n">
        <v>2760.74</v>
      </c>
      <c r="M83" s="205" t="n">
        <v>4500</v>
      </c>
      <c r="N83" s="205" t="n">
        <v>6800</v>
      </c>
      <c r="O83" s="205" t="n">
        <v>10234</v>
      </c>
      <c r="P83" s="205" t="n">
        <v>18064.4</v>
      </c>
      <c r="Q83" s="205" t="n">
        <v>37935.24</v>
      </c>
      <c r="R83" s="205" t="n">
        <v>72977.07000000001</v>
      </c>
      <c r="S83" s="205" t="n">
        <v>111105.3</v>
      </c>
      <c r="T83" s="205" t="n">
        <v>129847.66</v>
      </c>
    </row>
    <row r="84" ht="15" customHeight="1" s="197">
      <c r="A84" s="203" t="inlineStr">
        <is>
          <t>ORCL</t>
        </is>
      </c>
      <c r="B84" s="206" t="inlineStr">
        <is>
          <t>SaaS Rev</t>
        </is>
      </c>
      <c r="C84" s="210" t="n"/>
      <c r="D84" s="210" t="n"/>
      <c r="E84" s="210" t="n"/>
      <c r="F84" s="210" t="n"/>
      <c r="G84" s="210" t="n"/>
      <c r="H84" s="210" t="n"/>
      <c r="I84" s="210" t="n"/>
      <c r="J84" s="210" t="n"/>
      <c r="K84" s="210" t="n"/>
      <c r="L84" s="205" t="n">
        <v>7999.33</v>
      </c>
      <c r="M84" s="205" t="n">
        <v>11400</v>
      </c>
      <c r="N84" s="205" t="n">
        <v>12949</v>
      </c>
      <c r="O84" s="205" t="n">
        <v>14272</v>
      </c>
      <c r="P84" s="205" t="n">
        <v>15955.84</v>
      </c>
      <c r="Q84" s="205" t="n">
        <v>17656.52</v>
      </c>
      <c r="R84" s="205" t="n">
        <v>19374.2</v>
      </c>
      <c r="S84" s="205" t="n">
        <v>21109.07</v>
      </c>
      <c r="T84" s="205" t="n">
        <v>22861.28</v>
      </c>
    </row>
    <row r="85" ht="15" customHeight="1" s="197">
      <c r="A85" s="203" t="inlineStr">
        <is>
          <t>ORCL</t>
        </is>
      </c>
      <c r="B85" s="206" t="inlineStr">
        <is>
          <t>RPO</t>
        </is>
      </c>
      <c r="C85" s="210" t="n"/>
      <c r="D85" s="210" t="n"/>
      <c r="E85" s="210" t="n"/>
      <c r="F85" s="210" t="n"/>
      <c r="G85" s="210" t="n"/>
      <c r="H85" s="210" t="n"/>
      <c r="I85" s="205" t="n">
        <v>36200</v>
      </c>
      <c r="J85" s="205" t="n">
        <v>37000</v>
      </c>
      <c r="K85" s="205" t="n">
        <v>41300</v>
      </c>
      <c r="L85" s="205" t="n">
        <v>46600</v>
      </c>
      <c r="M85" s="205" t="n">
        <v>67900</v>
      </c>
      <c r="N85" s="205" t="n">
        <v>98000</v>
      </c>
      <c r="O85" s="205" t="n">
        <v>138000</v>
      </c>
      <c r="P85" s="210" t="n"/>
      <c r="Q85" s="210" t="n"/>
      <c r="R85" s="210" t="n"/>
      <c r="S85" s="210" t="n"/>
      <c r="T85" s="210" t="n"/>
    </row>
    <row r="86" ht="15" customHeight="1" s="197">
      <c r="A86" s="203" t="inlineStr">
        <is>
          <t>ORCL</t>
        </is>
      </c>
      <c r="B86" s="204" t="inlineStr">
        <is>
          <t>Operating Income(Adjusted)</t>
        </is>
      </c>
      <c r="C86" s="205" t="n">
        <v>17612</v>
      </c>
      <c r="D86" s="205" t="n">
        <v>18108</v>
      </c>
      <c r="E86" s="205" t="n">
        <v>17396</v>
      </c>
      <c r="F86" s="205" t="n">
        <v>15785</v>
      </c>
      <c r="G86" s="205" t="n">
        <v>16168</v>
      </c>
      <c r="H86" s="205" t="n">
        <v>17155</v>
      </c>
      <c r="I86" s="205" t="n">
        <v>17384</v>
      </c>
      <c r="J86" s="205" t="n">
        <v>17383</v>
      </c>
      <c r="K86" s="205" t="n">
        <v>19000</v>
      </c>
      <c r="L86" s="205" t="n">
        <v>19592</v>
      </c>
      <c r="M86" s="205" t="n">
        <v>20904</v>
      </c>
      <c r="N86" s="205" t="n">
        <v>23054</v>
      </c>
      <c r="O86" s="205" t="n">
        <v>25034</v>
      </c>
      <c r="P86" s="205" t="n">
        <v>28113.04</v>
      </c>
      <c r="Q86" s="205" t="n">
        <v>28489.16</v>
      </c>
      <c r="R86" s="205" t="n">
        <v>46280.73</v>
      </c>
      <c r="S86" s="205" t="n">
        <v>64368.1</v>
      </c>
      <c r="T86" s="205" t="n">
        <v>69758.92</v>
      </c>
    </row>
    <row r="87" ht="15" customHeight="1" s="197">
      <c r="A87" s="203" t="inlineStr">
        <is>
          <t>ORCL</t>
        </is>
      </c>
      <c r="B87" s="206" t="inlineStr">
        <is>
          <t>EPS(Adjusted)</t>
        </is>
      </c>
      <c r="C87" s="207" t="n">
        <v>2.68</v>
      </c>
      <c r="D87" s="207" t="n">
        <v>2.87</v>
      </c>
      <c r="E87" s="207" t="n">
        <v>2.77</v>
      </c>
      <c r="F87" s="207" t="n">
        <v>2.61</v>
      </c>
      <c r="G87" s="207" t="n">
        <v>2.74</v>
      </c>
      <c r="H87" s="207" t="n">
        <v>3.05</v>
      </c>
      <c r="I87" s="207" t="n">
        <v>3.52</v>
      </c>
      <c r="J87" s="207" t="n">
        <v>3.85</v>
      </c>
      <c r="K87" s="207" t="n">
        <v>4.67</v>
      </c>
      <c r="L87" s="207" t="n">
        <v>4.9</v>
      </c>
      <c r="M87" s="207" t="n">
        <v>5.12</v>
      </c>
      <c r="N87" s="207" t="n">
        <v>5.56</v>
      </c>
      <c r="O87" s="207" t="n">
        <v>6.03</v>
      </c>
      <c r="P87" s="207" t="n">
        <v>7.32</v>
      </c>
      <c r="Q87" s="207" t="n">
        <v>6.09</v>
      </c>
      <c r="R87" s="207" t="n">
        <v>10.59</v>
      </c>
      <c r="S87" s="207" t="n">
        <v>14.81</v>
      </c>
      <c r="T87" s="207" t="n">
        <v>15.94</v>
      </c>
    </row>
  </sheetData>
  <mergeCells count="6">
    <mergeCell ref="A1:T1"/>
    <mergeCell ref="A35:T35"/>
    <mergeCell ref="A4:T4"/>
    <mergeCell ref="A70:T70"/>
    <mergeCell ref="A20:T20"/>
    <mergeCell ref="A52:T5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2:B1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 customWidth="1" style="196" min="1" max="1"/>
    <col width="90" customWidth="1" style="196" min="2" max="2"/>
  </cols>
  <sheetData>
    <row r="2" ht="36" customHeight="1" s="197">
      <c r="B2" s="214" t="inlineStr">
        <is>
          <t>AI Capex Cycle: Hyperscaler Deep-Dive (2013-2030)</t>
        </is>
      </c>
    </row>
    <row r="3" ht="15" customHeight="1" s="197">
      <c r="B3" s="215" t="inlineStr">
        <is>
          <t>MSFT | AMZN | GOOGL | META | ORCL + S&amp;P 500 AI EPS Decomposition</t>
        </is>
      </c>
    </row>
    <row r="5" ht="15" customHeight="1" s="197">
      <c r="B5" s="216" t="inlineStr">
        <is>
          <t>CONTENTS</t>
        </is>
      </c>
    </row>
    <row r="6" ht="18" customHeight="1" s="197">
      <c r="B6" s="217" t="inlineStr">
        <is>
          <t>0. Database — 2013-2030 centralized data. Blue=input. All other sheets reference this.</t>
        </is>
      </c>
    </row>
    <row r="7" ht="18" customHeight="1" s="197">
      <c r="B7" s="217" t="inlineStr">
        <is>
          <t>1. Summary — This page</t>
        </is>
      </c>
    </row>
    <row r="8" ht="18" customHeight="1" s="197">
      <c r="B8" s="217" t="inlineStr">
        <is>
          <t>2. Revenue — Total rev, YoY%, Cloud/AI proxy. Derived metrics reference SAME sheet cells (black font).</t>
        </is>
      </c>
    </row>
    <row r="9" ht="18" customHeight="1" s="197">
      <c r="B9" s="217" t="inlineStr">
        <is>
          <t>3. Capex &amp; D&amp;A — Capex, Capex/Rev, D&amp;A, D&amp;A/Rev. Local formulas reference raw data on same sheet.</t>
        </is>
      </c>
    </row>
    <row r="10" ht="18" customHeight="1" s="197">
      <c r="B10" s="217" t="inlineStr">
        <is>
          <t>4. FCF &amp; Cash — CFO, FCF margin, FCF/NI, Capex/CFO. All ratios use same-sheet references.</t>
        </is>
      </c>
    </row>
    <row r="11" ht="18" customHeight="1" s="197">
      <c r="B11" s="217" t="inlineStr">
        <is>
          <t>5. EPS &amp; Margins — OpMargin, Net Margin, EPSYoY. Same-sheet referencing pattern.</t>
        </is>
      </c>
    </row>
    <row r="12" ht="18" customHeight="1" s="197">
      <c r="B12" s="217" t="inlineStr">
        <is>
          <t>6. Burry Sensitivity — GPU life compression on 2026E EPS. Editable tax rate assumptions.</t>
        </is>
      </c>
    </row>
    <row r="13" ht="18" customHeight="1" s="197">
      <c r="B13" s="217" t="inlineStr">
        <is>
          <t>7. S&amp;P 500 AI EPS Split — AI vs Non-AI EPS decomposition + dual P/E valuation + 4 stress scenarios.</t>
        </is>
      </c>
    </row>
    <row r="14" ht="18" customHeight="1" s="197">
      <c r="B14" s="217" t="inlineStr">
        <is>
          <t>8. Charts — 6 visualizations (Capex/Rev, Free Cash FlowMargin, Capex absolute, Rev YoY, OpMargin, D&amp;A/Rev).</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S2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96" min="1" max="1"/>
    <col width="10" customWidth="1" style="196" min="2" max="20"/>
  </cols>
  <sheetData>
    <row r="1" ht="25.5" customHeight="1" s="197">
      <c r="A1" s="218" t="inlineStr">
        <is>
          <t>Revenue&amp;AI/CloudSegment Detail (2013-2030E)</t>
        </is>
      </c>
    </row>
    <row r="3" ht="15" customHeight="1" s="197">
      <c r="A3" s="219" t="inlineStr">
        <is>
          <t>A. Total Revenue ($mm)</t>
        </is>
      </c>
    </row>
    <row r="4" ht="15" customHeight="1" s="197">
      <c r="A4" s="220" t="inlineStr">
        <is>
          <t>Company</t>
        </is>
      </c>
      <c r="B4" s="201" t="inlineStr">
        <is>
          <t>2013A</t>
        </is>
      </c>
      <c r="C4" s="201" t="inlineStr">
        <is>
          <t>2014A</t>
        </is>
      </c>
      <c r="D4" s="201" t="inlineStr">
        <is>
          <t>2015A</t>
        </is>
      </c>
      <c r="E4" s="201" t="inlineStr">
        <is>
          <t>2016A</t>
        </is>
      </c>
      <c r="F4" s="201" t="inlineStr">
        <is>
          <t>2017A</t>
        </is>
      </c>
      <c r="G4" s="201" t="inlineStr">
        <is>
          <t>2018A</t>
        </is>
      </c>
      <c r="H4" s="201" t="inlineStr">
        <is>
          <t>2019A</t>
        </is>
      </c>
      <c r="I4" s="201" t="inlineStr">
        <is>
          <t>2020A</t>
        </is>
      </c>
      <c r="J4" s="201" t="inlineStr">
        <is>
          <t>2021A</t>
        </is>
      </c>
      <c r="K4" s="201" t="inlineStr">
        <is>
          <t>2022A</t>
        </is>
      </c>
      <c r="L4" s="201" t="inlineStr">
        <is>
          <t>2023A</t>
        </is>
      </c>
      <c r="M4" s="201" t="inlineStr">
        <is>
          <t>2024A</t>
        </is>
      </c>
      <c r="N4" s="201" t="inlineStr">
        <is>
          <t>2025E</t>
        </is>
      </c>
      <c r="O4" s="201" t="inlineStr">
        <is>
          <t>2026E</t>
        </is>
      </c>
      <c r="P4" s="201" t="inlineStr">
        <is>
          <t>2027E</t>
        </is>
      </c>
      <c r="Q4" s="201" t="inlineStr">
        <is>
          <t>2028E</t>
        </is>
      </c>
      <c r="R4" s="201" t="inlineStr">
        <is>
          <t>2029E</t>
        </is>
      </c>
      <c r="S4" s="201" t="inlineStr">
        <is>
          <t>2030E</t>
        </is>
      </c>
    </row>
    <row r="5" ht="15" customHeight="1" s="197">
      <c r="A5" s="221" t="inlineStr">
        <is>
          <t>MSFT</t>
        </is>
      </c>
      <c r="B5" s="222">
        <f>'0. Database'!C5</f>
        <v/>
      </c>
      <c r="C5" s="222">
        <f>'0. Database'!D5</f>
        <v/>
      </c>
      <c r="D5" s="222">
        <f>'0. Database'!E5</f>
        <v/>
      </c>
      <c r="E5" s="222">
        <f>'0. Database'!F5</f>
        <v/>
      </c>
      <c r="F5" s="222">
        <f>'0. Database'!G5</f>
        <v/>
      </c>
      <c r="G5" s="222">
        <f>'0. Database'!H5</f>
        <v/>
      </c>
      <c r="H5" s="222">
        <f>'0. Database'!I5</f>
        <v/>
      </c>
      <c r="I5" s="222">
        <f>'0. Database'!J5</f>
        <v/>
      </c>
      <c r="J5" s="222">
        <f>'0. Database'!K5</f>
        <v/>
      </c>
      <c r="K5" s="222">
        <f>'0. Database'!L5</f>
        <v/>
      </c>
      <c r="L5" s="222">
        <f>'0. Database'!M5</f>
        <v/>
      </c>
      <c r="M5" s="222">
        <f>'0. Database'!N5</f>
        <v/>
      </c>
      <c r="N5" s="222">
        <f>'0. Database'!O5</f>
        <v/>
      </c>
      <c r="O5" s="222">
        <f>'0. Database'!P5</f>
        <v/>
      </c>
      <c r="P5" s="222">
        <f>'0. Database'!Q5</f>
        <v/>
      </c>
      <c r="Q5" s="222">
        <f>'0. Database'!R5</f>
        <v/>
      </c>
      <c r="R5" s="222">
        <f>'0. Database'!S5</f>
        <v/>
      </c>
      <c r="S5" s="222">
        <f>'0. Database'!T5</f>
        <v/>
      </c>
    </row>
    <row r="6" ht="15" customHeight="1" s="197">
      <c r="A6" s="221" t="inlineStr">
        <is>
          <t>AMZN</t>
        </is>
      </c>
      <c r="B6" s="222">
        <f>'0. Database'!C21</f>
        <v/>
      </c>
      <c r="C6" s="222">
        <f>'0. Database'!D21</f>
        <v/>
      </c>
      <c r="D6" s="222">
        <f>'0. Database'!E21</f>
        <v/>
      </c>
      <c r="E6" s="222">
        <f>'0. Database'!F21</f>
        <v/>
      </c>
      <c r="F6" s="222">
        <f>'0. Database'!G21</f>
        <v/>
      </c>
      <c r="G6" s="222">
        <f>'0. Database'!H21</f>
        <v/>
      </c>
      <c r="H6" s="222">
        <f>'0. Database'!I21</f>
        <v/>
      </c>
      <c r="I6" s="222">
        <f>'0. Database'!J21</f>
        <v/>
      </c>
      <c r="J6" s="222">
        <f>'0. Database'!K21</f>
        <v/>
      </c>
      <c r="K6" s="222">
        <f>'0. Database'!L21</f>
        <v/>
      </c>
      <c r="L6" s="222">
        <f>'0. Database'!M21</f>
        <v/>
      </c>
      <c r="M6" s="222">
        <f>'0. Database'!N21</f>
        <v/>
      </c>
      <c r="N6" s="222">
        <f>'0. Database'!O21</f>
        <v/>
      </c>
      <c r="O6" s="222">
        <f>'0. Database'!P21</f>
        <v/>
      </c>
      <c r="P6" s="222">
        <f>'0. Database'!Q21</f>
        <v/>
      </c>
      <c r="Q6" s="222">
        <f>'0. Database'!R21</f>
        <v/>
      </c>
      <c r="R6" s="222">
        <f>'0. Database'!S21</f>
        <v/>
      </c>
      <c r="S6" s="222">
        <f>'0. Database'!T21</f>
        <v/>
      </c>
    </row>
    <row r="7" ht="15" customHeight="1" s="197">
      <c r="A7" s="221" t="inlineStr">
        <is>
          <t>GOOGL</t>
        </is>
      </c>
      <c r="B7" s="222">
        <f>'0. Database'!C36</f>
        <v/>
      </c>
      <c r="C7" s="222">
        <f>'0. Database'!D36</f>
        <v/>
      </c>
      <c r="D7" s="222">
        <f>'0. Database'!E36</f>
        <v/>
      </c>
      <c r="E7" s="222">
        <f>'0. Database'!F36</f>
        <v/>
      </c>
      <c r="F7" s="222">
        <f>'0. Database'!G36</f>
        <v/>
      </c>
      <c r="G7" s="222">
        <f>'0. Database'!H36</f>
        <v/>
      </c>
      <c r="H7" s="222">
        <f>'0. Database'!I36</f>
        <v/>
      </c>
      <c r="I7" s="222">
        <f>'0. Database'!J36</f>
        <v/>
      </c>
      <c r="J7" s="222">
        <f>'0. Database'!K36</f>
        <v/>
      </c>
      <c r="K7" s="222">
        <f>'0. Database'!L36</f>
        <v/>
      </c>
      <c r="L7" s="222">
        <f>'0. Database'!M36</f>
        <v/>
      </c>
      <c r="M7" s="222">
        <f>'0. Database'!N36</f>
        <v/>
      </c>
      <c r="N7" s="222">
        <f>'0. Database'!O36</f>
        <v/>
      </c>
      <c r="O7" s="222">
        <f>'0. Database'!P36</f>
        <v/>
      </c>
      <c r="P7" s="222">
        <f>'0. Database'!Q36</f>
        <v/>
      </c>
      <c r="Q7" s="222">
        <f>'0. Database'!R36</f>
        <v/>
      </c>
      <c r="R7" s="222">
        <f>'0. Database'!S36</f>
        <v/>
      </c>
      <c r="S7" s="222">
        <f>'0. Database'!T36</f>
        <v/>
      </c>
    </row>
    <row r="8" ht="15" customHeight="1" s="197">
      <c r="A8" s="221" t="inlineStr">
        <is>
          <t>META</t>
        </is>
      </c>
      <c r="B8" s="222">
        <f>'0. Database'!C53</f>
        <v/>
      </c>
      <c r="C8" s="222">
        <f>'0. Database'!D53</f>
        <v/>
      </c>
      <c r="D8" s="222">
        <f>'0. Database'!E53</f>
        <v/>
      </c>
      <c r="E8" s="222">
        <f>'0. Database'!F53</f>
        <v/>
      </c>
      <c r="F8" s="222">
        <f>'0. Database'!G53</f>
        <v/>
      </c>
      <c r="G8" s="222">
        <f>'0. Database'!H53</f>
        <v/>
      </c>
      <c r="H8" s="222">
        <f>'0. Database'!I53</f>
        <v/>
      </c>
      <c r="I8" s="222">
        <f>'0. Database'!J53</f>
        <v/>
      </c>
      <c r="J8" s="222">
        <f>'0. Database'!K53</f>
        <v/>
      </c>
      <c r="K8" s="222">
        <f>'0. Database'!L53</f>
        <v/>
      </c>
      <c r="L8" s="222">
        <f>'0. Database'!M53</f>
        <v/>
      </c>
      <c r="M8" s="222">
        <f>'0. Database'!N53</f>
        <v/>
      </c>
      <c r="N8" s="222">
        <f>'0. Database'!O53</f>
        <v/>
      </c>
      <c r="O8" s="222">
        <f>'0. Database'!P53</f>
        <v/>
      </c>
      <c r="P8" s="222">
        <f>'0. Database'!Q53</f>
        <v/>
      </c>
      <c r="Q8" s="222">
        <f>'0. Database'!R53</f>
        <v/>
      </c>
      <c r="R8" s="222">
        <f>'0. Database'!S53</f>
        <v/>
      </c>
      <c r="S8" s="222">
        <f>'0. Database'!T53</f>
        <v/>
      </c>
    </row>
    <row r="9" ht="15" customHeight="1" s="197">
      <c r="A9" s="221" t="inlineStr">
        <is>
          <t>ORCL</t>
        </is>
      </c>
      <c r="B9" s="222">
        <f>'0. Database'!C71</f>
        <v/>
      </c>
      <c r="C9" s="222">
        <f>'0. Database'!D71</f>
        <v/>
      </c>
      <c r="D9" s="222">
        <f>'0. Database'!E71</f>
        <v/>
      </c>
      <c r="E9" s="222">
        <f>'0. Database'!F71</f>
        <v/>
      </c>
      <c r="F9" s="222">
        <f>'0. Database'!G71</f>
        <v/>
      </c>
      <c r="G9" s="222">
        <f>'0. Database'!H71</f>
        <v/>
      </c>
      <c r="H9" s="222">
        <f>'0. Database'!I71</f>
        <v/>
      </c>
      <c r="I9" s="222">
        <f>'0. Database'!J71</f>
        <v/>
      </c>
      <c r="J9" s="222">
        <f>'0. Database'!K71</f>
        <v/>
      </c>
      <c r="K9" s="222">
        <f>'0. Database'!L71</f>
        <v/>
      </c>
      <c r="L9" s="222">
        <f>'0. Database'!M71</f>
        <v/>
      </c>
      <c r="M9" s="222">
        <f>'0. Database'!N71</f>
        <v/>
      </c>
      <c r="N9" s="222">
        <f>'0. Database'!O71</f>
        <v/>
      </c>
      <c r="O9" s="222">
        <f>'0. Database'!P71</f>
        <v/>
      </c>
      <c r="P9" s="222">
        <f>'0. Database'!Q71</f>
        <v/>
      </c>
      <c r="Q9" s="222">
        <f>'0. Database'!R71</f>
        <v/>
      </c>
      <c r="R9" s="222">
        <f>'0. Database'!S71</f>
        <v/>
      </c>
      <c r="S9" s="222">
        <f>'0. Database'!T71</f>
        <v/>
      </c>
    </row>
    <row r="11" ht="15" customHeight="1" s="197">
      <c r="A11" s="219" t="inlineStr">
        <is>
          <t>C. Cloud / AI Proxy Revenue ($mm)</t>
        </is>
      </c>
    </row>
    <row r="12" ht="15" customHeight="1" s="197">
      <c r="A12" s="220" t="inlineStr">
        <is>
          <t>Company</t>
        </is>
      </c>
      <c r="B12" s="201" t="inlineStr">
        <is>
          <t>2013A</t>
        </is>
      </c>
      <c r="C12" s="201" t="inlineStr">
        <is>
          <t>2014A</t>
        </is>
      </c>
      <c r="D12" s="201" t="inlineStr">
        <is>
          <t>2015A</t>
        </is>
      </c>
      <c r="E12" s="201" t="inlineStr">
        <is>
          <t>2016A</t>
        </is>
      </c>
      <c r="F12" s="201" t="inlineStr">
        <is>
          <t>2017A</t>
        </is>
      </c>
      <c r="G12" s="201" t="inlineStr">
        <is>
          <t>2018A</t>
        </is>
      </c>
      <c r="H12" s="201" t="inlineStr">
        <is>
          <t>2019A</t>
        </is>
      </c>
      <c r="I12" s="201" t="inlineStr">
        <is>
          <t>2020A</t>
        </is>
      </c>
      <c r="J12" s="201" t="inlineStr">
        <is>
          <t>2021A</t>
        </is>
      </c>
      <c r="K12" s="201" t="inlineStr">
        <is>
          <t>2022A</t>
        </is>
      </c>
      <c r="L12" s="201" t="inlineStr">
        <is>
          <t>2023A</t>
        </is>
      </c>
      <c r="M12" s="201" t="inlineStr">
        <is>
          <t>2024A</t>
        </is>
      </c>
      <c r="N12" s="201" t="inlineStr">
        <is>
          <t>2025E</t>
        </is>
      </c>
      <c r="O12" s="201" t="inlineStr">
        <is>
          <t>2026E</t>
        </is>
      </c>
      <c r="P12" s="201" t="inlineStr">
        <is>
          <t>2027E</t>
        </is>
      </c>
      <c r="Q12" s="201" t="inlineStr">
        <is>
          <t>2028E</t>
        </is>
      </c>
      <c r="R12" s="201" t="inlineStr">
        <is>
          <t>2029E</t>
        </is>
      </c>
      <c r="S12" s="201" t="inlineStr">
        <is>
          <t>2030E</t>
        </is>
      </c>
    </row>
    <row r="13" ht="15" customHeight="1" s="197">
      <c r="A13" s="221" t="inlineStr">
        <is>
          <t>MSFT — Azure</t>
        </is>
      </c>
      <c r="B13" s="223" t="n"/>
      <c r="C13" s="223" t="n"/>
      <c r="D13" s="223" t="n"/>
      <c r="E13" s="223" t="n"/>
      <c r="F13" s="223" t="n"/>
      <c r="G13" s="223" t="n"/>
      <c r="H13" s="223" t="n"/>
      <c r="I13" s="223" t="n"/>
      <c r="J13" s="223" t="n"/>
      <c r="K13" s="223" t="n"/>
      <c r="L13" s="223" t="n"/>
      <c r="M13" s="223" t="n"/>
      <c r="N13" s="223" t="n"/>
      <c r="O13" s="223" t="n"/>
      <c r="P13" s="223" t="n"/>
      <c r="Q13" s="223" t="n"/>
      <c r="R13" s="223" t="n"/>
      <c r="S13" s="223" t="n"/>
    </row>
    <row r="14" ht="15" customHeight="1" s="197">
      <c r="A14" s="221" t="inlineStr">
        <is>
          <t>AMZN — AWS</t>
        </is>
      </c>
      <c r="B14" s="222">
        <f>'0. Database'!C32</f>
        <v/>
      </c>
      <c r="C14" s="222">
        <f>'0. Database'!D32</f>
        <v/>
      </c>
      <c r="D14" s="222">
        <f>'0. Database'!E32</f>
        <v/>
      </c>
      <c r="E14" s="222">
        <f>'0. Database'!F32</f>
        <v/>
      </c>
      <c r="F14" s="222">
        <f>'0. Database'!G32</f>
        <v/>
      </c>
      <c r="G14" s="222">
        <f>'0. Database'!H32</f>
        <v/>
      </c>
      <c r="H14" s="222">
        <f>'0. Database'!I32</f>
        <v/>
      </c>
      <c r="I14" s="222">
        <f>'0. Database'!J32</f>
        <v/>
      </c>
      <c r="J14" s="222">
        <f>'0. Database'!K32</f>
        <v/>
      </c>
      <c r="K14" s="222">
        <f>'0. Database'!L32</f>
        <v/>
      </c>
      <c r="L14" s="222">
        <f>'0. Database'!M32</f>
        <v/>
      </c>
      <c r="M14" s="222">
        <f>'0. Database'!N32</f>
        <v/>
      </c>
      <c r="N14" s="222">
        <f>'0. Database'!O32</f>
        <v/>
      </c>
      <c r="O14" s="222">
        <f>'0. Database'!P32</f>
        <v/>
      </c>
      <c r="P14" s="222">
        <f>'0. Database'!Q32</f>
        <v/>
      </c>
      <c r="Q14" s="222">
        <f>'0. Database'!R32</f>
        <v/>
      </c>
      <c r="R14" s="222">
        <f>'0. Database'!S32</f>
        <v/>
      </c>
      <c r="S14" s="222">
        <f>'0. Database'!T32</f>
        <v/>
      </c>
    </row>
    <row r="15" ht="15" customHeight="1" s="197">
      <c r="A15" s="221" t="inlineStr">
        <is>
          <t>GOOGL — Cloud</t>
        </is>
      </c>
      <c r="B15" s="222">
        <f>'0. Database'!C47</f>
        <v/>
      </c>
      <c r="C15" s="222">
        <f>'0. Database'!D47</f>
        <v/>
      </c>
      <c r="D15" s="222">
        <f>'0. Database'!E47</f>
        <v/>
      </c>
      <c r="E15" s="222">
        <f>'0. Database'!F47</f>
        <v/>
      </c>
      <c r="F15" s="222">
        <f>'0. Database'!G47</f>
        <v/>
      </c>
      <c r="G15" s="222">
        <f>'0. Database'!H47</f>
        <v/>
      </c>
      <c r="H15" s="222">
        <f>'0. Database'!I47</f>
        <v/>
      </c>
      <c r="I15" s="222">
        <f>'0. Database'!J47</f>
        <v/>
      </c>
      <c r="J15" s="222">
        <f>'0. Database'!K47</f>
        <v/>
      </c>
      <c r="K15" s="222">
        <f>'0. Database'!L47</f>
        <v/>
      </c>
      <c r="L15" s="222">
        <f>'0. Database'!M47</f>
        <v/>
      </c>
      <c r="M15" s="222">
        <f>'0. Database'!N47</f>
        <v/>
      </c>
      <c r="N15" s="222">
        <f>'0. Database'!O47</f>
        <v/>
      </c>
      <c r="O15" s="222">
        <f>'0. Database'!P47</f>
        <v/>
      </c>
      <c r="P15" s="222">
        <f>'0. Database'!Q47</f>
        <v/>
      </c>
      <c r="Q15" s="222">
        <f>'0. Database'!R47</f>
        <v/>
      </c>
      <c r="R15" s="222">
        <f>'0. Database'!S47</f>
        <v/>
      </c>
      <c r="S15" s="222">
        <f>'0. Database'!T47</f>
        <v/>
      </c>
    </row>
    <row r="16" ht="15" customHeight="1" s="197">
      <c r="A16" s="221" t="inlineStr">
        <is>
          <t>META — Advertising</t>
        </is>
      </c>
      <c r="B16" s="222">
        <f>'0. Database'!C64</f>
        <v/>
      </c>
      <c r="C16" s="222">
        <f>'0. Database'!D64</f>
        <v/>
      </c>
      <c r="D16" s="222">
        <f>'0. Database'!E64</f>
        <v/>
      </c>
      <c r="E16" s="222">
        <f>'0. Database'!F64</f>
        <v/>
      </c>
      <c r="F16" s="222">
        <f>'0. Database'!G64</f>
        <v/>
      </c>
      <c r="G16" s="222">
        <f>'0. Database'!H64</f>
        <v/>
      </c>
      <c r="H16" s="222">
        <f>'0. Database'!I64</f>
        <v/>
      </c>
      <c r="I16" s="222">
        <f>'0. Database'!J64</f>
        <v/>
      </c>
      <c r="J16" s="222">
        <f>'0. Database'!K64</f>
        <v/>
      </c>
      <c r="K16" s="222">
        <f>'0. Database'!L64</f>
        <v/>
      </c>
      <c r="L16" s="222">
        <f>'0. Database'!M64</f>
        <v/>
      </c>
      <c r="M16" s="222">
        <f>'0. Database'!N64</f>
        <v/>
      </c>
      <c r="N16" s="222">
        <f>'0. Database'!O64</f>
        <v/>
      </c>
      <c r="O16" s="222">
        <f>'0. Database'!P64</f>
        <v/>
      </c>
      <c r="P16" s="222">
        <f>'0. Database'!Q64</f>
        <v/>
      </c>
      <c r="Q16" s="222">
        <f>'0. Database'!R64</f>
        <v/>
      </c>
      <c r="R16" s="222">
        <f>'0. Database'!S64</f>
        <v/>
      </c>
      <c r="S16" s="222">
        <f>'0. Database'!T64</f>
        <v/>
      </c>
    </row>
    <row r="17" ht="15" customHeight="1" s="197">
      <c r="A17" s="221" t="inlineStr">
        <is>
          <t>ORCL — CloudTotalRevenue</t>
        </is>
      </c>
      <c r="B17" s="222">
        <f>'0. Database'!C82</f>
        <v/>
      </c>
      <c r="C17" s="222">
        <f>'0. Database'!D82</f>
        <v/>
      </c>
      <c r="D17" s="222">
        <f>'0. Database'!E82</f>
        <v/>
      </c>
      <c r="E17" s="222">
        <f>'0. Database'!F82</f>
        <v/>
      </c>
      <c r="F17" s="222">
        <f>'0. Database'!G82</f>
        <v/>
      </c>
      <c r="G17" s="222">
        <f>'0. Database'!H82</f>
        <v/>
      </c>
      <c r="H17" s="222">
        <f>'0. Database'!I82</f>
        <v/>
      </c>
      <c r="I17" s="222">
        <f>'0. Database'!J82</f>
        <v/>
      </c>
      <c r="J17" s="222">
        <f>'0. Database'!K82</f>
        <v/>
      </c>
      <c r="K17" s="222">
        <f>'0. Database'!L82</f>
        <v/>
      </c>
      <c r="L17" s="222">
        <f>'0. Database'!M82</f>
        <v/>
      </c>
      <c r="M17" s="222">
        <f>'0. Database'!N82</f>
        <v/>
      </c>
      <c r="N17" s="222">
        <f>'0. Database'!O82</f>
        <v/>
      </c>
      <c r="O17" s="222">
        <f>'0. Database'!P82</f>
        <v/>
      </c>
      <c r="P17" s="222">
        <f>'0. Database'!Q82</f>
        <v/>
      </c>
      <c r="Q17" s="222">
        <f>'0. Database'!R82</f>
        <v/>
      </c>
      <c r="R17" s="222">
        <f>'0. Database'!S82</f>
        <v/>
      </c>
      <c r="S17" s="222">
        <f>'0. Database'!T82</f>
        <v/>
      </c>
    </row>
    <row r="19" ht="15" customHeight="1" s="197">
      <c r="A19" s="219" t="inlineStr">
        <is>
          <t>B. Revenue YoY %</t>
        </is>
      </c>
    </row>
    <row r="20" ht="15" customHeight="1" s="197">
      <c r="A20" s="220" t="inlineStr">
        <is>
          <t>Company</t>
        </is>
      </c>
      <c r="B20" s="201" t="inlineStr">
        <is>
          <t>2013A</t>
        </is>
      </c>
      <c r="C20" s="201" t="inlineStr">
        <is>
          <t>2014A</t>
        </is>
      </c>
      <c r="D20" s="201" t="inlineStr">
        <is>
          <t>2015A</t>
        </is>
      </c>
      <c r="E20" s="201" t="inlineStr">
        <is>
          <t>2016A</t>
        </is>
      </c>
      <c r="F20" s="201" t="inlineStr">
        <is>
          <t>2017A</t>
        </is>
      </c>
      <c r="G20" s="201" t="inlineStr">
        <is>
          <t>2018A</t>
        </is>
      </c>
      <c r="H20" s="201" t="inlineStr">
        <is>
          <t>2019A</t>
        </is>
      </c>
      <c r="I20" s="201" t="inlineStr">
        <is>
          <t>2020A</t>
        </is>
      </c>
      <c r="J20" s="201" t="inlineStr">
        <is>
          <t>2021A</t>
        </is>
      </c>
      <c r="K20" s="201" t="inlineStr">
        <is>
          <t>2022A</t>
        </is>
      </c>
      <c r="L20" s="201" t="inlineStr">
        <is>
          <t>2023A</t>
        </is>
      </c>
      <c r="M20" s="201" t="inlineStr">
        <is>
          <t>2024A</t>
        </is>
      </c>
      <c r="N20" s="201" t="inlineStr">
        <is>
          <t>2025E</t>
        </is>
      </c>
      <c r="O20" s="201" t="inlineStr">
        <is>
          <t>2026E</t>
        </is>
      </c>
      <c r="P20" s="201" t="inlineStr">
        <is>
          <t>2027E</t>
        </is>
      </c>
      <c r="Q20" s="201" t="inlineStr">
        <is>
          <t>2028E</t>
        </is>
      </c>
      <c r="R20" s="201" t="inlineStr">
        <is>
          <t>2029E</t>
        </is>
      </c>
      <c r="S20" s="201" t="inlineStr">
        <is>
          <t>2030E</t>
        </is>
      </c>
    </row>
    <row r="21" ht="15" customHeight="1" s="197">
      <c r="A21" s="221" t="inlineStr">
        <is>
          <t>MSFT</t>
        </is>
      </c>
      <c r="B21" s="224" t="n"/>
      <c r="C21" s="225">
        <f>IFERROR(C5/B5-1,"")</f>
        <v/>
      </c>
      <c r="D21" s="225">
        <f>IFERROR(D5/C5-1,"")</f>
        <v/>
      </c>
      <c r="E21" s="225">
        <f>IFERROR(E5/D5-1,"")</f>
        <v/>
      </c>
      <c r="F21" s="225">
        <f>IFERROR(F5/E5-1,"")</f>
        <v/>
      </c>
      <c r="G21" s="225">
        <f>IFERROR(G5/F5-1,"")</f>
        <v/>
      </c>
      <c r="H21" s="225">
        <f>IFERROR(H5/G5-1,"")</f>
        <v/>
      </c>
      <c r="I21" s="225">
        <f>IFERROR(I5/H5-1,"")</f>
        <v/>
      </c>
      <c r="J21" s="225">
        <f>IFERROR(J5/I5-1,"")</f>
        <v/>
      </c>
      <c r="K21" s="225">
        <f>IFERROR(K5/J5-1,"")</f>
        <v/>
      </c>
      <c r="L21" s="225">
        <f>IFERROR(L5/K5-1,"")</f>
        <v/>
      </c>
      <c r="M21" s="225">
        <f>IFERROR(M5/L5-1,"")</f>
        <v/>
      </c>
      <c r="N21" s="225">
        <f>IFERROR(N5/M5-1,"")</f>
        <v/>
      </c>
      <c r="O21" s="225">
        <f>IFERROR(O5/N5-1,"")</f>
        <v/>
      </c>
      <c r="P21" s="225">
        <f>IFERROR(P5/O5-1,"")</f>
        <v/>
      </c>
      <c r="Q21" s="225">
        <f>IFERROR(Q5/P5-1,"")</f>
        <v/>
      </c>
      <c r="R21" s="225">
        <f>IFERROR(R5/Q5-1,"")</f>
        <v/>
      </c>
      <c r="S21" s="225">
        <f>IFERROR(S5/R5-1,"")</f>
        <v/>
      </c>
    </row>
    <row r="22" ht="15" customHeight="1" s="197">
      <c r="A22" s="221" t="inlineStr">
        <is>
          <t>AMZN</t>
        </is>
      </c>
      <c r="B22" s="224" t="n"/>
      <c r="C22" s="225">
        <f>IFERROR(C6/B6-1,"")</f>
        <v/>
      </c>
      <c r="D22" s="225">
        <f>IFERROR(D6/C6-1,"")</f>
        <v/>
      </c>
      <c r="E22" s="225">
        <f>IFERROR(E6/D6-1,"")</f>
        <v/>
      </c>
      <c r="F22" s="225">
        <f>IFERROR(F6/E6-1,"")</f>
        <v/>
      </c>
      <c r="G22" s="225">
        <f>IFERROR(G6/F6-1,"")</f>
        <v/>
      </c>
      <c r="H22" s="225">
        <f>IFERROR(H6/G6-1,"")</f>
        <v/>
      </c>
      <c r="I22" s="225">
        <f>IFERROR(I6/H6-1,"")</f>
        <v/>
      </c>
      <c r="J22" s="225">
        <f>IFERROR(J6/I6-1,"")</f>
        <v/>
      </c>
      <c r="K22" s="225">
        <f>IFERROR(K6/J6-1,"")</f>
        <v/>
      </c>
      <c r="L22" s="225">
        <f>IFERROR(L6/K6-1,"")</f>
        <v/>
      </c>
      <c r="M22" s="225">
        <f>IFERROR(M6/L6-1,"")</f>
        <v/>
      </c>
      <c r="N22" s="225">
        <f>IFERROR(N6/M6-1,"")</f>
        <v/>
      </c>
      <c r="O22" s="225">
        <f>IFERROR(O6/N6-1,"")</f>
        <v/>
      </c>
      <c r="P22" s="225">
        <f>IFERROR(P6/O6-1,"")</f>
        <v/>
      </c>
      <c r="Q22" s="225">
        <f>IFERROR(Q6/P6-1,"")</f>
        <v/>
      </c>
      <c r="R22" s="225">
        <f>IFERROR(R6/Q6-1,"")</f>
        <v/>
      </c>
      <c r="S22" s="225">
        <f>IFERROR(S6/R6-1,"")</f>
        <v/>
      </c>
    </row>
    <row r="23" ht="15" customHeight="1" s="197">
      <c r="A23" s="221" t="inlineStr">
        <is>
          <t>GOOGL</t>
        </is>
      </c>
      <c r="B23" s="224" t="n"/>
      <c r="C23" s="225">
        <f>IFERROR(C7/B7-1,"")</f>
        <v/>
      </c>
      <c r="D23" s="225">
        <f>IFERROR(D7/C7-1,"")</f>
        <v/>
      </c>
      <c r="E23" s="225">
        <f>IFERROR(E7/D7-1,"")</f>
        <v/>
      </c>
      <c r="F23" s="225">
        <f>IFERROR(F7/E7-1,"")</f>
        <v/>
      </c>
      <c r="G23" s="225">
        <f>IFERROR(G7/F7-1,"")</f>
        <v/>
      </c>
      <c r="H23" s="225">
        <f>IFERROR(H7/G7-1,"")</f>
        <v/>
      </c>
      <c r="I23" s="225">
        <f>IFERROR(I7/H7-1,"")</f>
        <v/>
      </c>
      <c r="J23" s="225">
        <f>IFERROR(J7/I7-1,"")</f>
        <v/>
      </c>
      <c r="K23" s="225">
        <f>IFERROR(K7/J7-1,"")</f>
        <v/>
      </c>
      <c r="L23" s="225">
        <f>IFERROR(L7/K7-1,"")</f>
        <v/>
      </c>
      <c r="M23" s="225">
        <f>IFERROR(M7/L7-1,"")</f>
        <v/>
      </c>
      <c r="N23" s="225">
        <f>IFERROR(N7/M7-1,"")</f>
        <v/>
      </c>
      <c r="O23" s="225">
        <f>IFERROR(O7/N7-1,"")</f>
        <v/>
      </c>
      <c r="P23" s="225">
        <f>IFERROR(P7/O7-1,"")</f>
        <v/>
      </c>
      <c r="Q23" s="225">
        <f>IFERROR(Q7/P7-1,"")</f>
        <v/>
      </c>
      <c r="R23" s="225">
        <f>IFERROR(R7/Q7-1,"")</f>
        <v/>
      </c>
      <c r="S23" s="225">
        <f>IFERROR(S7/R7-1,"")</f>
        <v/>
      </c>
    </row>
    <row r="24" ht="15" customHeight="1" s="197">
      <c r="A24" s="221" t="inlineStr">
        <is>
          <t>META</t>
        </is>
      </c>
      <c r="B24" s="224" t="n"/>
      <c r="C24" s="225">
        <f>IFERROR(C8/B8-1,"")</f>
        <v/>
      </c>
      <c r="D24" s="225">
        <f>IFERROR(D8/C8-1,"")</f>
        <v/>
      </c>
      <c r="E24" s="225">
        <f>IFERROR(E8/D8-1,"")</f>
        <v/>
      </c>
      <c r="F24" s="225">
        <f>IFERROR(F8/E8-1,"")</f>
        <v/>
      </c>
      <c r="G24" s="225">
        <f>IFERROR(G8/F8-1,"")</f>
        <v/>
      </c>
      <c r="H24" s="225">
        <f>IFERROR(H8/G8-1,"")</f>
        <v/>
      </c>
      <c r="I24" s="225">
        <f>IFERROR(I8/H8-1,"")</f>
        <v/>
      </c>
      <c r="J24" s="225">
        <f>IFERROR(J8/I8-1,"")</f>
        <v/>
      </c>
      <c r="K24" s="225">
        <f>IFERROR(K8/J8-1,"")</f>
        <v/>
      </c>
      <c r="L24" s="225">
        <f>IFERROR(L8/K8-1,"")</f>
        <v/>
      </c>
      <c r="M24" s="225">
        <f>IFERROR(M8/L8-1,"")</f>
        <v/>
      </c>
      <c r="N24" s="225">
        <f>IFERROR(N8/M8-1,"")</f>
        <v/>
      </c>
      <c r="O24" s="225">
        <f>IFERROR(O8/N8-1,"")</f>
        <v/>
      </c>
      <c r="P24" s="225">
        <f>IFERROR(P8/O8-1,"")</f>
        <v/>
      </c>
      <c r="Q24" s="225">
        <f>IFERROR(Q8/P8-1,"")</f>
        <v/>
      </c>
      <c r="R24" s="225">
        <f>IFERROR(R8/Q8-1,"")</f>
        <v/>
      </c>
      <c r="S24" s="225">
        <f>IFERROR(S8/R8-1,"")</f>
        <v/>
      </c>
    </row>
    <row r="25" ht="15" customHeight="1" s="197">
      <c r="A25" s="221" t="inlineStr">
        <is>
          <t>ORCL</t>
        </is>
      </c>
      <c r="B25" s="224" t="n"/>
      <c r="C25" s="225">
        <f>IFERROR(C9/B9-1,"")</f>
        <v/>
      </c>
      <c r="D25" s="225">
        <f>IFERROR(D9/C9-1,"")</f>
        <v/>
      </c>
      <c r="E25" s="225">
        <f>IFERROR(E9/D9-1,"")</f>
        <v/>
      </c>
      <c r="F25" s="225">
        <f>IFERROR(F9/E9-1,"")</f>
        <v/>
      </c>
      <c r="G25" s="225">
        <f>IFERROR(G9/F9-1,"")</f>
        <v/>
      </c>
      <c r="H25" s="225">
        <f>IFERROR(H9/G9-1,"")</f>
        <v/>
      </c>
      <c r="I25" s="225">
        <f>IFERROR(I9/H9-1,"")</f>
        <v/>
      </c>
      <c r="J25" s="225">
        <f>IFERROR(J9/I9-1,"")</f>
        <v/>
      </c>
      <c r="K25" s="225">
        <f>IFERROR(K9/J9-1,"")</f>
        <v/>
      </c>
      <c r="L25" s="225">
        <f>IFERROR(L9/K9-1,"")</f>
        <v/>
      </c>
      <c r="M25" s="225">
        <f>IFERROR(M9/L9-1,"")</f>
        <v/>
      </c>
      <c r="N25" s="225">
        <f>IFERROR(N9/M9-1,"")</f>
        <v/>
      </c>
      <c r="O25" s="225">
        <f>IFERROR(O9/N9-1,"")</f>
        <v/>
      </c>
      <c r="P25" s="225">
        <f>IFERROR(P9/O9-1,"")</f>
        <v/>
      </c>
      <c r="Q25" s="225">
        <f>IFERROR(Q9/P9-1,"")</f>
        <v/>
      </c>
      <c r="R25" s="225">
        <f>IFERROR(R9/Q9-1,"")</f>
        <v/>
      </c>
      <c r="S25" s="225">
        <f>IFERROR(S9/R9-1,"")</f>
        <v/>
      </c>
    </row>
  </sheetData>
  <mergeCells count="4">
    <mergeCell ref="A3:S3"/>
    <mergeCell ref="A11:S11"/>
    <mergeCell ref="A19:S19"/>
    <mergeCell ref="A1:S1"/>
  </mergeCells>
  <conditionalFormatting sqref="B21:S25">
    <cfRule type="colorScale" priority="2">
      <colorScale>
        <cfvo type="num" val="-0.2"/>
        <cfvo type="num" val="0.1"/>
        <cfvo type="num" val="0.35"/>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S5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96" min="1" max="1"/>
    <col width="10" customWidth="1" style="196" min="2" max="20"/>
  </cols>
  <sheetData>
    <row r="1" ht="25.5" customHeight="1" s="197">
      <c r="A1" s="218" t="inlineStr">
        <is>
          <t>Capex&amp;D&amp;A (2013-2030E)</t>
        </is>
      </c>
    </row>
    <row r="3" ht="15" customHeight="1" s="197">
      <c r="A3" s="219" t="inlineStr">
        <is>
          <t>A. Capex ($mm)</t>
        </is>
      </c>
    </row>
    <row r="4" ht="15" customHeight="1" s="197">
      <c r="A4" s="220" t="inlineStr">
        <is>
          <t>Company</t>
        </is>
      </c>
      <c r="B4" s="201" t="inlineStr">
        <is>
          <t>2013A</t>
        </is>
      </c>
      <c r="C4" s="201" t="inlineStr">
        <is>
          <t>2014A</t>
        </is>
      </c>
      <c r="D4" s="201" t="inlineStr">
        <is>
          <t>2015A</t>
        </is>
      </c>
      <c r="E4" s="201" t="inlineStr">
        <is>
          <t>2016A</t>
        </is>
      </c>
      <c r="F4" s="201" t="inlineStr">
        <is>
          <t>2017A</t>
        </is>
      </c>
      <c r="G4" s="201" t="inlineStr">
        <is>
          <t>2018A</t>
        </is>
      </c>
      <c r="H4" s="201" t="inlineStr">
        <is>
          <t>2019A</t>
        </is>
      </c>
      <c r="I4" s="201" t="inlineStr">
        <is>
          <t>2020A</t>
        </is>
      </c>
      <c r="J4" s="201" t="inlineStr">
        <is>
          <t>2021A</t>
        </is>
      </c>
      <c r="K4" s="201" t="inlineStr">
        <is>
          <t>2022A</t>
        </is>
      </c>
      <c r="L4" s="201" t="inlineStr">
        <is>
          <t>2023A</t>
        </is>
      </c>
      <c r="M4" s="201" t="inlineStr">
        <is>
          <t>2024A</t>
        </is>
      </c>
      <c r="N4" s="201" t="inlineStr">
        <is>
          <t>2025E</t>
        </is>
      </c>
      <c r="O4" s="201" t="inlineStr">
        <is>
          <t>2026E</t>
        </is>
      </c>
      <c r="P4" s="201" t="inlineStr">
        <is>
          <t>2027E</t>
        </is>
      </c>
      <c r="Q4" s="201" t="inlineStr">
        <is>
          <t>2028E</t>
        </is>
      </c>
      <c r="R4" s="201" t="inlineStr">
        <is>
          <t>2029E</t>
        </is>
      </c>
      <c r="S4" s="201" t="inlineStr">
        <is>
          <t>2030E</t>
        </is>
      </c>
    </row>
    <row r="5" ht="15" customHeight="1" s="197">
      <c r="A5" s="221" t="inlineStr">
        <is>
          <t>MSFT</t>
        </is>
      </c>
      <c r="B5" s="222">
        <f>'0. Database'!C12</f>
        <v/>
      </c>
      <c r="C5" s="222">
        <f>'0. Database'!D12</f>
        <v/>
      </c>
      <c r="D5" s="222">
        <f>'0. Database'!E12</f>
        <v/>
      </c>
      <c r="E5" s="222">
        <f>'0. Database'!F12</f>
        <v/>
      </c>
      <c r="F5" s="222">
        <f>'0. Database'!G12</f>
        <v/>
      </c>
      <c r="G5" s="222">
        <f>'0. Database'!H12</f>
        <v/>
      </c>
      <c r="H5" s="222">
        <f>'0. Database'!I12</f>
        <v/>
      </c>
      <c r="I5" s="222">
        <f>'0. Database'!J12</f>
        <v/>
      </c>
      <c r="J5" s="222">
        <f>'0. Database'!K12</f>
        <v/>
      </c>
      <c r="K5" s="222">
        <f>'0. Database'!L12</f>
        <v/>
      </c>
      <c r="L5" s="222">
        <f>'0. Database'!M12</f>
        <v/>
      </c>
      <c r="M5" s="222">
        <f>'0. Database'!N12</f>
        <v/>
      </c>
      <c r="N5" s="222">
        <f>'0. Database'!O12</f>
        <v/>
      </c>
      <c r="O5" s="222">
        <f>'0. Database'!P12</f>
        <v/>
      </c>
      <c r="P5" s="222">
        <f>'0. Database'!Q12</f>
        <v/>
      </c>
      <c r="Q5" s="222">
        <f>'0. Database'!R12</f>
        <v/>
      </c>
      <c r="R5" s="222">
        <f>'0. Database'!S12</f>
        <v/>
      </c>
      <c r="S5" s="222">
        <f>'0. Database'!T12</f>
        <v/>
      </c>
    </row>
    <row r="6" ht="15" customHeight="1" s="197">
      <c r="A6" s="221" t="inlineStr">
        <is>
          <t>AMZN</t>
        </is>
      </c>
      <c r="B6" s="222">
        <f>'0. Database'!C28</f>
        <v/>
      </c>
      <c r="C6" s="222">
        <f>'0. Database'!D28</f>
        <v/>
      </c>
      <c r="D6" s="222">
        <f>'0. Database'!E28</f>
        <v/>
      </c>
      <c r="E6" s="222">
        <f>'0. Database'!F28</f>
        <v/>
      </c>
      <c r="F6" s="222">
        <f>'0. Database'!G28</f>
        <v/>
      </c>
      <c r="G6" s="222">
        <f>'0. Database'!H28</f>
        <v/>
      </c>
      <c r="H6" s="222">
        <f>'0. Database'!I28</f>
        <v/>
      </c>
      <c r="I6" s="222">
        <f>'0. Database'!J28</f>
        <v/>
      </c>
      <c r="J6" s="222">
        <f>'0. Database'!K28</f>
        <v/>
      </c>
      <c r="K6" s="222">
        <f>'0. Database'!L28</f>
        <v/>
      </c>
      <c r="L6" s="222">
        <f>'0. Database'!M28</f>
        <v/>
      </c>
      <c r="M6" s="222">
        <f>'0. Database'!N28</f>
        <v/>
      </c>
      <c r="N6" s="222">
        <f>'0. Database'!O28</f>
        <v/>
      </c>
      <c r="O6" s="222">
        <f>'0. Database'!P28</f>
        <v/>
      </c>
      <c r="P6" s="222">
        <f>'0. Database'!Q28</f>
        <v/>
      </c>
      <c r="Q6" s="222">
        <f>'0. Database'!R28</f>
        <v/>
      </c>
      <c r="R6" s="222">
        <f>'0. Database'!S28</f>
        <v/>
      </c>
      <c r="S6" s="222">
        <f>'0. Database'!T28</f>
        <v/>
      </c>
    </row>
    <row r="7" ht="15" customHeight="1" s="197">
      <c r="A7" s="221" t="inlineStr">
        <is>
          <t>GOOGL</t>
        </is>
      </c>
      <c r="B7" s="222">
        <f>'0. Database'!C43</f>
        <v/>
      </c>
      <c r="C7" s="222">
        <f>'0. Database'!D43</f>
        <v/>
      </c>
      <c r="D7" s="222">
        <f>'0. Database'!E43</f>
        <v/>
      </c>
      <c r="E7" s="222">
        <f>'0. Database'!F43</f>
        <v/>
      </c>
      <c r="F7" s="222">
        <f>'0. Database'!G43</f>
        <v/>
      </c>
      <c r="G7" s="222">
        <f>'0. Database'!H43</f>
        <v/>
      </c>
      <c r="H7" s="222">
        <f>'0. Database'!I43</f>
        <v/>
      </c>
      <c r="I7" s="222">
        <f>'0. Database'!J43</f>
        <v/>
      </c>
      <c r="J7" s="222">
        <f>'0. Database'!K43</f>
        <v/>
      </c>
      <c r="K7" s="222">
        <f>'0. Database'!L43</f>
        <v/>
      </c>
      <c r="L7" s="222">
        <f>'0. Database'!M43</f>
        <v/>
      </c>
      <c r="M7" s="222">
        <f>'0. Database'!N43</f>
        <v/>
      </c>
      <c r="N7" s="222">
        <f>'0. Database'!O43</f>
        <v/>
      </c>
      <c r="O7" s="222">
        <f>'0. Database'!P43</f>
        <v/>
      </c>
      <c r="P7" s="222">
        <f>'0. Database'!Q43</f>
        <v/>
      </c>
      <c r="Q7" s="222">
        <f>'0. Database'!R43</f>
        <v/>
      </c>
      <c r="R7" s="222">
        <f>'0. Database'!S43</f>
        <v/>
      </c>
      <c r="S7" s="222">
        <f>'0. Database'!T43</f>
        <v/>
      </c>
    </row>
    <row r="8" ht="15" customHeight="1" s="197">
      <c r="A8" s="221" t="inlineStr">
        <is>
          <t>META</t>
        </is>
      </c>
      <c r="B8" s="222">
        <f>'0. Database'!C60</f>
        <v/>
      </c>
      <c r="C8" s="222">
        <f>'0. Database'!D60</f>
        <v/>
      </c>
      <c r="D8" s="222">
        <f>'0. Database'!E60</f>
        <v/>
      </c>
      <c r="E8" s="222">
        <f>'0. Database'!F60</f>
        <v/>
      </c>
      <c r="F8" s="222">
        <f>'0. Database'!G60</f>
        <v/>
      </c>
      <c r="G8" s="222">
        <f>'0. Database'!H60</f>
        <v/>
      </c>
      <c r="H8" s="222">
        <f>'0. Database'!I60</f>
        <v/>
      </c>
      <c r="I8" s="222">
        <f>'0. Database'!J60</f>
        <v/>
      </c>
      <c r="J8" s="222">
        <f>'0. Database'!K60</f>
        <v/>
      </c>
      <c r="K8" s="222">
        <f>'0. Database'!L60</f>
        <v/>
      </c>
      <c r="L8" s="222">
        <f>'0. Database'!M60</f>
        <v/>
      </c>
      <c r="M8" s="222">
        <f>'0. Database'!N60</f>
        <v/>
      </c>
      <c r="N8" s="222">
        <f>'0. Database'!O60</f>
        <v/>
      </c>
      <c r="O8" s="222">
        <f>'0. Database'!P60</f>
        <v/>
      </c>
      <c r="P8" s="222">
        <f>'0. Database'!Q60</f>
        <v/>
      </c>
      <c r="Q8" s="222">
        <f>'0. Database'!R60</f>
        <v/>
      </c>
      <c r="R8" s="222">
        <f>'0. Database'!S60</f>
        <v/>
      </c>
      <c r="S8" s="222">
        <f>'0. Database'!T60</f>
        <v/>
      </c>
    </row>
    <row r="9" ht="15" customHeight="1" s="197">
      <c r="A9" s="221" t="inlineStr">
        <is>
          <t>ORCL</t>
        </is>
      </c>
      <c r="B9" s="222">
        <f>'0. Database'!C78</f>
        <v/>
      </c>
      <c r="C9" s="222">
        <f>'0. Database'!D78</f>
        <v/>
      </c>
      <c r="D9" s="222">
        <f>'0. Database'!E78</f>
        <v/>
      </c>
      <c r="E9" s="222">
        <f>'0. Database'!F78</f>
        <v/>
      </c>
      <c r="F9" s="222">
        <f>'0. Database'!G78</f>
        <v/>
      </c>
      <c r="G9" s="222">
        <f>'0. Database'!H78</f>
        <v/>
      </c>
      <c r="H9" s="222">
        <f>'0. Database'!I78</f>
        <v/>
      </c>
      <c r="I9" s="222">
        <f>'0. Database'!J78</f>
        <v/>
      </c>
      <c r="J9" s="222">
        <f>'0. Database'!K78</f>
        <v/>
      </c>
      <c r="K9" s="222">
        <f>'0. Database'!L78</f>
        <v/>
      </c>
      <c r="L9" s="222">
        <f>'0. Database'!M78</f>
        <v/>
      </c>
      <c r="M9" s="222">
        <f>'0. Database'!N78</f>
        <v/>
      </c>
      <c r="N9" s="222">
        <f>'0. Database'!O78</f>
        <v/>
      </c>
      <c r="O9" s="222">
        <f>'0. Database'!P78</f>
        <v/>
      </c>
      <c r="P9" s="222">
        <f>'0. Database'!Q78</f>
        <v/>
      </c>
      <c r="Q9" s="222">
        <f>'0. Database'!R78</f>
        <v/>
      </c>
      <c r="R9" s="222">
        <f>'0. Database'!S78</f>
        <v/>
      </c>
      <c r="S9" s="222">
        <f>'0. Database'!T78</f>
        <v/>
      </c>
    </row>
    <row r="11" ht="15" customHeight="1" s="197">
      <c r="A11" s="219" t="inlineStr">
        <is>
          <t>D. D&amp;A ($mm)</t>
        </is>
      </c>
    </row>
    <row r="12" ht="15" customHeight="1" s="197">
      <c r="A12" s="220" t="inlineStr">
        <is>
          <t>Company</t>
        </is>
      </c>
      <c r="B12" s="201" t="inlineStr">
        <is>
          <t>2013A</t>
        </is>
      </c>
      <c r="C12" s="201" t="inlineStr">
        <is>
          <t>2014A</t>
        </is>
      </c>
      <c r="D12" s="201" t="inlineStr">
        <is>
          <t>2015A</t>
        </is>
      </c>
      <c r="E12" s="201" t="inlineStr">
        <is>
          <t>2016A</t>
        </is>
      </c>
      <c r="F12" s="201" t="inlineStr">
        <is>
          <t>2017A</t>
        </is>
      </c>
      <c r="G12" s="201" t="inlineStr">
        <is>
          <t>2018A</t>
        </is>
      </c>
      <c r="H12" s="201" t="inlineStr">
        <is>
          <t>2019A</t>
        </is>
      </c>
      <c r="I12" s="201" t="inlineStr">
        <is>
          <t>2020A</t>
        </is>
      </c>
      <c r="J12" s="201" t="inlineStr">
        <is>
          <t>2021A</t>
        </is>
      </c>
      <c r="K12" s="201" t="inlineStr">
        <is>
          <t>2022A</t>
        </is>
      </c>
      <c r="L12" s="201" t="inlineStr">
        <is>
          <t>2023A</t>
        </is>
      </c>
      <c r="M12" s="201" t="inlineStr">
        <is>
          <t>2024A</t>
        </is>
      </c>
      <c r="N12" s="201" t="inlineStr">
        <is>
          <t>2025E</t>
        </is>
      </c>
      <c r="O12" s="201" t="inlineStr">
        <is>
          <t>2026E</t>
        </is>
      </c>
      <c r="P12" s="201" t="inlineStr">
        <is>
          <t>2027E</t>
        </is>
      </c>
      <c r="Q12" s="201" t="inlineStr">
        <is>
          <t>2028E</t>
        </is>
      </c>
      <c r="R12" s="201" t="inlineStr">
        <is>
          <t>2029E</t>
        </is>
      </c>
      <c r="S12" s="201" t="inlineStr">
        <is>
          <t>2030E</t>
        </is>
      </c>
    </row>
    <row r="13" ht="15" customHeight="1" s="197">
      <c r="A13" s="221" t="inlineStr">
        <is>
          <t>MSFT</t>
        </is>
      </c>
      <c r="B13" s="222">
        <f>'0. Database'!C11</f>
        <v/>
      </c>
      <c r="C13" s="222">
        <f>'0. Database'!D11</f>
        <v/>
      </c>
      <c r="D13" s="222">
        <f>'0. Database'!E11</f>
        <v/>
      </c>
      <c r="E13" s="222">
        <f>'0. Database'!F11</f>
        <v/>
      </c>
      <c r="F13" s="222">
        <f>'0. Database'!G11</f>
        <v/>
      </c>
      <c r="G13" s="222">
        <f>'0. Database'!H11</f>
        <v/>
      </c>
      <c r="H13" s="222">
        <f>'0. Database'!I11</f>
        <v/>
      </c>
      <c r="I13" s="222">
        <f>'0. Database'!J11</f>
        <v/>
      </c>
      <c r="J13" s="222">
        <f>'0. Database'!K11</f>
        <v/>
      </c>
      <c r="K13" s="222">
        <f>'0. Database'!L11</f>
        <v/>
      </c>
      <c r="L13" s="222">
        <f>'0. Database'!M11</f>
        <v/>
      </c>
      <c r="M13" s="222">
        <f>'0. Database'!N11</f>
        <v/>
      </c>
      <c r="N13" s="222">
        <f>'0. Database'!O11</f>
        <v/>
      </c>
      <c r="O13" s="222">
        <f>'0. Database'!P11</f>
        <v/>
      </c>
      <c r="P13" s="222">
        <f>'0. Database'!Q11</f>
        <v/>
      </c>
      <c r="Q13" s="222">
        <f>'0. Database'!R11</f>
        <v/>
      </c>
      <c r="R13" s="222">
        <f>'0. Database'!S11</f>
        <v/>
      </c>
      <c r="S13" s="222">
        <f>'0. Database'!T11</f>
        <v/>
      </c>
    </row>
    <row r="14" ht="15" customHeight="1" s="197">
      <c r="A14" s="221" t="inlineStr">
        <is>
          <t>AMZN</t>
        </is>
      </c>
      <c r="B14" s="222">
        <f>'0. Database'!C27</f>
        <v/>
      </c>
      <c r="C14" s="222">
        <f>'0. Database'!D27</f>
        <v/>
      </c>
      <c r="D14" s="222">
        <f>'0. Database'!E27</f>
        <v/>
      </c>
      <c r="E14" s="222">
        <f>'0. Database'!F27</f>
        <v/>
      </c>
      <c r="F14" s="222">
        <f>'0. Database'!G27</f>
        <v/>
      </c>
      <c r="G14" s="222">
        <f>'0. Database'!H27</f>
        <v/>
      </c>
      <c r="H14" s="222">
        <f>'0. Database'!I27</f>
        <v/>
      </c>
      <c r="I14" s="222">
        <f>'0. Database'!J27</f>
        <v/>
      </c>
      <c r="J14" s="222">
        <f>'0. Database'!K27</f>
        <v/>
      </c>
      <c r="K14" s="222">
        <f>'0. Database'!L27</f>
        <v/>
      </c>
      <c r="L14" s="222">
        <f>'0. Database'!M27</f>
        <v/>
      </c>
      <c r="M14" s="222">
        <f>'0. Database'!N27</f>
        <v/>
      </c>
      <c r="N14" s="222">
        <f>'0. Database'!O27</f>
        <v/>
      </c>
      <c r="O14" s="222">
        <f>'0. Database'!P27</f>
        <v/>
      </c>
      <c r="P14" s="222">
        <f>'0. Database'!Q27</f>
        <v/>
      </c>
      <c r="Q14" s="222">
        <f>'0. Database'!R27</f>
        <v/>
      </c>
      <c r="R14" s="222">
        <f>'0. Database'!S27</f>
        <v/>
      </c>
      <c r="S14" s="222">
        <f>'0. Database'!T27</f>
        <v/>
      </c>
    </row>
    <row r="15" ht="15" customHeight="1" s="197">
      <c r="A15" s="221" t="inlineStr">
        <is>
          <t>GOOGL</t>
        </is>
      </c>
      <c r="B15" s="222">
        <f>'0. Database'!C42</f>
        <v/>
      </c>
      <c r="C15" s="222">
        <f>'0. Database'!D42</f>
        <v/>
      </c>
      <c r="D15" s="222">
        <f>'0. Database'!E42</f>
        <v/>
      </c>
      <c r="E15" s="222">
        <f>'0. Database'!F42</f>
        <v/>
      </c>
      <c r="F15" s="222">
        <f>'0. Database'!G42</f>
        <v/>
      </c>
      <c r="G15" s="222">
        <f>'0. Database'!H42</f>
        <v/>
      </c>
      <c r="H15" s="222">
        <f>'0. Database'!I42</f>
        <v/>
      </c>
      <c r="I15" s="222">
        <f>'0. Database'!J42</f>
        <v/>
      </c>
      <c r="J15" s="222">
        <f>'0. Database'!K42</f>
        <v/>
      </c>
      <c r="K15" s="222">
        <f>'0. Database'!L42</f>
        <v/>
      </c>
      <c r="L15" s="222">
        <f>'0. Database'!M42</f>
        <v/>
      </c>
      <c r="M15" s="222">
        <f>'0. Database'!N42</f>
        <v/>
      </c>
      <c r="N15" s="222">
        <f>'0. Database'!O42</f>
        <v/>
      </c>
      <c r="O15" s="222">
        <f>'0. Database'!P42</f>
        <v/>
      </c>
      <c r="P15" s="222">
        <f>'0. Database'!Q42</f>
        <v/>
      </c>
      <c r="Q15" s="222">
        <f>'0. Database'!R42</f>
        <v/>
      </c>
      <c r="R15" s="222">
        <f>'0. Database'!S42</f>
        <v/>
      </c>
      <c r="S15" s="222">
        <f>'0. Database'!T42</f>
        <v/>
      </c>
    </row>
    <row r="16" ht="15" customHeight="1" s="197">
      <c r="A16" s="221" t="inlineStr">
        <is>
          <t>META</t>
        </is>
      </c>
      <c r="B16" s="222">
        <f>'0. Database'!C59</f>
        <v/>
      </c>
      <c r="C16" s="222">
        <f>'0. Database'!D59</f>
        <v/>
      </c>
      <c r="D16" s="222">
        <f>'0. Database'!E59</f>
        <v/>
      </c>
      <c r="E16" s="222">
        <f>'0. Database'!F59</f>
        <v/>
      </c>
      <c r="F16" s="222">
        <f>'0. Database'!G59</f>
        <v/>
      </c>
      <c r="G16" s="222">
        <f>'0. Database'!H59</f>
        <v/>
      </c>
      <c r="H16" s="222">
        <f>'0. Database'!I59</f>
        <v/>
      </c>
      <c r="I16" s="222">
        <f>'0. Database'!J59</f>
        <v/>
      </c>
      <c r="J16" s="222">
        <f>'0. Database'!K59</f>
        <v/>
      </c>
      <c r="K16" s="222">
        <f>'0. Database'!L59</f>
        <v/>
      </c>
      <c r="L16" s="222">
        <f>'0. Database'!M59</f>
        <v/>
      </c>
      <c r="M16" s="222">
        <f>'0. Database'!N59</f>
        <v/>
      </c>
      <c r="N16" s="222">
        <f>'0. Database'!O59</f>
        <v/>
      </c>
      <c r="O16" s="222">
        <f>'0. Database'!P59</f>
        <v/>
      </c>
      <c r="P16" s="222">
        <f>'0. Database'!Q59</f>
        <v/>
      </c>
      <c r="Q16" s="222">
        <f>'0. Database'!R59</f>
        <v/>
      </c>
      <c r="R16" s="222">
        <f>'0. Database'!S59</f>
        <v/>
      </c>
      <c r="S16" s="222">
        <f>'0. Database'!T59</f>
        <v/>
      </c>
    </row>
    <row r="17" ht="15" customHeight="1" s="197">
      <c r="A17" s="221" t="inlineStr">
        <is>
          <t>ORCL</t>
        </is>
      </c>
      <c r="B17" s="222">
        <f>'0. Database'!C77</f>
        <v/>
      </c>
      <c r="C17" s="222">
        <f>'0. Database'!D77</f>
        <v/>
      </c>
      <c r="D17" s="222">
        <f>'0. Database'!E77</f>
        <v/>
      </c>
      <c r="E17" s="222">
        <f>'0. Database'!F77</f>
        <v/>
      </c>
      <c r="F17" s="222">
        <f>'0. Database'!G77</f>
        <v/>
      </c>
      <c r="G17" s="222">
        <f>'0. Database'!H77</f>
        <v/>
      </c>
      <c r="H17" s="222">
        <f>'0. Database'!I77</f>
        <v/>
      </c>
      <c r="I17" s="222">
        <f>'0. Database'!J77</f>
        <v/>
      </c>
      <c r="J17" s="222">
        <f>'0. Database'!K77</f>
        <v/>
      </c>
      <c r="K17" s="222">
        <f>'0. Database'!L77</f>
        <v/>
      </c>
      <c r="L17" s="222">
        <f>'0. Database'!M77</f>
        <v/>
      </c>
      <c r="M17" s="222">
        <f>'0. Database'!N77</f>
        <v/>
      </c>
      <c r="N17" s="222">
        <f>'0. Database'!O77</f>
        <v/>
      </c>
      <c r="O17" s="222">
        <f>'0. Database'!P77</f>
        <v/>
      </c>
      <c r="P17" s="222">
        <f>'0. Database'!Q77</f>
        <v/>
      </c>
      <c r="Q17" s="222">
        <f>'0. Database'!R77</f>
        <v/>
      </c>
      <c r="R17" s="222">
        <f>'0. Database'!S77</f>
        <v/>
      </c>
      <c r="S17" s="222">
        <f>'0. Database'!T77</f>
        <v/>
      </c>
    </row>
    <row r="19" ht="15" customHeight="1" s="197">
      <c r="A19" s="219" t="inlineStr">
        <is>
          <t>(Revenue — for ratios)</t>
        </is>
      </c>
    </row>
    <row r="20" ht="15" customHeight="1" s="197">
      <c r="A20" s="220" t="inlineStr">
        <is>
          <t>Company</t>
        </is>
      </c>
      <c r="B20" s="201" t="inlineStr">
        <is>
          <t>2013A</t>
        </is>
      </c>
      <c r="C20" s="201" t="inlineStr">
        <is>
          <t>2014A</t>
        </is>
      </c>
      <c r="D20" s="201" t="inlineStr">
        <is>
          <t>2015A</t>
        </is>
      </c>
      <c r="E20" s="201" t="inlineStr">
        <is>
          <t>2016A</t>
        </is>
      </c>
      <c r="F20" s="201" t="inlineStr">
        <is>
          <t>2017A</t>
        </is>
      </c>
      <c r="G20" s="201" t="inlineStr">
        <is>
          <t>2018A</t>
        </is>
      </c>
      <c r="H20" s="201" t="inlineStr">
        <is>
          <t>2019A</t>
        </is>
      </c>
      <c r="I20" s="201" t="inlineStr">
        <is>
          <t>2020A</t>
        </is>
      </c>
      <c r="J20" s="201" t="inlineStr">
        <is>
          <t>2021A</t>
        </is>
      </c>
      <c r="K20" s="201" t="inlineStr">
        <is>
          <t>2022A</t>
        </is>
      </c>
      <c r="L20" s="201" t="inlineStr">
        <is>
          <t>2023A</t>
        </is>
      </c>
      <c r="M20" s="201" t="inlineStr">
        <is>
          <t>2024A</t>
        </is>
      </c>
      <c r="N20" s="201" t="inlineStr">
        <is>
          <t>2025E</t>
        </is>
      </c>
      <c r="O20" s="201" t="inlineStr">
        <is>
          <t>2026E</t>
        </is>
      </c>
      <c r="P20" s="201" t="inlineStr">
        <is>
          <t>2027E</t>
        </is>
      </c>
      <c r="Q20" s="201" t="inlineStr">
        <is>
          <t>2028E</t>
        </is>
      </c>
      <c r="R20" s="201" t="inlineStr">
        <is>
          <t>2029E</t>
        </is>
      </c>
      <c r="S20" s="201" t="inlineStr">
        <is>
          <t>2030E</t>
        </is>
      </c>
    </row>
    <row r="21" ht="15" customHeight="1" s="197">
      <c r="A21" s="221" t="inlineStr">
        <is>
          <t>MSFT</t>
        </is>
      </c>
      <c r="B21" s="222">
        <f>'0. Database'!C5</f>
        <v/>
      </c>
      <c r="C21" s="222">
        <f>'0. Database'!D5</f>
        <v/>
      </c>
      <c r="D21" s="222">
        <f>'0. Database'!E5</f>
        <v/>
      </c>
      <c r="E21" s="222">
        <f>'0. Database'!F5</f>
        <v/>
      </c>
      <c r="F21" s="222">
        <f>'0. Database'!G5</f>
        <v/>
      </c>
      <c r="G21" s="222">
        <f>'0. Database'!H5</f>
        <v/>
      </c>
      <c r="H21" s="222">
        <f>'0. Database'!I5</f>
        <v/>
      </c>
      <c r="I21" s="222">
        <f>'0. Database'!J5</f>
        <v/>
      </c>
      <c r="J21" s="222">
        <f>'0. Database'!K5</f>
        <v/>
      </c>
      <c r="K21" s="222">
        <f>'0. Database'!L5</f>
        <v/>
      </c>
      <c r="L21" s="222">
        <f>'0. Database'!M5</f>
        <v/>
      </c>
      <c r="M21" s="222">
        <f>'0. Database'!N5</f>
        <v/>
      </c>
      <c r="N21" s="222">
        <f>'0. Database'!O5</f>
        <v/>
      </c>
      <c r="O21" s="222">
        <f>'0. Database'!P5</f>
        <v/>
      </c>
      <c r="P21" s="222">
        <f>'0. Database'!Q5</f>
        <v/>
      </c>
      <c r="Q21" s="222">
        <f>'0. Database'!R5</f>
        <v/>
      </c>
      <c r="R21" s="222">
        <f>'0. Database'!S5</f>
        <v/>
      </c>
      <c r="S21" s="222">
        <f>'0. Database'!T5</f>
        <v/>
      </c>
    </row>
    <row r="22" ht="15" customHeight="1" s="197">
      <c r="A22" s="221" t="inlineStr">
        <is>
          <t>AMZN</t>
        </is>
      </c>
      <c r="B22" s="222">
        <f>'0. Database'!C21</f>
        <v/>
      </c>
      <c r="C22" s="222">
        <f>'0. Database'!D21</f>
        <v/>
      </c>
      <c r="D22" s="222">
        <f>'0. Database'!E21</f>
        <v/>
      </c>
      <c r="E22" s="222">
        <f>'0. Database'!F21</f>
        <v/>
      </c>
      <c r="F22" s="222">
        <f>'0. Database'!G21</f>
        <v/>
      </c>
      <c r="G22" s="222">
        <f>'0. Database'!H21</f>
        <v/>
      </c>
      <c r="H22" s="222">
        <f>'0. Database'!I21</f>
        <v/>
      </c>
      <c r="I22" s="222">
        <f>'0. Database'!J21</f>
        <v/>
      </c>
      <c r="J22" s="222">
        <f>'0. Database'!K21</f>
        <v/>
      </c>
      <c r="K22" s="222">
        <f>'0. Database'!L21</f>
        <v/>
      </c>
      <c r="L22" s="222">
        <f>'0. Database'!M21</f>
        <v/>
      </c>
      <c r="M22" s="222">
        <f>'0. Database'!N21</f>
        <v/>
      </c>
      <c r="N22" s="222">
        <f>'0. Database'!O21</f>
        <v/>
      </c>
      <c r="O22" s="222">
        <f>'0. Database'!P21</f>
        <v/>
      </c>
      <c r="P22" s="222">
        <f>'0. Database'!Q21</f>
        <v/>
      </c>
      <c r="Q22" s="222">
        <f>'0. Database'!R21</f>
        <v/>
      </c>
      <c r="R22" s="222">
        <f>'0. Database'!S21</f>
        <v/>
      </c>
      <c r="S22" s="222">
        <f>'0. Database'!T21</f>
        <v/>
      </c>
    </row>
    <row r="23" ht="15" customHeight="1" s="197">
      <c r="A23" s="221" t="inlineStr">
        <is>
          <t>GOOGL</t>
        </is>
      </c>
      <c r="B23" s="222">
        <f>'0. Database'!C36</f>
        <v/>
      </c>
      <c r="C23" s="222">
        <f>'0. Database'!D36</f>
        <v/>
      </c>
      <c r="D23" s="222">
        <f>'0. Database'!E36</f>
        <v/>
      </c>
      <c r="E23" s="222">
        <f>'0. Database'!F36</f>
        <v/>
      </c>
      <c r="F23" s="222">
        <f>'0. Database'!G36</f>
        <v/>
      </c>
      <c r="G23" s="222">
        <f>'0. Database'!H36</f>
        <v/>
      </c>
      <c r="H23" s="222">
        <f>'0. Database'!I36</f>
        <v/>
      </c>
      <c r="I23" s="222">
        <f>'0. Database'!J36</f>
        <v/>
      </c>
      <c r="J23" s="222">
        <f>'0. Database'!K36</f>
        <v/>
      </c>
      <c r="K23" s="222">
        <f>'0. Database'!L36</f>
        <v/>
      </c>
      <c r="L23" s="222">
        <f>'0. Database'!M36</f>
        <v/>
      </c>
      <c r="M23" s="222">
        <f>'0. Database'!N36</f>
        <v/>
      </c>
      <c r="N23" s="222">
        <f>'0. Database'!O36</f>
        <v/>
      </c>
      <c r="O23" s="222">
        <f>'0. Database'!P36</f>
        <v/>
      </c>
      <c r="P23" s="222">
        <f>'0. Database'!Q36</f>
        <v/>
      </c>
      <c r="Q23" s="222">
        <f>'0. Database'!R36</f>
        <v/>
      </c>
      <c r="R23" s="222">
        <f>'0. Database'!S36</f>
        <v/>
      </c>
      <c r="S23" s="222">
        <f>'0. Database'!T36</f>
        <v/>
      </c>
    </row>
    <row r="24" ht="15" customHeight="1" s="197">
      <c r="A24" s="221" t="inlineStr">
        <is>
          <t>META</t>
        </is>
      </c>
      <c r="B24" s="222">
        <f>'0. Database'!C53</f>
        <v/>
      </c>
      <c r="C24" s="222">
        <f>'0. Database'!D53</f>
        <v/>
      </c>
      <c r="D24" s="222">
        <f>'0. Database'!E53</f>
        <v/>
      </c>
      <c r="E24" s="222">
        <f>'0. Database'!F53</f>
        <v/>
      </c>
      <c r="F24" s="222">
        <f>'0. Database'!G53</f>
        <v/>
      </c>
      <c r="G24" s="222">
        <f>'0. Database'!H53</f>
        <v/>
      </c>
      <c r="H24" s="222">
        <f>'0. Database'!I53</f>
        <v/>
      </c>
      <c r="I24" s="222">
        <f>'0. Database'!J53</f>
        <v/>
      </c>
      <c r="J24" s="222">
        <f>'0. Database'!K53</f>
        <v/>
      </c>
      <c r="K24" s="222">
        <f>'0. Database'!L53</f>
        <v/>
      </c>
      <c r="L24" s="222">
        <f>'0. Database'!M53</f>
        <v/>
      </c>
      <c r="M24" s="222">
        <f>'0. Database'!N53</f>
        <v/>
      </c>
      <c r="N24" s="222">
        <f>'0. Database'!O53</f>
        <v/>
      </c>
      <c r="O24" s="222">
        <f>'0. Database'!P53</f>
        <v/>
      </c>
      <c r="P24" s="222">
        <f>'0. Database'!Q53</f>
        <v/>
      </c>
      <c r="Q24" s="222">
        <f>'0. Database'!R53</f>
        <v/>
      </c>
      <c r="R24" s="222">
        <f>'0. Database'!S53</f>
        <v/>
      </c>
      <c r="S24" s="222">
        <f>'0. Database'!T53</f>
        <v/>
      </c>
    </row>
    <row r="25" ht="15" customHeight="1" s="197">
      <c r="A25" s="221" t="inlineStr">
        <is>
          <t>ORCL</t>
        </is>
      </c>
      <c r="B25" s="222">
        <f>'0. Database'!C71</f>
        <v/>
      </c>
      <c r="C25" s="222">
        <f>'0. Database'!D71</f>
        <v/>
      </c>
      <c r="D25" s="222">
        <f>'0. Database'!E71</f>
        <v/>
      </c>
      <c r="E25" s="222">
        <f>'0. Database'!F71</f>
        <v/>
      </c>
      <c r="F25" s="222">
        <f>'0. Database'!G71</f>
        <v/>
      </c>
      <c r="G25" s="222">
        <f>'0. Database'!H71</f>
        <v/>
      </c>
      <c r="H25" s="222">
        <f>'0. Database'!I71</f>
        <v/>
      </c>
      <c r="I25" s="222">
        <f>'0. Database'!J71</f>
        <v/>
      </c>
      <c r="J25" s="222">
        <f>'0. Database'!K71</f>
        <v/>
      </c>
      <c r="K25" s="222">
        <f>'0. Database'!L71</f>
        <v/>
      </c>
      <c r="L25" s="222">
        <f>'0. Database'!M71</f>
        <v/>
      </c>
      <c r="M25" s="222">
        <f>'0. Database'!N71</f>
        <v/>
      </c>
      <c r="N25" s="222">
        <f>'0. Database'!O71</f>
        <v/>
      </c>
      <c r="O25" s="222">
        <f>'0. Database'!P71</f>
        <v/>
      </c>
      <c r="P25" s="222">
        <f>'0. Database'!Q71</f>
        <v/>
      </c>
      <c r="Q25" s="222">
        <f>'0. Database'!R71</f>
        <v/>
      </c>
      <c r="R25" s="222">
        <f>'0. Database'!S71</f>
        <v/>
      </c>
      <c r="S25" s="222">
        <f>'0. Database'!T71</f>
        <v/>
      </c>
    </row>
    <row r="27" ht="15" customHeight="1" s="197">
      <c r="A27" s="219" t="inlineStr">
        <is>
          <t>B. CapexYoY %</t>
        </is>
      </c>
    </row>
    <row r="28" ht="15" customHeight="1" s="197">
      <c r="A28" s="220" t="inlineStr">
        <is>
          <t>Company</t>
        </is>
      </c>
      <c r="B28" s="201" t="inlineStr">
        <is>
          <t>2013A</t>
        </is>
      </c>
      <c r="C28" s="201" t="inlineStr">
        <is>
          <t>2014A</t>
        </is>
      </c>
      <c r="D28" s="201" t="inlineStr">
        <is>
          <t>2015A</t>
        </is>
      </c>
      <c r="E28" s="201" t="inlineStr">
        <is>
          <t>2016A</t>
        </is>
      </c>
      <c r="F28" s="201" t="inlineStr">
        <is>
          <t>2017A</t>
        </is>
      </c>
      <c r="G28" s="201" t="inlineStr">
        <is>
          <t>2018A</t>
        </is>
      </c>
      <c r="H28" s="201" t="inlineStr">
        <is>
          <t>2019A</t>
        </is>
      </c>
      <c r="I28" s="201" t="inlineStr">
        <is>
          <t>2020A</t>
        </is>
      </c>
      <c r="J28" s="201" t="inlineStr">
        <is>
          <t>2021A</t>
        </is>
      </c>
      <c r="K28" s="201" t="inlineStr">
        <is>
          <t>2022A</t>
        </is>
      </c>
      <c r="L28" s="201" t="inlineStr">
        <is>
          <t>2023A</t>
        </is>
      </c>
      <c r="M28" s="201" t="inlineStr">
        <is>
          <t>2024A</t>
        </is>
      </c>
      <c r="N28" s="201" t="inlineStr">
        <is>
          <t>2025E</t>
        </is>
      </c>
      <c r="O28" s="201" t="inlineStr">
        <is>
          <t>2026E</t>
        </is>
      </c>
      <c r="P28" s="201" t="inlineStr">
        <is>
          <t>2027E</t>
        </is>
      </c>
      <c r="Q28" s="201" t="inlineStr">
        <is>
          <t>2028E</t>
        </is>
      </c>
      <c r="R28" s="201" t="inlineStr">
        <is>
          <t>2029E</t>
        </is>
      </c>
      <c r="S28" s="201" t="inlineStr">
        <is>
          <t>2030E</t>
        </is>
      </c>
    </row>
    <row r="29" ht="15" customHeight="1" s="197">
      <c r="A29" s="221" t="inlineStr">
        <is>
          <t>MSFT</t>
        </is>
      </c>
      <c r="B29" s="224" t="n"/>
      <c r="C29" s="225">
        <f>IFERROR(C5/B5-1,"")</f>
        <v/>
      </c>
      <c r="D29" s="225">
        <f>IFERROR(D5/C5-1,"")</f>
        <v/>
      </c>
      <c r="E29" s="225">
        <f>IFERROR(E5/D5-1,"")</f>
        <v/>
      </c>
      <c r="F29" s="225">
        <f>IFERROR(F5/E5-1,"")</f>
        <v/>
      </c>
      <c r="G29" s="225">
        <f>IFERROR(G5/F5-1,"")</f>
        <v/>
      </c>
      <c r="H29" s="225">
        <f>IFERROR(H5/G5-1,"")</f>
        <v/>
      </c>
      <c r="I29" s="225">
        <f>IFERROR(I5/H5-1,"")</f>
        <v/>
      </c>
      <c r="J29" s="225">
        <f>IFERROR(J5/I5-1,"")</f>
        <v/>
      </c>
      <c r="K29" s="225">
        <f>IFERROR(K5/J5-1,"")</f>
        <v/>
      </c>
      <c r="L29" s="225">
        <f>IFERROR(L5/K5-1,"")</f>
        <v/>
      </c>
      <c r="M29" s="225">
        <f>IFERROR(M5/L5-1,"")</f>
        <v/>
      </c>
      <c r="N29" s="225">
        <f>IFERROR(N5/M5-1,"")</f>
        <v/>
      </c>
      <c r="O29" s="225">
        <f>IFERROR(O5/N5-1,"")</f>
        <v/>
      </c>
      <c r="P29" s="225">
        <f>IFERROR(P5/O5-1,"")</f>
        <v/>
      </c>
      <c r="Q29" s="225">
        <f>IFERROR(Q5/P5-1,"")</f>
        <v/>
      </c>
      <c r="R29" s="225">
        <f>IFERROR(R5/Q5-1,"")</f>
        <v/>
      </c>
      <c r="S29" s="225">
        <f>IFERROR(S5/R5-1,"")</f>
        <v/>
      </c>
    </row>
    <row r="30" ht="15" customHeight="1" s="197">
      <c r="A30" s="221" t="inlineStr">
        <is>
          <t>AMZN</t>
        </is>
      </c>
      <c r="B30" s="224" t="n"/>
      <c r="C30" s="225">
        <f>IFERROR(C6/B6-1,"")</f>
        <v/>
      </c>
      <c r="D30" s="225">
        <f>IFERROR(D6/C6-1,"")</f>
        <v/>
      </c>
      <c r="E30" s="225">
        <f>IFERROR(E6/D6-1,"")</f>
        <v/>
      </c>
      <c r="F30" s="225">
        <f>IFERROR(F6/E6-1,"")</f>
        <v/>
      </c>
      <c r="G30" s="225">
        <f>IFERROR(G6/F6-1,"")</f>
        <v/>
      </c>
      <c r="H30" s="225">
        <f>IFERROR(H6/G6-1,"")</f>
        <v/>
      </c>
      <c r="I30" s="225">
        <f>IFERROR(I6/H6-1,"")</f>
        <v/>
      </c>
      <c r="J30" s="225">
        <f>IFERROR(J6/I6-1,"")</f>
        <v/>
      </c>
      <c r="K30" s="225">
        <f>IFERROR(K6/J6-1,"")</f>
        <v/>
      </c>
      <c r="L30" s="225">
        <f>IFERROR(L6/K6-1,"")</f>
        <v/>
      </c>
      <c r="M30" s="225">
        <f>IFERROR(M6/L6-1,"")</f>
        <v/>
      </c>
      <c r="N30" s="225">
        <f>IFERROR(N6/M6-1,"")</f>
        <v/>
      </c>
      <c r="O30" s="225">
        <f>IFERROR(O6/N6-1,"")</f>
        <v/>
      </c>
      <c r="P30" s="225">
        <f>IFERROR(P6/O6-1,"")</f>
        <v/>
      </c>
      <c r="Q30" s="225">
        <f>IFERROR(Q6/P6-1,"")</f>
        <v/>
      </c>
      <c r="R30" s="225">
        <f>IFERROR(R6/Q6-1,"")</f>
        <v/>
      </c>
      <c r="S30" s="225">
        <f>IFERROR(S6/R6-1,"")</f>
        <v/>
      </c>
    </row>
    <row r="31" ht="15" customHeight="1" s="197">
      <c r="A31" s="221" t="inlineStr">
        <is>
          <t>GOOGL</t>
        </is>
      </c>
      <c r="B31" s="224" t="n"/>
      <c r="C31" s="225">
        <f>IFERROR(C7/B7-1,"")</f>
        <v/>
      </c>
      <c r="D31" s="225">
        <f>IFERROR(D7/C7-1,"")</f>
        <v/>
      </c>
      <c r="E31" s="225">
        <f>IFERROR(E7/D7-1,"")</f>
        <v/>
      </c>
      <c r="F31" s="225">
        <f>IFERROR(F7/E7-1,"")</f>
        <v/>
      </c>
      <c r="G31" s="225">
        <f>IFERROR(G7/F7-1,"")</f>
        <v/>
      </c>
      <c r="H31" s="225">
        <f>IFERROR(H7/G7-1,"")</f>
        <v/>
      </c>
      <c r="I31" s="225">
        <f>IFERROR(I7/H7-1,"")</f>
        <v/>
      </c>
      <c r="J31" s="225">
        <f>IFERROR(J7/I7-1,"")</f>
        <v/>
      </c>
      <c r="K31" s="225">
        <f>IFERROR(K7/J7-1,"")</f>
        <v/>
      </c>
      <c r="L31" s="225">
        <f>IFERROR(L7/K7-1,"")</f>
        <v/>
      </c>
      <c r="M31" s="225">
        <f>IFERROR(M7/L7-1,"")</f>
        <v/>
      </c>
      <c r="N31" s="225">
        <f>IFERROR(N7/M7-1,"")</f>
        <v/>
      </c>
      <c r="O31" s="225">
        <f>IFERROR(O7/N7-1,"")</f>
        <v/>
      </c>
      <c r="P31" s="225">
        <f>IFERROR(P7/O7-1,"")</f>
        <v/>
      </c>
      <c r="Q31" s="225">
        <f>IFERROR(Q7/P7-1,"")</f>
        <v/>
      </c>
      <c r="R31" s="225">
        <f>IFERROR(R7/Q7-1,"")</f>
        <v/>
      </c>
      <c r="S31" s="225">
        <f>IFERROR(S7/R7-1,"")</f>
        <v/>
      </c>
    </row>
    <row r="32" ht="15" customHeight="1" s="197">
      <c r="A32" s="221" t="inlineStr">
        <is>
          <t>META</t>
        </is>
      </c>
      <c r="B32" s="224" t="n"/>
      <c r="C32" s="225">
        <f>IFERROR(C8/B8-1,"")</f>
        <v/>
      </c>
      <c r="D32" s="225">
        <f>IFERROR(D8/C8-1,"")</f>
        <v/>
      </c>
      <c r="E32" s="225">
        <f>IFERROR(E8/D8-1,"")</f>
        <v/>
      </c>
      <c r="F32" s="225">
        <f>IFERROR(F8/E8-1,"")</f>
        <v/>
      </c>
      <c r="G32" s="225">
        <f>IFERROR(G8/F8-1,"")</f>
        <v/>
      </c>
      <c r="H32" s="225">
        <f>IFERROR(H8/G8-1,"")</f>
        <v/>
      </c>
      <c r="I32" s="225">
        <f>IFERROR(I8/H8-1,"")</f>
        <v/>
      </c>
      <c r="J32" s="225">
        <f>IFERROR(J8/I8-1,"")</f>
        <v/>
      </c>
      <c r="K32" s="225">
        <f>IFERROR(K8/J8-1,"")</f>
        <v/>
      </c>
      <c r="L32" s="225">
        <f>IFERROR(L8/K8-1,"")</f>
        <v/>
      </c>
      <c r="M32" s="225">
        <f>IFERROR(M8/L8-1,"")</f>
        <v/>
      </c>
      <c r="N32" s="225">
        <f>IFERROR(N8/M8-1,"")</f>
        <v/>
      </c>
      <c r="O32" s="225">
        <f>IFERROR(O8/N8-1,"")</f>
        <v/>
      </c>
      <c r="P32" s="225">
        <f>IFERROR(P8/O8-1,"")</f>
        <v/>
      </c>
      <c r="Q32" s="225">
        <f>IFERROR(Q8/P8-1,"")</f>
        <v/>
      </c>
      <c r="R32" s="225">
        <f>IFERROR(R8/Q8-1,"")</f>
        <v/>
      </c>
      <c r="S32" s="225">
        <f>IFERROR(S8/R8-1,"")</f>
        <v/>
      </c>
    </row>
    <row r="33" ht="15" customHeight="1" s="197">
      <c r="A33" s="221" t="inlineStr">
        <is>
          <t>ORCL</t>
        </is>
      </c>
      <c r="B33" s="224" t="n"/>
      <c r="C33" s="225">
        <f>IFERROR(C9/B9-1,"")</f>
        <v/>
      </c>
      <c r="D33" s="225">
        <f>IFERROR(D9/C9-1,"")</f>
        <v/>
      </c>
      <c r="E33" s="225">
        <f>IFERROR(E9/D9-1,"")</f>
        <v/>
      </c>
      <c r="F33" s="225">
        <f>IFERROR(F9/E9-1,"")</f>
        <v/>
      </c>
      <c r="G33" s="225">
        <f>IFERROR(G9/F9-1,"")</f>
        <v/>
      </c>
      <c r="H33" s="225">
        <f>IFERROR(H9/G9-1,"")</f>
        <v/>
      </c>
      <c r="I33" s="225">
        <f>IFERROR(I9/H9-1,"")</f>
        <v/>
      </c>
      <c r="J33" s="225">
        <f>IFERROR(J9/I9-1,"")</f>
        <v/>
      </c>
      <c r="K33" s="225">
        <f>IFERROR(K9/J9-1,"")</f>
        <v/>
      </c>
      <c r="L33" s="225">
        <f>IFERROR(L9/K9-1,"")</f>
        <v/>
      </c>
      <c r="M33" s="225">
        <f>IFERROR(M9/L9-1,"")</f>
        <v/>
      </c>
      <c r="N33" s="225">
        <f>IFERROR(N9/M9-1,"")</f>
        <v/>
      </c>
      <c r="O33" s="225">
        <f>IFERROR(O9/N9-1,"")</f>
        <v/>
      </c>
      <c r="P33" s="225">
        <f>IFERROR(P9/O9-1,"")</f>
        <v/>
      </c>
      <c r="Q33" s="225">
        <f>IFERROR(Q9/P9-1,"")</f>
        <v/>
      </c>
      <c r="R33" s="225">
        <f>IFERROR(R9/Q9-1,"")</f>
        <v/>
      </c>
      <c r="S33" s="225">
        <f>IFERROR(S9/R9-1,"")</f>
        <v/>
      </c>
    </row>
    <row r="35" ht="15" customHeight="1" s="197">
      <c r="A35" s="219" t="inlineStr">
        <is>
          <t>C. Capex / Revenue %</t>
        </is>
      </c>
    </row>
    <row r="36" ht="15" customHeight="1" s="197">
      <c r="A36" s="220" t="inlineStr">
        <is>
          <t>Company</t>
        </is>
      </c>
      <c r="B36" s="201" t="inlineStr">
        <is>
          <t>2013A</t>
        </is>
      </c>
      <c r="C36" s="201" t="inlineStr">
        <is>
          <t>2014A</t>
        </is>
      </c>
      <c r="D36" s="201" t="inlineStr">
        <is>
          <t>2015A</t>
        </is>
      </c>
      <c r="E36" s="201" t="inlineStr">
        <is>
          <t>2016A</t>
        </is>
      </c>
      <c r="F36" s="201" t="inlineStr">
        <is>
          <t>2017A</t>
        </is>
      </c>
      <c r="G36" s="201" t="inlineStr">
        <is>
          <t>2018A</t>
        </is>
      </c>
      <c r="H36" s="201" t="inlineStr">
        <is>
          <t>2019A</t>
        </is>
      </c>
      <c r="I36" s="201" t="inlineStr">
        <is>
          <t>2020A</t>
        </is>
      </c>
      <c r="J36" s="201" t="inlineStr">
        <is>
          <t>2021A</t>
        </is>
      </c>
      <c r="K36" s="201" t="inlineStr">
        <is>
          <t>2022A</t>
        </is>
      </c>
      <c r="L36" s="201" t="inlineStr">
        <is>
          <t>2023A</t>
        </is>
      </c>
      <c r="M36" s="201" t="inlineStr">
        <is>
          <t>2024A</t>
        </is>
      </c>
      <c r="N36" s="201" t="inlineStr">
        <is>
          <t>2025E</t>
        </is>
      </c>
      <c r="O36" s="201" t="inlineStr">
        <is>
          <t>2026E</t>
        </is>
      </c>
      <c r="P36" s="201" t="inlineStr">
        <is>
          <t>2027E</t>
        </is>
      </c>
      <c r="Q36" s="201" t="inlineStr">
        <is>
          <t>2028E</t>
        </is>
      </c>
      <c r="R36" s="201" t="inlineStr">
        <is>
          <t>2029E</t>
        </is>
      </c>
      <c r="S36" s="201" t="inlineStr">
        <is>
          <t>2030E</t>
        </is>
      </c>
    </row>
    <row r="37" ht="15" customHeight="1" s="197">
      <c r="A37" s="221" t="inlineStr">
        <is>
          <t>MSFT</t>
        </is>
      </c>
      <c r="B37" s="225">
        <f>IFERROR(B5/B21,"")</f>
        <v/>
      </c>
      <c r="C37" s="225">
        <f>IFERROR(C5/C21,"")</f>
        <v/>
      </c>
      <c r="D37" s="225">
        <f>IFERROR(D5/D21,"")</f>
        <v/>
      </c>
      <c r="E37" s="225">
        <f>IFERROR(E5/E21,"")</f>
        <v/>
      </c>
      <c r="F37" s="225">
        <f>IFERROR(F5/F21,"")</f>
        <v/>
      </c>
      <c r="G37" s="225">
        <f>IFERROR(G5/G21,"")</f>
        <v/>
      </c>
      <c r="H37" s="225">
        <f>IFERROR(H5/H21,"")</f>
        <v/>
      </c>
      <c r="I37" s="225">
        <f>IFERROR(I5/I21,"")</f>
        <v/>
      </c>
      <c r="J37" s="225">
        <f>IFERROR(J5/J21,"")</f>
        <v/>
      </c>
      <c r="K37" s="225">
        <f>IFERROR(K5/K21,"")</f>
        <v/>
      </c>
      <c r="L37" s="225">
        <f>IFERROR(L5/L21,"")</f>
        <v/>
      </c>
      <c r="M37" s="225">
        <f>IFERROR(M5/M21,"")</f>
        <v/>
      </c>
      <c r="N37" s="225">
        <f>IFERROR(N5/N21,"")</f>
        <v/>
      </c>
      <c r="O37" s="225">
        <f>IFERROR(O5/O21,"")</f>
        <v/>
      </c>
      <c r="P37" s="225">
        <f>IFERROR(P5/P21,"")</f>
        <v/>
      </c>
      <c r="Q37" s="225">
        <f>IFERROR(Q5/Q21,"")</f>
        <v/>
      </c>
      <c r="R37" s="225">
        <f>IFERROR(R5/R21,"")</f>
        <v/>
      </c>
      <c r="S37" s="225">
        <f>IFERROR(S5/S21,"")</f>
        <v/>
      </c>
    </row>
    <row r="38" ht="15" customHeight="1" s="197">
      <c r="A38" s="221" t="inlineStr">
        <is>
          <t>AMZN</t>
        </is>
      </c>
      <c r="B38" s="225">
        <f>IFERROR(B6/B22,"")</f>
        <v/>
      </c>
      <c r="C38" s="225">
        <f>IFERROR(C6/C22,"")</f>
        <v/>
      </c>
      <c r="D38" s="225">
        <f>IFERROR(D6/D22,"")</f>
        <v/>
      </c>
      <c r="E38" s="225">
        <f>IFERROR(E6/E22,"")</f>
        <v/>
      </c>
      <c r="F38" s="225">
        <f>IFERROR(F6/F22,"")</f>
        <v/>
      </c>
      <c r="G38" s="225">
        <f>IFERROR(G6/G22,"")</f>
        <v/>
      </c>
      <c r="H38" s="225">
        <f>IFERROR(H6/H22,"")</f>
        <v/>
      </c>
      <c r="I38" s="225">
        <f>IFERROR(I6/I22,"")</f>
        <v/>
      </c>
      <c r="J38" s="225">
        <f>IFERROR(J6/J22,"")</f>
        <v/>
      </c>
      <c r="K38" s="225">
        <f>IFERROR(K6/K22,"")</f>
        <v/>
      </c>
      <c r="L38" s="225">
        <f>IFERROR(L6/L22,"")</f>
        <v/>
      </c>
      <c r="M38" s="225">
        <f>IFERROR(M6/M22,"")</f>
        <v/>
      </c>
      <c r="N38" s="225">
        <f>IFERROR(N6/N22,"")</f>
        <v/>
      </c>
      <c r="O38" s="225">
        <f>IFERROR(O6/O22,"")</f>
        <v/>
      </c>
      <c r="P38" s="225">
        <f>IFERROR(P6/P22,"")</f>
        <v/>
      </c>
      <c r="Q38" s="225">
        <f>IFERROR(Q6/Q22,"")</f>
        <v/>
      </c>
      <c r="R38" s="225">
        <f>IFERROR(R6/R22,"")</f>
        <v/>
      </c>
      <c r="S38" s="225">
        <f>IFERROR(S6/S22,"")</f>
        <v/>
      </c>
    </row>
    <row r="39" ht="15" customHeight="1" s="197">
      <c r="A39" s="221" t="inlineStr">
        <is>
          <t>GOOGL</t>
        </is>
      </c>
      <c r="B39" s="225">
        <f>IFERROR(B7/B23,"")</f>
        <v/>
      </c>
      <c r="C39" s="225">
        <f>IFERROR(C7/C23,"")</f>
        <v/>
      </c>
      <c r="D39" s="225">
        <f>IFERROR(D7/D23,"")</f>
        <v/>
      </c>
      <c r="E39" s="225">
        <f>IFERROR(E7/E23,"")</f>
        <v/>
      </c>
      <c r="F39" s="225">
        <f>IFERROR(F7/F23,"")</f>
        <v/>
      </c>
      <c r="G39" s="225">
        <f>IFERROR(G7/G23,"")</f>
        <v/>
      </c>
      <c r="H39" s="225">
        <f>IFERROR(H7/H23,"")</f>
        <v/>
      </c>
      <c r="I39" s="225">
        <f>IFERROR(I7/I23,"")</f>
        <v/>
      </c>
      <c r="J39" s="225">
        <f>IFERROR(J7/J23,"")</f>
        <v/>
      </c>
      <c r="K39" s="225">
        <f>IFERROR(K7/K23,"")</f>
        <v/>
      </c>
      <c r="L39" s="225">
        <f>IFERROR(L7/L23,"")</f>
        <v/>
      </c>
      <c r="M39" s="225">
        <f>IFERROR(M7/M23,"")</f>
        <v/>
      </c>
      <c r="N39" s="225">
        <f>IFERROR(N7/N23,"")</f>
        <v/>
      </c>
      <c r="O39" s="225">
        <f>IFERROR(O7/O23,"")</f>
        <v/>
      </c>
      <c r="P39" s="225">
        <f>IFERROR(P7/P23,"")</f>
        <v/>
      </c>
      <c r="Q39" s="225">
        <f>IFERROR(Q7/Q23,"")</f>
        <v/>
      </c>
      <c r="R39" s="225">
        <f>IFERROR(R7/R23,"")</f>
        <v/>
      </c>
      <c r="S39" s="225">
        <f>IFERROR(S7/S23,"")</f>
        <v/>
      </c>
    </row>
    <row r="40" ht="15" customHeight="1" s="197">
      <c r="A40" s="221" t="inlineStr">
        <is>
          <t>META</t>
        </is>
      </c>
      <c r="B40" s="225">
        <f>IFERROR(B8/B24,"")</f>
        <v/>
      </c>
      <c r="C40" s="225">
        <f>IFERROR(C8/C24,"")</f>
        <v/>
      </c>
      <c r="D40" s="225">
        <f>IFERROR(D8/D24,"")</f>
        <v/>
      </c>
      <c r="E40" s="225">
        <f>IFERROR(E8/E24,"")</f>
        <v/>
      </c>
      <c r="F40" s="225">
        <f>IFERROR(F8/F24,"")</f>
        <v/>
      </c>
      <c r="G40" s="225">
        <f>IFERROR(G8/G24,"")</f>
        <v/>
      </c>
      <c r="H40" s="225">
        <f>IFERROR(H8/H24,"")</f>
        <v/>
      </c>
      <c r="I40" s="225">
        <f>IFERROR(I8/I24,"")</f>
        <v/>
      </c>
      <c r="J40" s="225">
        <f>IFERROR(J8/J24,"")</f>
        <v/>
      </c>
      <c r="K40" s="225">
        <f>IFERROR(K8/K24,"")</f>
        <v/>
      </c>
      <c r="L40" s="225">
        <f>IFERROR(L8/L24,"")</f>
        <v/>
      </c>
      <c r="M40" s="225">
        <f>IFERROR(M8/M24,"")</f>
        <v/>
      </c>
      <c r="N40" s="225">
        <f>IFERROR(N8/N24,"")</f>
        <v/>
      </c>
      <c r="O40" s="225">
        <f>IFERROR(O8/O24,"")</f>
        <v/>
      </c>
      <c r="P40" s="225">
        <f>IFERROR(P8/P24,"")</f>
        <v/>
      </c>
      <c r="Q40" s="225">
        <f>IFERROR(Q8/Q24,"")</f>
        <v/>
      </c>
      <c r="R40" s="225">
        <f>IFERROR(R8/R24,"")</f>
        <v/>
      </c>
      <c r="S40" s="225">
        <f>IFERROR(S8/S24,"")</f>
        <v/>
      </c>
    </row>
    <row r="41" ht="15" customHeight="1" s="197">
      <c r="A41" s="221" t="inlineStr">
        <is>
          <t>ORCL</t>
        </is>
      </c>
      <c r="B41" s="225">
        <f>IFERROR(B9/B25,"")</f>
        <v/>
      </c>
      <c r="C41" s="225">
        <f>IFERROR(C9/C25,"")</f>
        <v/>
      </c>
      <c r="D41" s="225">
        <f>IFERROR(D9/D25,"")</f>
        <v/>
      </c>
      <c r="E41" s="225">
        <f>IFERROR(E9/E25,"")</f>
        <v/>
      </c>
      <c r="F41" s="225">
        <f>IFERROR(F9/F25,"")</f>
        <v/>
      </c>
      <c r="G41" s="225">
        <f>IFERROR(G9/G25,"")</f>
        <v/>
      </c>
      <c r="H41" s="225">
        <f>IFERROR(H9/H25,"")</f>
        <v/>
      </c>
      <c r="I41" s="225">
        <f>IFERROR(I9/I25,"")</f>
        <v/>
      </c>
      <c r="J41" s="225">
        <f>IFERROR(J9/J25,"")</f>
        <v/>
      </c>
      <c r="K41" s="225">
        <f>IFERROR(K9/K25,"")</f>
        <v/>
      </c>
      <c r="L41" s="225">
        <f>IFERROR(L9/L25,"")</f>
        <v/>
      </c>
      <c r="M41" s="225">
        <f>IFERROR(M9/M25,"")</f>
        <v/>
      </c>
      <c r="N41" s="225">
        <f>IFERROR(N9/N25,"")</f>
        <v/>
      </c>
      <c r="O41" s="225">
        <f>IFERROR(O9/O25,"")</f>
        <v/>
      </c>
      <c r="P41" s="225">
        <f>IFERROR(P9/P25,"")</f>
        <v/>
      </c>
      <c r="Q41" s="225">
        <f>IFERROR(Q9/Q25,"")</f>
        <v/>
      </c>
      <c r="R41" s="225">
        <f>IFERROR(R9/R25,"")</f>
        <v/>
      </c>
      <c r="S41" s="225">
        <f>IFERROR(S9/S25,"")</f>
        <v/>
      </c>
    </row>
    <row r="43" ht="15" customHeight="1" s="197">
      <c r="A43" s="219" t="inlineStr">
        <is>
          <t>E. D&amp;A / Revenue %</t>
        </is>
      </c>
    </row>
    <row r="44" ht="15" customHeight="1" s="197">
      <c r="A44" s="220" t="inlineStr">
        <is>
          <t>Company</t>
        </is>
      </c>
      <c r="B44" s="201" t="inlineStr">
        <is>
          <t>2013A</t>
        </is>
      </c>
      <c r="C44" s="201" t="inlineStr">
        <is>
          <t>2014A</t>
        </is>
      </c>
      <c r="D44" s="201" t="inlineStr">
        <is>
          <t>2015A</t>
        </is>
      </c>
      <c r="E44" s="201" t="inlineStr">
        <is>
          <t>2016A</t>
        </is>
      </c>
      <c r="F44" s="201" t="inlineStr">
        <is>
          <t>2017A</t>
        </is>
      </c>
      <c r="G44" s="201" t="inlineStr">
        <is>
          <t>2018A</t>
        </is>
      </c>
      <c r="H44" s="201" t="inlineStr">
        <is>
          <t>2019A</t>
        </is>
      </c>
      <c r="I44" s="201" t="inlineStr">
        <is>
          <t>2020A</t>
        </is>
      </c>
      <c r="J44" s="201" t="inlineStr">
        <is>
          <t>2021A</t>
        </is>
      </c>
      <c r="K44" s="201" t="inlineStr">
        <is>
          <t>2022A</t>
        </is>
      </c>
      <c r="L44" s="201" t="inlineStr">
        <is>
          <t>2023A</t>
        </is>
      </c>
      <c r="M44" s="201" t="inlineStr">
        <is>
          <t>2024A</t>
        </is>
      </c>
      <c r="N44" s="201" t="inlineStr">
        <is>
          <t>2025E</t>
        </is>
      </c>
      <c r="O44" s="201" t="inlineStr">
        <is>
          <t>2026E</t>
        </is>
      </c>
      <c r="P44" s="201" t="inlineStr">
        <is>
          <t>2027E</t>
        </is>
      </c>
      <c r="Q44" s="201" t="inlineStr">
        <is>
          <t>2028E</t>
        </is>
      </c>
      <c r="R44" s="201" t="inlineStr">
        <is>
          <t>2029E</t>
        </is>
      </c>
      <c r="S44" s="201" t="inlineStr">
        <is>
          <t>2030E</t>
        </is>
      </c>
    </row>
    <row r="45" ht="15" customHeight="1" s="197">
      <c r="A45" s="221" t="inlineStr">
        <is>
          <t>MSFT</t>
        </is>
      </c>
      <c r="B45" s="225">
        <f>IFERROR(B13/B21,"")</f>
        <v/>
      </c>
      <c r="C45" s="225">
        <f>IFERROR(C13/C21,"")</f>
        <v/>
      </c>
      <c r="D45" s="225">
        <f>IFERROR(D13/D21,"")</f>
        <v/>
      </c>
      <c r="E45" s="225">
        <f>IFERROR(E13/E21,"")</f>
        <v/>
      </c>
      <c r="F45" s="225">
        <f>IFERROR(F13/F21,"")</f>
        <v/>
      </c>
      <c r="G45" s="225">
        <f>IFERROR(G13/G21,"")</f>
        <v/>
      </c>
      <c r="H45" s="225">
        <f>IFERROR(H13/H21,"")</f>
        <v/>
      </c>
      <c r="I45" s="225">
        <f>IFERROR(I13/I21,"")</f>
        <v/>
      </c>
      <c r="J45" s="225">
        <f>IFERROR(J13/J21,"")</f>
        <v/>
      </c>
      <c r="K45" s="225">
        <f>IFERROR(K13/K21,"")</f>
        <v/>
      </c>
      <c r="L45" s="225">
        <f>IFERROR(L13/L21,"")</f>
        <v/>
      </c>
      <c r="M45" s="225">
        <f>IFERROR(M13/M21,"")</f>
        <v/>
      </c>
      <c r="N45" s="225">
        <f>IFERROR(N13/N21,"")</f>
        <v/>
      </c>
      <c r="O45" s="225">
        <f>IFERROR(O13/O21,"")</f>
        <v/>
      </c>
      <c r="P45" s="225">
        <f>IFERROR(P13/P21,"")</f>
        <v/>
      </c>
      <c r="Q45" s="225">
        <f>IFERROR(Q13/Q21,"")</f>
        <v/>
      </c>
      <c r="R45" s="225">
        <f>IFERROR(R13/R21,"")</f>
        <v/>
      </c>
      <c r="S45" s="225">
        <f>IFERROR(S13/S21,"")</f>
        <v/>
      </c>
    </row>
    <row r="46" ht="15" customHeight="1" s="197">
      <c r="A46" s="221" t="inlineStr">
        <is>
          <t>AMZN</t>
        </is>
      </c>
      <c r="B46" s="225">
        <f>IFERROR(B14/B22,"")</f>
        <v/>
      </c>
      <c r="C46" s="225">
        <f>IFERROR(C14/C22,"")</f>
        <v/>
      </c>
      <c r="D46" s="225">
        <f>IFERROR(D14/D22,"")</f>
        <v/>
      </c>
      <c r="E46" s="225">
        <f>IFERROR(E14/E22,"")</f>
        <v/>
      </c>
      <c r="F46" s="225">
        <f>IFERROR(F14/F22,"")</f>
        <v/>
      </c>
      <c r="G46" s="225">
        <f>IFERROR(G14/G22,"")</f>
        <v/>
      </c>
      <c r="H46" s="225">
        <f>IFERROR(H14/H22,"")</f>
        <v/>
      </c>
      <c r="I46" s="225">
        <f>IFERROR(I14/I22,"")</f>
        <v/>
      </c>
      <c r="J46" s="225">
        <f>IFERROR(J14/J22,"")</f>
        <v/>
      </c>
      <c r="K46" s="225">
        <f>IFERROR(K14/K22,"")</f>
        <v/>
      </c>
      <c r="L46" s="225">
        <f>IFERROR(L14/L22,"")</f>
        <v/>
      </c>
      <c r="M46" s="225">
        <f>IFERROR(M14/M22,"")</f>
        <v/>
      </c>
      <c r="N46" s="225">
        <f>IFERROR(N14/N22,"")</f>
        <v/>
      </c>
      <c r="O46" s="225">
        <f>IFERROR(O14/O22,"")</f>
        <v/>
      </c>
      <c r="P46" s="225">
        <f>IFERROR(P14/P22,"")</f>
        <v/>
      </c>
      <c r="Q46" s="225">
        <f>IFERROR(Q14/Q22,"")</f>
        <v/>
      </c>
      <c r="R46" s="225">
        <f>IFERROR(R14/R22,"")</f>
        <v/>
      </c>
      <c r="S46" s="225">
        <f>IFERROR(S14/S22,"")</f>
        <v/>
      </c>
    </row>
    <row r="47" ht="15" customHeight="1" s="197">
      <c r="A47" s="221" t="inlineStr">
        <is>
          <t>GOOGL</t>
        </is>
      </c>
      <c r="B47" s="225">
        <f>IFERROR(B15/B23,"")</f>
        <v/>
      </c>
      <c r="C47" s="225">
        <f>IFERROR(C15/C23,"")</f>
        <v/>
      </c>
      <c r="D47" s="225">
        <f>IFERROR(D15/D23,"")</f>
        <v/>
      </c>
      <c r="E47" s="225">
        <f>IFERROR(E15/E23,"")</f>
        <v/>
      </c>
      <c r="F47" s="225">
        <f>IFERROR(F15/F23,"")</f>
        <v/>
      </c>
      <c r="G47" s="225">
        <f>IFERROR(G15/G23,"")</f>
        <v/>
      </c>
      <c r="H47" s="225">
        <f>IFERROR(H15/H23,"")</f>
        <v/>
      </c>
      <c r="I47" s="225">
        <f>IFERROR(I15/I23,"")</f>
        <v/>
      </c>
      <c r="J47" s="225">
        <f>IFERROR(J15/J23,"")</f>
        <v/>
      </c>
      <c r="K47" s="225">
        <f>IFERROR(K15/K23,"")</f>
        <v/>
      </c>
      <c r="L47" s="225">
        <f>IFERROR(L15/L23,"")</f>
        <v/>
      </c>
      <c r="M47" s="225">
        <f>IFERROR(M15/M23,"")</f>
        <v/>
      </c>
      <c r="N47" s="225">
        <f>IFERROR(N15/N23,"")</f>
        <v/>
      </c>
      <c r="O47" s="225">
        <f>IFERROR(O15/O23,"")</f>
        <v/>
      </c>
      <c r="P47" s="225">
        <f>IFERROR(P15/P23,"")</f>
        <v/>
      </c>
      <c r="Q47" s="225">
        <f>IFERROR(Q15/Q23,"")</f>
        <v/>
      </c>
      <c r="R47" s="225">
        <f>IFERROR(R15/R23,"")</f>
        <v/>
      </c>
      <c r="S47" s="225">
        <f>IFERROR(S15/S23,"")</f>
        <v/>
      </c>
    </row>
    <row r="48" ht="15" customHeight="1" s="197">
      <c r="A48" s="221" t="inlineStr">
        <is>
          <t>META</t>
        </is>
      </c>
      <c r="B48" s="225">
        <f>IFERROR(B16/B24,"")</f>
        <v/>
      </c>
      <c r="C48" s="225">
        <f>IFERROR(C16/C24,"")</f>
        <v/>
      </c>
      <c r="D48" s="225">
        <f>IFERROR(D16/D24,"")</f>
        <v/>
      </c>
      <c r="E48" s="225">
        <f>IFERROR(E16/E24,"")</f>
        <v/>
      </c>
      <c r="F48" s="225">
        <f>IFERROR(F16/F24,"")</f>
        <v/>
      </c>
      <c r="G48" s="225">
        <f>IFERROR(G16/G24,"")</f>
        <v/>
      </c>
      <c r="H48" s="225">
        <f>IFERROR(H16/H24,"")</f>
        <v/>
      </c>
      <c r="I48" s="225">
        <f>IFERROR(I16/I24,"")</f>
        <v/>
      </c>
      <c r="J48" s="225">
        <f>IFERROR(J16/J24,"")</f>
        <v/>
      </c>
      <c r="K48" s="225">
        <f>IFERROR(K16/K24,"")</f>
        <v/>
      </c>
      <c r="L48" s="225">
        <f>IFERROR(L16/L24,"")</f>
        <v/>
      </c>
      <c r="M48" s="225">
        <f>IFERROR(M16/M24,"")</f>
        <v/>
      </c>
      <c r="N48" s="225">
        <f>IFERROR(N16/N24,"")</f>
        <v/>
      </c>
      <c r="O48" s="225">
        <f>IFERROR(O16/O24,"")</f>
        <v/>
      </c>
      <c r="P48" s="225">
        <f>IFERROR(P16/P24,"")</f>
        <v/>
      </c>
      <c r="Q48" s="225">
        <f>IFERROR(Q16/Q24,"")</f>
        <v/>
      </c>
      <c r="R48" s="225">
        <f>IFERROR(R16/R24,"")</f>
        <v/>
      </c>
      <c r="S48" s="225">
        <f>IFERROR(S16/S24,"")</f>
        <v/>
      </c>
    </row>
    <row r="49" ht="15" customHeight="1" s="197">
      <c r="A49" s="221" t="inlineStr">
        <is>
          <t>ORCL</t>
        </is>
      </c>
      <c r="B49" s="225">
        <f>IFERROR(B17/B25,"")</f>
        <v/>
      </c>
      <c r="C49" s="225">
        <f>IFERROR(C17/C25,"")</f>
        <v/>
      </c>
      <c r="D49" s="225">
        <f>IFERROR(D17/D25,"")</f>
        <v/>
      </c>
      <c r="E49" s="225">
        <f>IFERROR(E17/E25,"")</f>
        <v/>
      </c>
      <c r="F49" s="225">
        <f>IFERROR(F17/F25,"")</f>
        <v/>
      </c>
      <c r="G49" s="225">
        <f>IFERROR(G17/G25,"")</f>
        <v/>
      </c>
      <c r="H49" s="225">
        <f>IFERROR(H17/H25,"")</f>
        <v/>
      </c>
      <c r="I49" s="225">
        <f>IFERROR(I17/I25,"")</f>
        <v/>
      </c>
      <c r="J49" s="225">
        <f>IFERROR(J17/J25,"")</f>
        <v/>
      </c>
      <c r="K49" s="225">
        <f>IFERROR(K17/K25,"")</f>
        <v/>
      </c>
      <c r="L49" s="225">
        <f>IFERROR(L17/L25,"")</f>
        <v/>
      </c>
      <c r="M49" s="225">
        <f>IFERROR(M17/M25,"")</f>
        <v/>
      </c>
      <c r="N49" s="225">
        <f>IFERROR(N17/N25,"")</f>
        <v/>
      </c>
      <c r="O49" s="225">
        <f>IFERROR(O17/O25,"")</f>
        <v/>
      </c>
      <c r="P49" s="225">
        <f>IFERROR(P17/P25,"")</f>
        <v/>
      </c>
      <c r="Q49" s="225">
        <f>IFERROR(Q17/Q25,"")</f>
        <v/>
      </c>
      <c r="R49" s="225">
        <f>IFERROR(R17/R25,"")</f>
        <v/>
      </c>
      <c r="S49" s="225">
        <f>IFERROR(S17/S25,"")</f>
        <v/>
      </c>
    </row>
    <row r="51" ht="15" customHeight="1" s="197">
      <c r="A51" s="219" t="inlineStr">
        <is>
          <t>F. D&amp;AYoY %</t>
        </is>
      </c>
    </row>
    <row r="52" ht="15" customHeight="1" s="197">
      <c r="A52" s="220" t="inlineStr">
        <is>
          <t>Company</t>
        </is>
      </c>
      <c r="B52" s="201" t="inlineStr">
        <is>
          <t>2013A</t>
        </is>
      </c>
      <c r="C52" s="201" t="inlineStr">
        <is>
          <t>2014A</t>
        </is>
      </c>
      <c r="D52" s="201" t="inlineStr">
        <is>
          <t>2015A</t>
        </is>
      </c>
      <c r="E52" s="201" t="inlineStr">
        <is>
          <t>2016A</t>
        </is>
      </c>
      <c r="F52" s="201" t="inlineStr">
        <is>
          <t>2017A</t>
        </is>
      </c>
      <c r="G52" s="201" t="inlineStr">
        <is>
          <t>2018A</t>
        </is>
      </c>
      <c r="H52" s="201" t="inlineStr">
        <is>
          <t>2019A</t>
        </is>
      </c>
      <c r="I52" s="201" t="inlineStr">
        <is>
          <t>2020A</t>
        </is>
      </c>
      <c r="J52" s="201" t="inlineStr">
        <is>
          <t>2021A</t>
        </is>
      </c>
      <c r="K52" s="201" t="inlineStr">
        <is>
          <t>2022A</t>
        </is>
      </c>
      <c r="L52" s="201" t="inlineStr">
        <is>
          <t>2023A</t>
        </is>
      </c>
      <c r="M52" s="201" t="inlineStr">
        <is>
          <t>2024A</t>
        </is>
      </c>
      <c r="N52" s="201" t="inlineStr">
        <is>
          <t>2025E</t>
        </is>
      </c>
      <c r="O52" s="201" t="inlineStr">
        <is>
          <t>2026E</t>
        </is>
      </c>
      <c r="P52" s="201" t="inlineStr">
        <is>
          <t>2027E</t>
        </is>
      </c>
      <c r="Q52" s="201" t="inlineStr">
        <is>
          <t>2028E</t>
        </is>
      </c>
      <c r="R52" s="201" t="inlineStr">
        <is>
          <t>2029E</t>
        </is>
      </c>
      <c r="S52" s="201" t="inlineStr">
        <is>
          <t>2030E</t>
        </is>
      </c>
    </row>
    <row r="53" ht="15" customHeight="1" s="197">
      <c r="A53" s="221" t="inlineStr">
        <is>
          <t>MSFT</t>
        </is>
      </c>
      <c r="B53" s="224" t="n"/>
      <c r="C53" s="225">
        <f>IFERROR(C13/B13-1,"")</f>
        <v/>
      </c>
      <c r="D53" s="225">
        <f>IFERROR(D13/C13-1,"")</f>
        <v/>
      </c>
      <c r="E53" s="225">
        <f>IFERROR(E13/D13-1,"")</f>
        <v/>
      </c>
      <c r="F53" s="225">
        <f>IFERROR(F13/E13-1,"")</f>
        <v/>
      </c>
      <c r="G53" s="225">
        <f>IFERROR(G13/F13-1,"")</f>
        <v/>
      </c>
      <c r="H53" s="225">
        <f>IFERROR(H13/G13-1,"")</f>
        <v/>
      </c>
      <c r="I53" s="225">
        <f>IFERROR(I13/H13-1,"")</f>
        <v/>
      </c>
      <c r="J53" s="225">
        <f>IFERROR(J13/I13-1,"")</f>
        <v/>
      </c>
      <c r="K53" s="225">
        <f>IFERROR(K13/J13-1,"")</f>
        <v/>
      </c>
      <c r="L53" s="225">
        <f>IFERROR(L13/K13-1,"")</f>
        <v/>
      </c>
      <c r="M53" s="225">
        <f>IFERROR(M13/L13-1,"")</f>
        <v/>
      </c>
      <c r="N53" s="225">
        <f>IFERROR(N13/M13-1,"")</f>
        <v/>
      </c>
      <c r="O53" s="225">
        <f>IFERROR(O13/N13-1,"")</f>
        <v/>
      </c>
      <c r="P53" s="225">
        <f>IFERROR(P13/O13-1,"")</f>
        <v/>
      </c>
      <c r="Q53" s="225">
        <f>IFERROR(Q13/P13-1,"")</f>
        <v/>
      </c>
      <c r="R53" s="225">
        <f>IFERROR(R13/Q13-1,"")</f>
        <v/>
      </c>
      <c r="S53" s="225">
        <f>IFERROR(S13/R13-1,"")</f>
        <v/>
      </c>
    </row>
    <row r="54" ht="15" customHeight="1" s="197">
      <c r="A54" s="221" t="inlineStr">
        <is>
          <t>AMZN</t>
        </is>
      </c>
      <c r="B54" s="224" t="n"/>
      <c r="C54" s="225">
        <f>IFERROR(C14/B14-1,"")</f>
        <v/>
      </c>
      <c r="D54" s="225">
        <f>IFERROR(D14/C14-1,"")</f>
        <v/>
      </c>
      <c r="E54" s="225">
        <f>IFERROR(E14/D14-1,"")</f>
        <v/>
      </c>
      <c r="F54" s="225">
        <f>IFERROR(F14/E14-1,"")</f>
        <v/>
      </c>
      <c r="G54" s="225">
        <f>IFERROR(G14/F14-1,"")</f>
        <v/>
      </c>
      <c r="H54" s="225">
        <f>IFERROR(H14/G14-1,"")</f>
        <v/>
      </c>
      <c r="I54" s="225">
        <f>IFERROR(I14/H14-1,"")</f>
        <v/>
      </c>
      <c r="J54" s="225">
        <f>IFERROR(J14/I14-1,"")</f>
        <v/>
      </c>
      <c r="K54" s="225">
        <f>IFERROR(K14/J14-1,"")</f>
        <v/>
      </c>
      <c r="L54" s="225">
        <f>IFERROR(L14/K14-1,"")</f>
        <v/>
      </c>
      <c r="M54" s="225">
        <f>IFERROR(M14/L14-1,"")</f>
        <v/>
      </c>
      <c r="N54" s="225">
        <f>IFERROR(N14/M14-1,"")</f>
        <v/>
      </c>
      <c r="O54" s="225">
        <f>IFERROR(O14/N14-1,"")</f>
        <v/>
      </c>
      <c r="P54" s="225">
        <f>IFERROR(P14/O14-1,"")</f>
        <v/>
      </c>
      <c r="Q54" s="225">
        <f>IFERROR(Q14/P14-1,"")</f>
        <v/>
      </c>
      <c r="R54" s="225">
        <f>IFERROR(R14/Q14-1,"")</f>
        <v/>
      </c>
      <c r="S54" s="225">
        <f>IFERROR(S14/R14-1,"")</f>
        <v/>
      </c>
    </row>
    <row r="55" ht="15" customHeight="1" s="197">
      <c r="A55" s="221" t="inlineStr">
        <is>
          <t>GOOGL</t>
        </is>
      </c>
      <c r="B55" s="224" t="n"/>
      <c r="C55" s="225">
        <f>IFERROR(C15/B15-1,"")</f>
        <v/>
      </c>
      <c r="D55" s="225">
        <f>IFERROR(D15/C15-1,"")</f>
        <v/>
      </c>
      <c r="E55" s="225">
        <f>IFERROR(E15/D15-1,"")</f>
        <v/>
      </c>
      <c r="F55" s="225">
        <f>IFERROR(F15/E15-1,"")</f>
        <v/>
      </c>
      <c r="G55" s="225">
        <f>IFERROR(G15/F15-1,"")</f>
        <v/>
      </c>
      <c r="H55" s="225">
        <f>IFERROR(H15/G15-1,"")</f>
        <v/>
      </c>
      <c r="I55" s="225">
        <f>IFERROR(I15/H15-1,"")</f>
        <v/>
      </c>
      <c r="J55" s="225">
        <f>IFERROR(J15/I15-1,"")</f>
        <v/>
      </c>
      <c r="K55" s="225">
        <f>IFERROR(K15/J15-1,"")</f>
        <v/>
      </c>
      <c r="L55" s="225">
        <f>IFERROR(L15/K15-1,"")</f>
        <v/>
      </c>
      <c r="M55" s="225">
        <f>IFERROR(M15/L15-1,"")</f>
        <v/>
      </c>
      <c r="N55" s="225">
        <f>IFERROR(N15/M15-1,"")</f>
        <v/>
      </c>
      <c r="O55" s="225">
        <f>IFERROR(O15/N15-1,"")</f>
        <v/>
      </c>
      <c r="P55" s="225">
        <f>IFERROR(P15/O15-1,"")</f>
        <v/>
      </c>
      <c r="Q55" s="225">
        <f>IFERROR(Q15/P15-1,"")</f>
        <v/>
      </c>
      <c r="R55" s="225">
        <f>IFERROR(R15/Q15-1,"")</f>
        <v/>
      </c>
      <c r="S55" s="225">
        <f>IFERROR(S15/R15-1,"")</f>
        <v/>
      </c>
    </row>
    <row r="56" ht="15" customHeight="1" s="197">
      <c r="A56" s="221" t="inlineStr">
        <is>
          <t>META</t>
        </is>
      </c>
      <c r="B56" s="224" t="n"/>
      <c r="C56" s="225">
        <f>IFERROR(C16/B16-1,"")</f>
        <v/>
      </c>
      <c r="D56" s="225">
        <f>IFERROR(D16/C16-1,"")</f>
        <v/>
      </c>
      <c r="E56" s="225">
        <f>IFERROR(E16/D16-1,"")</f>
        <v/>
      </c>
      <c r="F56" s="225">
        <f>IFERROR(F16/E16-1,"")</f>
        <v/>
      </c>
      <c r="G56" s="225">
        <f>IFERROR(G16/F16-1,"")</f>
        <v/>
      </c>
      <c r="H56" s="225">
        <f>IFERROR(H16/G16-1,"")</f>
        <v/>
      </c>
      <c r="I56" s="225">
        <f>IFERROR(I16/H16-1,"")</f>
        <v/>
      </c>
      <c r="J56" s="225">
        <f>IFERROR(J16/I16-1,"")</f>
        <v/>
      </c>
      <c r="K56" s="225">
        <f>IFERROR(K16/J16-1,"")</f>
        <v/>
      </c>
      <c r="L56" s="225">
        <f>IFERROR(L16/K16-1,"")</f>
        <v/>
      </c>
      <c r="M56" s="225">
        <f>IFERROR(M16/L16-1,"")</f>
        <v/>
      </c>
      <c r="N56" s="225">
        <f>IFERROR(N16/M16-1,"")</f>
        <v/>
      </c>
      <c r="O56" s="225">
        <f>IFERROR(O16/N16-1,"")</f>
        <v/>
      </c>
      <c r="P56" s="225">
        <f>IFERROR(P16/O16-1,"")</f>
        <v/>
      </c>
      <c r="Q56" s="225">
        <f>IFERROR(Q16/P16-1,"")</f>
        <v/>
      </c>
      <c r="R56" s="225">
        <f>IFERROR(R16/Q16-1,"")</f>
        <v/>
      </c>
      <c r="S56" s="225">
        <f>IFERROR(S16/R16-1,"")</f>
        <v/>
      </c>
    </row>
    <row r="57" ht="15" customHeight="1" s="197">
      <c r="A57" s="221" t="inlineStr">
        <is>
          <t>ORCL</t>
        </is>
      </c>
      <c r="B57" s="224" t="n"/>
      <c r="C57" s="225">
        <f>IFERROR(C17/B17-1,"")</f>
        <v/>
      </c>
      <c r="D57" s="225">
        <f>IFERROR(D17/C17-1,"")</f>
        <v/>
      </c>
      <c r="E57" s="225">
        <f>IFERROR(E17/D17-1,"")</f>
        <v/>
      </c>
      <c r="F57" s="225">
        <f>IFERROR(F17/E17-1,"")</f>
        <v/>
      </c>
      <c r="G57" s="225">
        <f>IFERROR(G17/F17-1,"")</f>
        <v/>
      </c>
      <c r="H57" s="225">
        <f>IFERROR(H17/G17-1,"")</f>
        <v/>
      </c>
      <c r="I57" s="225">
        <f>IFERROR(I17/H17-1,"")</f>
        <v/>
      </c>
      <c r="J57" s="225">
        <f>IFERROR(J17/I17-1,"")</f>
        <v/>
      </c>
      <c r="K57" s="225">
        <f>IFERROR(K17/J17-1,"")</f>
        <v/>
      </c>
      <c r="L57" s="225">
        <f>IFERROR(L17/K17-1,"")</f>
        <v/>
      </c>
      <c r="M57" s="225">
        <f>IFERROR(M17/L17-1,"")</f>
        <v/>
      </c>
      <c r="N57" s="225">
        <f>IFERROR(N17/M17-1,"")</f>
        <v/>
      </c>
      <c r="O57" s="225">
        <f>IFERROR(O17/N17-1,"")</f>
        <v/>
      </c>
      <c r="P57" s="225">
        <f>IFERROR(P17/O17-1,"")</f>
        <v/>
      </c>
      <c r="Q57" s="225">
        <f>IFERROR(Q17/P17-1,"")</f>
        <v/>
      </c>
      <c r="R57" s="225">
        <f>IFERROR(R17/Q17-1,"")</f>
        <v/>
      </c>
      <c r="S57" s="225">
        <f>IFERROR(S17/R17-1,"")</f>
        <v/>
      </c>
    </row>
  </sheetData>
  <mergeCells count="8">
    <mergeCell ref="A43:S43"/>
    <mergeCell ref="A19:S19"/>
    <mergeCell ref="A11:S11"/>
    <mergeCell ref="A51:S51"/>
    <mergeCell ref="A1:S1"/>
    <mergeCell ref="A27:S27"/>
    <mergeCell ref="A3:S3"/>
    <mergeCell ref="A35:S35"/>
  </mergeCells>
  <conditionalFormatting sqref="B37:S41">
    <cfRule type="colorScale" priority="2">
      <colorScale>
        <cfvo type="num" val="0.05"/>
        <cfvo type="num" val="0.25"/>
        <cfvo type="num" val="0.6"/>
        <color rgb="FF63BE7B"/>
        <color rgb="FFFFEB84"/>
        <color rgb="FFF8696B"/>
      </colorScale>
    </cfRule>
  </conditionalFormatting>
  <conditionalFormatting sqref="B45:S49">
    <cfRule type="colorScale" priority="3">
      <colorScale>
        <cfvo type="num" val="0.05"/>
        <cfvo type="num" val="0.25"/>
        <cfvo type="num" val="0.6"/>
        <color rgb="FF63BE7B"/>
        <color rgb="FFFFEB84"/>
        <color rgb="FFF8696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S7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96" min="1" max="1"/>
    <col width="10" customWidth="1" style="196" min="2" max="20"/>
  </cols>
  <sheetData>
    <row r="1" ht="25.5" customHeight="1" s="197">
      <c r="A1" s="218" t="inlineStr">
        <is>
          <t>Free Cash Flow&amp;Cash Quality (2013-2030E)</t>
        </is>
      </c>
    </row>
    <row r="3" ht="15" customHeight="1" s="197">
      <c r="A3" s="219" t="inlineStr">
        <is>
          <t>A. CFO ($mm)</t>
        </is>
      </c>
    </row>
    <row r="4" ht="15" customHeight="1" s="197">
      <c r="A4" s="220" t="inlineStr">
        <is>
          <t>Company</t>
        </is>
      </c>
      <c r="B4" s="201" t="inlineStr">
        <is>
          <t>2013A</t>
        </is>
      </c>
      <c r="C4" s="201" t="inlineStr">
        <is>
          <t>2014A</t>
        </is>
      </c>
      <c r="D4" s="201" t="inlineStr">
        <is>
          <t>2015A</t>
        </is>
      </c>
      <c r="E4" s="201" t="inlineStr">
        <is>
          <t>2016A</t>
        </is>
      </c>
      <c r="F4" s="201" t="inlineStr">
        <is>
          <t>2017A</t>
        </is>
      </c>
      <c r="G4" s="201" t="inlineStr">
        <is>
          <t>2018A</t>
        </is>
      </c>
      <c r="H4" s="201" t="inlineStr">
        <is>
          <t>2019A</t>
        </is>
      </c>
      <c r="I4" s="201" t="inlineStr">
        <is>
          <t>2020A</t>
        </is>
      </c>
      <c r="J4" s="201" t="inlineStr">
        <is>
          <t>2021A</t>
        </is>
      </c>
      <c r="K4" s="201" t="inlineStr">
        <is>
          <t>2022A</t>
        </is>
      </c>
      <c r="L4" s="201" t="inlineStr">
        <is>
          <t>2023A</t>
        </is>
      </c>
      <c r="M4" s="201" t="inlineStr">
        <is>
          <t>2024A</t>
        </is>
      </c>
      <c r="N4" s="201" t="inlineStr">
        <is>
          <t>2025E</t>
        </is>
      </c>
      <c r="O4" s="201" t="inlineStr">
        <is>
          <t>2026E</t>
        </is>
      </c>
      <c r="P4" s="201" t="inlineStr">
        <is>
          <t>2027E</t>
        </is>
      </c>
      <c r="Q4" s="201" t="inlineStr">
        <is>
          <t>2028E</t>
        </is>
      </c>
      <c r="R4" s="201" t="inlineStr">
        <is>
          <t>2029E</t>
        </is>
      </c>
      <c r="S4" s="201" t="inlineStr">
        <is>
          <t>2030E</t>
        </is>
      </c>
    </row>
    <row r="5" ht="15" customHeight="1" s="197">
      <c r="A5" s="221" t="inlineStr">
        <is>
          <t>MSFT</t>
        </is>
      </c>
      <c r="B5" s="222">
        <f>'0. Database'!C13</f>
        <v/>
      </c>
      <c r="C5" s="222">
        <f>'0. Database'!D13</f>
        <v/>
      </c>
      <c r="D5" s="222">
        <f>'0. Database'!E13</f>
        <v/>
      </c>
      <c r="E5" s="222">
        <f>'0. Database'!F13</f>
        <v/>
      </c>
      <c r="F5" s="222">
        <f>'0. Database'!G13</f>
        <v/>
      </c>
      <c r="G5" s="222">
        <f>'0. Database'!H13</f>
        <v/>
      </c>
      <c r="H5" s="222">
        <f>'0. Database'!I13</f>
        <v/>
      </c>
      <c r="I5" s="222">
        <f>'0. Database'!J13</f>
        <v/>
      </c>
      <c r="J5" s="222">
        <f>'0. Database'!K13</f>
        <v/>
      </c>
      <c r="K5" s="222">
        <f>'0. Database'!L13</f>
        <v/>
      </c>
      <c r="L5" s="222">
        <f>'0. Database'!M13</f>
        <v/>
      </c>
      <c r="M5" s="222">
        <f>'0. Database'!N13</f>
        <v/>
      </c>
      <c r="N5" s="222">
        <f>'0. Database'!O13</f>
        <v/>
      </c>
      <c r="O5" s="222">
        <f>'0. Database'!P13</f>
        <v/>
      </c>
      <c r="P5" s="222">
        <f>'0. Database'!Q13</f>
        <v/>
      </c>
      <c r="Q5" s="222">
        <f>'0. Database'!R13</f>
        <v/>
      </c>
      <c r="R5" s="222">
        <f>'0. Database'!S13</f>
        <v/>
      </c>
      <c r="S5" s="222">
        <f>'0. Database'!T13</f>
        <v/>
      </c>
    </row>
    <row r="6" ht="15" customHeight="1" s="197">
      <c r="A6" s="221" t="inlineStr">
        <is>
          <t>AMZN</t>
        </is>
      </c>
      <c r="B6" s="222">
        <f>'0. Database'!C29</f>
        <v/>
      </c>
      <c r="C6" s="222">
        <f>'0. Database'!D29</f>
        <v/>
      </c>
      <c r="D6" s="222">
        <f>'0. Database'!E29</f>
        <v/>
      </c>
      <c r="E6" s="222">
        <f>'0. Database'!F29</f>
        <v/>
      </c>
      <c r="F6" s="222">
        <f>'0. Database'!G29</f>
        <v/>
      </c>
      <c r="G6" s="222">
        <f>'0. Database'!H29</f>
        <v/>
      </c>
      <c r="H6" s="222">
        <f>'0. Database'!I29</f>
        <v/>
      </c>
      <c r="I6" s="222">
        <f>'0. Database'!J29</f>
        <v/>
      </c>
      <c r="J6" s="222">
        <f>'0. Database'!K29</f>
        <v/>
      </c>
      <c r="K6" s="222">
        <f>'0. Database'!L29</f>
        <v/>
      </c>
      <c r="L6" s="222">
        <f>'0. Database'!M29</f>
        <v/>
      </c>
      <c r="M6" s="222">
        <f>'0. Database'!N29</f>
        <v/>
      </c>
      <c r="N6" s="222">
        <f>'0. Database'!O29</f>
        <v/>
      </c>
      <c r="O6" s="222">
        <f>'0. Database'!P29</f>
        <v/>
      </c>
      <c r="P6" s="222">
        <f>'0. Database'!Q29</f>
        <v/>
      </c>
      <c r="Q6" s="222">
        <f>'0. Database'!R29</f>
        <v/>
      </c>
      <c r="R6" s="222">
        <f>'0. Database'!S29</f>
        <v/>
      </c>
      <c r="S6" s="222">
        <f>'0. Database'!T29</f>
        <v/>
      </c>
    </row>
    <row r="7" ht="15" customHeight="1" s="197">
      <c r="A7" s="221" t="inlineStr">
        <is>
          <t>GOOGL</t>
        </is>
      </c>
      <c r="B7" s="222">
        <f>'0. Database'!C44</f>
        <v/>
      </c>
      <c r="C7" s="222">
        <f>'0. Database'!D44</f>
        <v/>
      </c>
      <c r="D7" s="222">
        <f>'0. Database'!E44</f>
        <v/>
      </c>
      <c r="E7" s="222">
        <f>'0. Database'!F44</f>
        <v/>
      </c>
      <c r="F7" s="222">
        <f>'0. Database'!G44</f>
        <v/>
      </c>
      <c r="G7" s="222">
        <f>'0. Database'!H44</f>
        <v/>
      </c>
      <c r="H7" s="222">
        <f>'0. Database'!I44</f>
        <v/>
      </c>
      <c r="I7" s="222">
        <f>'0. Database'!J44</f>
        <v/>
      </c>
      <c r="J7" s="222">
        <f>'0. Database'!K44</f>
        <v/>
      </c>
      <c r="K7" s="222">
        <f>'0. Database'!L44</f>
        <v/>
      </c>
      <c r="L7" s="222">
        <f>'0. Database'!M44</f>
        <v/>
      </c>
      <c r="M7" s="222">
        <f>'0. Database'!N44</f>
        <v/>
      </c>
      <c r="N7" s="222">
        <f>'0. Database'!O44</f>
        <v/>
      </c>
      <c r="O7" s="222">
        <f>'0. Database'!P44</f>
        <v/>
      </c>
      <c r="P7" s="222">
        <f>'0. Database'!Q44</f>
        <v/>
      </c>
      <c r="Q7" s="222">
        <f>'0. Database'!R44</f>
        <v/>
      </c>
      <c r="R7" s="222">
        <f>'0. Database'!S44</f>
        <v/>
      </c>
      <c r="S7" s="222">
        <f>'0. Database'!T44</f>
        <v/>
      </c>
    </row>
    <row r="8" ht="15" customHeight="1" s="197">
      <c r="A8" s="221" t="inlineStr">
        <is>
          <t>META</t>
        </is>
      </c>
      <c r="B8" s="222">
        <f>'0. Database'!C61</f>
        <v/>
      </c>
      <c r="C8" s="222">
        <f>'0. Database'!D61</f>
        <v/>
      </c>
      <c r="D8" s="222">
        <f>'0. Database'!E61</f>
        <v/>
      </c>
      <c r="E8" s="222">
        <f>'0. Database'!F61</f>
        <v/>
      </c>
      <c r="F8" s="222">
        <f>'0. Database'!G61</f>
        <v/>
      </c>
      <c r="G8" s="222">
        <f>'0. Database'!H61</f>
        <v/>
      </c>
      <c r="H8" s="222">
        <f>'0. Database'!I61</f>
        <v/>
      </c>
      <c r="I8" s="222">
        <f>'0. Database'!J61</f>
        <v/>
      </c>
      <c r="J8" s="222">
        <f>'0. Database'!K61</f>
        <v/>
      </c>
      <c r="K8" s="222">
        <f>'0. Database'!L61</f>
        <v/>
      </c>
      <c r="L8" s="222">
        <f>'0. Database'!M61</f>
        <v/>
      </c>
      <c r="M8" s="222">
        <f>'0. Database'!N61</f>
        <v/>
      </c>
      <c r="N8" s="222">
        <f>'0. Database'!O61</f>
        <v/>
      </c>
      <c r="O8" s="222">
        <f>'0. Database'!P61</f>
        <v/>
      </c>
      <c r="P8" s="222">
        <f>'0. Database'!Q61</f>
        <v/>
      </c>
      <c r="Q8" s="222">
        <f>'0. Database'!R61</f>
        <v/>
      </c>
      <c r="R8" s="222">
        <f>'0. Database'!S61</f>
        <v/>
      </c>
      <c r="S8" s="222">
        <f>'0. Database'!T61</f>
        <v/>
      </c>
    </row>
    <row r="9" ht="15" customHeight="1" s="197">
      <c r="A9" s="221" t="inlineStr">
        <is>
          <t>ORCL</t>
        </is>
      </c>
      <c r="B9" s="222">
        <f>'0. Database'!C79</f>
        <v/>
      </c>
      <c r="C9" s="222">
        <f>'0. Database'!D79</f>
        <v/>
      </c>
      <c r="D9" s="222">
        <f>'0. Database'!E79</f>
        <v/>
      </c>
      <c r="E9" s="222">
        <f>'0. Database'!F79</f>
        <v/>
      </c>
      <c r="F9" s="222">
        <f>'0. Database'!G79</f>
        <v/>
      </c>
      <c r="G9" s="222">
        <f>'0. Database'!H79</f>
        <v/>
      </c>
      <c r="H9" s="222">
        <f>'0. Database'!I79</f>
        <v/>
      </c>
      <c r="I9" s="222">
        <f>'0. Database'!J79</f>
        <v/>
      </c>
      <c r="J9" s="222">
        <f>'0. Database'!K79</f>
        <v/>
      </c>
      <c r="K9" s="222">
        <f>'0. Database'!L79</f>
        <v/>
      </c>
      <c r="L9" s="222">
        <f>'0. Database'!M79</f>
        <v/>
      </c>
      <c r="M9" s="222">
        <f>'0. Database'!N79</f>
        <v/>
      </c>
      <c r="N9" s="222">
        <f>'0. Database'!O79</f>
        <v/>
      </c>
      <c r="O9" s="222">
        <f>'0. Database'!P79</f>
        <v/>
      </c>
      <c r="P9" s="222">
        <f>'0. Database'!Q79</f>
        <v/>
      </c>
      <c r="Q9" s="222">
        <f>'0. Database'!R79</f>
        <v/>
      </c>
      <c r="R9" s="222">
        <f>'0. Database'!S79</f>
        <v/>
      </c>
      <c r="S9" s="222">
        <f>'0. Database'!T79</f>
        <v/>
      </c>
    </row>
    <row r="11" ht="15" customHeight="1" s="197">
      <c r="A11" s="219" t="inlineStr">
        <is>
          <t>B. FCF ($mm)</t>
        </is>
      </c>
    </row>
    <row r="12" ht="15" customHeight="1" s="197">
      <c r="A12" s="220" t="inlineStr">
        <is>
          <t>Company</t>
        </is>
      </c>
      <c r="B12" s="201" t="inlineStr">
        <is>
          <t>2013A</t>
        </is>
      </c>
      <c r="C12" s="201" t="inlineStr">
        <is>
          <t>2014A</t>
        </is>
      </c>
      <c r="D12" s="201" t="inlineStr">
        <is>
          <t>2015A</t>
        </is>
      </c>
      <c r="E12" s="201" t="inlineStr">
        <is>
          <t>2016A</t>
        </is>
      </c>
      <c r="F12" s="201" t="inlineStr">
        <is>
          <t>2017A</t>
        </is>
      </c>
      <c r="G12" s="201" t="inlineStr">
        <is>
          <t>2018A</t>
        </is>
      </c>
      <c r="H12" s="201" t="inlineStr">
        <is>
          <t>2019A</t>
        </is>
      </c>
      <c r="I12" s="201" t="inlineStr">
        <is>
          <t>2020A</t>
        </is>
      </c>
      <c r="J12" s="201" t="inlineStr">
        <is>
          <t>2021A</t>
        </is>
      </c>
      <c r="K12" s="201" t="inlineStr">
        <is>
          <t>2022A</t>
        </is>
      </c>
      <c r="L12" s="201" t="inlineStr">
        <is>
          <t>2023A</t>
        </is>
      </c>
      <c r="M12" s="201" t="inlineStr">
        <is>
          <t>2024A</t>
        </is>
      </c>
      <c r="N12" s="201" t="inlineStr">
        <is>
          <t>2025E</t>
        </is>
      </c>
      <c r="O12" s="201" t="inlineStr">
        <is>
          <t>2026E</t>
        </is>
      </c>
      <c r="P12" s="201" t="inlineStr">
        <is>
          <t>2027E</t>
        </is>
      </c>
      <c r="Q12" s="201" t="inlineStr">
        <is>
          <t>2028E</t>
        </is>
      </c>
      <c r="R12" s="201" t="inlineStr">
        <is>
          <t>2029E</t>
        </is>
      </c>
      <c r="S12" s="201" t="inlineStr">
        <is>
          <t>2030E</t>
        </is>
      </c>
    </row>
    <row r="13" ht="15" customHeight="1" s="197">
      <c r="A13" s="221" t="inlineStr">
        <is>
          <t>MSFT</t>
        </is>
      </c>
      <c r="B13" s="222">
        <f>'0. Database'!C14</f>
        <v/>
      </c>
      <c r="C13" s="222">
        <f>'0. Database'!D14</f>
        <v/>
      </c>
      <c r="D13" s="222">
        <f>'0. Database'!E14</f>
        <v/>
      </c>
      <c r="E13" s="222">
        <f>'0. Database'!F14</f>
        <v/>
      </c>
      <c r="F13" s="222">
        <f>'0. Database'!G14</f>
        <v/>
      </c>
      <c r="G13" s="222">
        <f>'0. Database'!H14</f>
        <v/>
      </c>
      <c r="H13" s="222">
        <f>'0. Database'!I14</f>
        <v/>
      </c>
      <c r="I13" s="222">
        <f>'0. Database'!J14</f>
        <v/>
      </c>
      <c r="J13" s="222">
        <f>'0. Database'!K14</f>
        <v/>
      </c>
      <c r="K13" s="222">
        <f>'0. Database'!L14</f>
        <v/>
      </c>
      <c r="L13" s="222">
        <f>'0. Database'!M14</f>
        <v/>
      </c>
      <c r="M13" s="222">
        <f>'0. Database'!N14</f>
        <v/>
      </c>
      <c r="N13" s="222">
        <f>'0. Database'!O14</f>
        <v/>
      </c>
      <c r="O13" s="222">
        <f>'0. Database'!P14</f>
        <v/>
      </c>
      <c r="P13" s="222">
        <f>'0. Database'!Q14</f>
        <v/>
      </c>
      <c r="Q13" s="222">
        <f>'0. Database'!R14</f>
        <v/>
      </c>
      <c r="R13" s="222">
        <f>'0. Database'!S14</f>
        <v/>
      </c>
      <c r="S13" s="222">
        <f>'0. Database'!T14</f>
        <v/>
      </c>
    </row>
    <row r="14" ht="15" customHeight="1" s="197">
      <c r="A14" s="221" t="inlineStr">
        <is>
          <t>AMZN</t>
        </is>
      </c>
      <c r="B14" s="222">
        <f>'0. Database'!C30</f>
        <v/>
      </c>
      <c r="C14" s="222">
        <f>'0. Database'!D30</f>
        <v/>
      </c>
      <c r="D14" s="222">
        <f>'0. Database'!E30</f>
        <v/>
      </c>
      <c r="E14" s="222">
        <f>'0. Database'!F30</f>
        <v/>
      </c>
      <c r="F14" s="222">
        <f>'0. Database'!G30</f>
        <v/>
      </c>
      <c r="G14" s="222">
        <f>'0. Database'!H30</f>
        <v/>
      </c>
      <c r="H14" s="222">
        <f>'0. Database'!I30</f>
        <v/>
      </c>
      <c r="I14" s="222">
        <f>'0. Database'!J30</f>
        <v/>
      </c>
      <c r="J14" s="222">
        <f>'0. Database'!K30</f>
        <v/>
      </c>
      <c r="K14" s="222">
        <f>'0. Database'!L30</f>
        <v/>
      </c>
      <c r="L14" s="222">
        <f>'0. Database'!M30</f>
        <v/>
      </c>
      <c r="M14" s="222">
        <f>'0. Database'!N30</f>
        <v/>
      </c>
      <c r="N14" s="222">
        <f>'0. Database'!O30</f>
        <v/>
      </c>
      <c r="O14" s="222">
        <f>'0. Database'!P30</f>
        <v/>
      </c>
      <c r="P14" s="222">
        <f>'0. Database'!Q30</f>
        <v/>
      </c>
      <c r="Q14" s="222">
        <f>'0. Database'!R30</f>
        <v/>
      </c>
      <c r="R14" s="222">
        <f>'0. Database'!S30</f>
        <v/>
      </c>
      <c r="S14" s="222">
        <f>'0. Database'!T30</f>
        <v/>
      </c>
    </row>
    <row r="15" ht="15" customHeight="1" s="197">
      <c r="A15" s="221" t="inlineStr">
        <is>
          <t>GOOGL</t>
        </is>
      </c>
      <c r="B15" s="222">
        <f>'0. Database'!C45</f>
        <v/>
      </c>
      <c r="C15" s="222">
        <f>'0. Database'!D45</f>
        <v/>
      </c>
      <c r="D15" s="222">
        <f>'0. Database'!E45</f>
        <v/>
      </c>
      <c r="E15" s="222">
        <f>'0. Database'!F45</f>
        <v/>
      </c>
      <c r="F15" s="222">
        <f>'0. Database'!G45</f>
        <v/>
      </c>
      <c r="G15" s="222">
        <f>'0. Database'!H45</f>
        <v/>
      </c>
      <c r="H15" s="222">
        <f>'0. Database'!I45</f>
        <v/>
      </c>
      <c r="I15" s="222">
        <f>'0. Database'!J45</f>
        <v/>
      </c>
      <c r="J15" s="222">
        <f>'0. Database'!K45</f>
        <v/>
      </c>
      <c r="K15" s="222">
        <f>'0. Database'!L45</f>
        <v/>
      </c>
      <c r="L15" s="222">
        <f>'0. Database'!M45</f>
        <v/>
      </c>
      <c r="M15" s="222">
        <f>'0. Database'!N45</f>
        <v/>
      </c>
      <c r="N15" s="222">
        <f>'0. Database'!O45</f>
        <v/>
      </c>
      <c r="O15" s="222">
        <f>'0. Database'!P45</f>
        <v/>
      </c>
      <c r="P15" s="222">
        <f>'0. Database'!Q45</f>
        <v/>
      </c>
      <c r="Q15" s="222">
        <f>'0. Database'!R45</f>
        <v/>
      </c>
      <c r="R15" s="222">
        <f>'0. Database'!S45</f>
        <v/>
      </c>
      <c r="S15" s="222">
        <f>'0. Database'!T45</f>
        <v/>
      </c>
    </row>
    <row r="16" ht="15" customHeight="1" s="197">
      <c r="A16" s="221" t="inlineStr">
        <is>
          <t>META</t>
        </is>
      </c>
      <c r="B16" s="222">
        <f>'0. Database'!C62</f>
        <v/>
      </c>
      <c r="C16" s="222">
        <f>'0. Database'!D62</f>
        <v/>
      </c>
      <c r="D16" s="222">
        <f>'0. Database'!E62</f>
        <v/>
      </c>
      <c r="E16" s="222">
        <f>'0. Database'!F62</f>
        <v/>
      </c>
      <c r="F16" s="222">
        <f>'0. Database'!G62</f>
        <v/>
      </c>
      <c r="G16" s="222">
        <f>'0. Database'!H62</f>
        <v/>
      </c>
      <c r="H16" s="222">
        <f>'0. Database'!I62</f>
        <v/>
      </c>
      <c r="I16" s="222">
        <f>'0. Database'!J62</f>
        <v/>
      </c>
      <c r="J16" s="222">
        <f>'0. Database'!K62</f>
        <v/>
      </c>
      <c r="K16" s="222">
        <f>'0. Database'!L62</f>
        <v/>
      </c>
      <c r="L16" s="222">
        <f>'0. Database'!M62</f>
        <v/>
      </c>
      <c r="M16" s="222">
        <f>'0. Database'!N62</f>
        <v/>
      </c>
      <c r="N16" s="222">
        <f>'0. Database'!O62</f>
        <v/>
      </c>
      <c r="O16" s="222">
        <f>'0. Database'!P62</f>
        <v/>
      </c>
      <c r="P16" s="222">
        <f>'0. Database'!Q62</f>
        <v/>
      </c>
      <c r="Q16" s="222">
        <f>'0. Database'!R62</f>
        <v/>
      </c>
      <c r="R16" s="222">
        <f>'0. Database'!S62</f>
        <v/>
      </c>
      <c r="S16" s="222">
        <f>'0. Database'!T62</f>
        <v/>
      </c>
    </row>
    <row r="17" ht="15" customHeight="1" s="197">
      <c r="A17" s="221" t="inlineStr">
        <is>
          <t>ORCL</t>
        </is>
      </c>
      <c r="B17" s="222">
        <f>'0. Database'!C80</f>
        <v/>
      </c>
      <c r="C17" s="222">
        <f>'0. Database'!D80</f>
        <v/>
      </c>
      <c r="D17" s="222">
        <f>'0. Database'!E80</f>
        <v/>
      </c>
      <c r="E17" s="222">
        <f>'0. Database'!F80</f>
        <v/>
      </c>
      <c r="F17" s="222">
        <f>'0. Database'!G80</f>
        <v/>
      </c>
      <c r="G17" s="222">
        <f>'0. Database'!H80</f>
        <v/>
      </c>
      <c r="H17" s="222">
        <f>'0. Database'!I80</f>
        <v/>
      </c>
      <c r="I17" s="222">
        <f>'0. Database'!J80</f>
        <v/>
      </c>
      <c r="J17" s="222">
        <f>'0. Database'!K80</f>
        <v/>
      </c>
      <c r="K17" s="222">
        <f>'0. Database'!L80</f>
        <v/>
      </c>
      <c r="L17" s="222">
        <f>'0. Database'!M80</f>
        <v/>
      </c>
      <c r="M17" s="222">
        <f>'0. Database'!N80</f>
        <v/>
      </c>
      <c r="N17" s="222">
        <f>'0. Database'!O80</f>
        <v/>
      </c>
      <c r="O17" s="222">
        <f>'0. Database'!P80</f>
        <v/>
      </c>
      <c r="P17" s="222">
        <f>'0. Database'!Q80</f>
        <v/>
      </c>
      <c r="Q17" s="222">
        <f>'0. Database'!R80</f>
        <v/>
      </c>
      <c r="R17" s="222">
        <f>'0. Database'!S80</f>
        <v/>
      </c>
      <c r="S17" s="222">
        <f>'0. Database'!T80</f>
        <v/>
      </c>
    </row>
    <row r="19" ht="15" customHeight="1" s="197">
      <c r="A19" s="219" t="inlineStr">
        <is>
          <t>E. Buybacks ($mm)</t>
        </is>
      </c>
    </row>
    <row r="20" ht="15" customHeight="1" s="197">
      <c r="A20" s="220" t="inlineStr">
        <is>
          <t>Company</t>
        </is>
      </c>
      <c r="B20" s="201" t="inlineStr">
        <is>
          <t>2013A</t>
        </is>
      </c>
      <c r="C20" s="201" t="inlineStr">
        <is>
          <t>2014A</t>
        </is>
      </c>
      <c r="D20" s="201" t="inlineStr">
        <is>
          <t>2015A</t>
        </is>
      </c>
      <c r="E20" s="201" t="inlineStr">
        <is>
          <t>2016A</t>
        </is>
      </c>
      <c r="F20" s="201" t="inlineStr">
        <is>
          <t>2017A</t>
        </is>
      </c>
      <c r="G20" s="201" t="inlineStr">
        <is>
          <t>2018A</t>
        </is>
      </c>
      <c r="H20" s="201" t="inlineStr">
        <is>
          <t>2019A</t>
        </is>
      </c>
      <c r="I20" s="201" t="inlineStr">
        <is>
          <t>2020A</t>
        </is>
      </c>
      <c r="J20" s="201" t="inlineStr">
        <is>
          <t>2021A</t>
        </is>
      </c>
      <c r="K20" s="201" t="inlineStr">
        <is>
          <t>2022A</t>
        </is>
      </c>
      <c r="L20" s="201" t="inlineStr">
        <is>
          <t>2023A</t>
        </is>
      </c>
      <c r="M20" s="201" t="inlineStr">
        <is>
          <t>2024A</t>
        </is>
      </c>
      <c r="N20" s="201" t="inlineStr">
        <is>
          <t>2025E</t>
        </is>
      </c>
      <c r="O20" s="201" t="inlineStr">
        <is>
          <t>2026E</t>
        </is>
      </c>
      <c r="P20" s="201" t="inlineStr">
        <is>
          <t>2027E</t>
        </is>
      </c>
      <c r="Q20" s="201" t="inlineStr">
        <is>
          <t>2028E</t>
        </is>
      </c>
      <c r="R20" s="201" t="inlineStr">
        <is>
          <t>2029E</t>
        </is>
      </c>
      <c r="S20" s="201" t="inlineStr">
        <is>
          <t>2030E</t>
        </is>
      </c>
    </row>
    <row r="21" ht="15" customHeight="1" s="197">
      <c r="A21" s="221" t="inlineStr">
        <is>
          <t>MSFT</t>
        </is>
      </c>
      <c r="B21" s="222">
        <f>'0. Database'!C15</f>
        <v/>
      </c>
      <c r="C21" s="222">
        <f>'0. Database'!D15</f>
        <v/>
      </c>
      <c r="D21" s="222">
        <f>'0. Database'!E15</f>
        <v/>
      </c>
      <c r="E21" s="222">
        <f>'0. Database'!F15</f>
        <v/>
      </c>
      <c r="F21" s="222">
        <f>'0. Database'!G15</f>
        <v/>
      </c>
      <c r="G21" s="222">
        <f>'0. Database'!H15</f>
        <v/>
      </c>
      <c r="H21" s="222">
        <f>'0. Database'!I15</f>
        <v/>
      </c>
      <c r="I21" s="222">
        <f>'0. Database'!J15</f>
        <v/>
      </c>
      <c r="J21" s="222">
        <f>'0. Database'!K15</f>
        <v/>
      </c>
      <c r="K21" s="222">
        <f>'0. Database'!L15</f>
        <v/>
      </c>
      <c r="L21" s="222">
        <f>'0. Database'!M15</f>
        <v/>
      </c>
      <c r="M21" s="222">
        <f>'0. Database'!N15</f>
        <v/>
      </c>
      <c r="N21" s="222">
        <f>'0. Database'!O15</f>
        <v/>
      </c>
      <c r="O21" s="222">
        <f>'0. Database'!P15</f>
        <v/>
      </c>
      <c r="P21" s="222">
        <f>'0. Database'!Q15</f>
        <v/>
      </c>
      <c r="Q21" s="222">
        <f>'0. Database'!R15</f>
        <v/>
      </c>
      <c r="R21" s="222">
        <f>'0. Database'!S15</f>
        <v/>
      </c>
      <c r="S21" s="222">
        <f>'0. Database'!T15</f>
        <v/>
      </c>
    </row>
    <row r="22" ht="15" customHeight="1" s="197">
      <c r="A22" s="221" t="inlineStr">
        <is>
          <t>AMZN</t>
        </is>
      </c>
      <c r="B22" s="222">
        <f>'0. Database'!C31</f>
        <v/>
      </c>
      <c r="C22" s="222">
        <f>'0. Database'!D31</f>
        <v/>
      </c>
      <c r="D22" s="222">
        <f>'0. Database'!E31</f>
        <v/>
      </c>
      <c r="E22" s="222">
        <f>'0. Database'!F31</f>
        <v/>
      </c>
      <c r="F22" s="222">
        <f>'0. Database'!G31</f>
        <v/>
      </c>
      <c r="G22" s="222">
        <f>'0. Database'!H31</f>
        <v/>
      </c>
      <c r="H22" s="222">
        <f>'0. Database'!I31</f>
        <v/>
      </c>
      <c r="I22" s="222">
        <f>'0. Database'!J31</f>
        <v/>
      </c>
      <c r="J22" s="222">
        <f>'0. Database'!K31</f>
        <v/>
      </c>
      <c r="K22" s="222">
        <f>'0. Database'!L31</f>
        <v/>
      </c>
      <c r="L22" s="222">
        <f>'0. Database'!M31</f>
        <v/>
      </c>
      <c r="M22" s="222">
        <f>'0. Database'!N31</f>
        <v/>
      </c>
      <c r="N22" s="222">
        <f>'0. Database'!O31</f>
        <v/>
      </c>
      <c r="O22" s="222">
        <f>'0. Database'!P31</f>
        <v/>
      </c>
      <c r="P22" s="222">
        <f>'0. Database'!Q31</f>
        <v/>
      </c>
      <c r="Q22" s="222">
        <f>'0. Database'!R31</f>
        <v/>
      </c>
      <c r="R22" s="222">
        <f>'0. Database'!S31</f>
        <v/>
      </c>
      <c r="S22" s="222">
        <f>'0. Database'!T31</f>
        <v/>
      </c>
    </row>
    <row r="23" ht="15" customHeight="1" s="197">
      <c r="A23" s="221" t="inlineStr">
        <is>
          <t>GOOGL</t>
        </is>
      </c>
      <c r="B23" s="222">
        <f>'0. Database'!C46</f>
        <v/>
      </c>
      <c r="C23" s="222">
        <f>'0. Database'!D46</f>
        <v/>
      </c>
      <c r="D23" s="222">
        <f>'0. Database'!E46</f>
        <v/>
      </c>
      <c r="E23" s="222">
        <f>'0. Database'!F46</f>
        <v/>
      </c>
      <c r="F23" s="222">
        <f>'0. Database'!G46</f>
        <v/>
      </c>
      <c r="G23" s="222">
        <f>'0. Database'!H46</f>
        <v/>
      </c>
      <c r="H23" s="222">
        <f>'0. Database'!I46</f>
        <v/>
      </c>
      <c r="I23" s="222">
        <f>'0. Database'!J46</f>
        <v/>
      </c>
      <c r="J23" s="222">
        <f>'0. Database'!K46</f>
        <v/>
      </c>
      <c r="K23" s="222">
        <f>'0. Database'!L46</f>
        <v/>
      </c>
      <c r="L23" s="222">
        <f>'0. Database'!M46</f>
        <v/>
      </c>
      <c r="M23" s="222">
        <f>'0. Database'!N46</f>
        <v/>
      </c>
      <c r="N23" s="222">
        <f>'0. Database'!O46</f>
        <v/>
      </c>
      <c r="O23" s="222">
        <f>'0. Database'!P46</f>
        <v/>
      </c>
      <c r="P23" s="222">
        <f>'0. Database'!Q46</f>
        <v/>
      </c>
      <c r="Q23" s="222">
        <f>'0. Database'!R46</f>
        <v/>
      </c>
      <c r="R23" s="222">
        <f>'0. Database'!S46</f>
        <v/>
      </c>
      <c r="S23" s="222">
        <f>'0. Database'!T46</f>
        <v/>
      </c>
    </row>
    <row r="24" ht="15" customHeight="1" s="197">
      <c r="A24" s="221" t="inlineStr">
        <is>
          <t>META</t>
        </is>
      </c>
      <c r="B24" s="222">
        <f>'0. Database'!C63</f>
        <v/>
      </c>
      <c r="C24" s="222">
        <f>'0. Database'!D63</f>
        <v/>
      </c>
      <c r="D24" s="222">
        <f>'0. Database'!E63</f>
        <v/>
      </c>
      <c r="E24" s="222">
        <f>'0. Database'!F63</f>
        <v/>
      </c>
      <c r="F24" s="222">
        <f>'0. Database'!G63</f>
        <v/>
      </c>
      <c r="G24" s="222">
        <f>'0. Database'!H63</f>
        <v/>
      </c>
      <c r="H24" s="222">
        <f>'0. Database'!I63</f>
        <v/>
      </c>
      <c r="I24" s="222">
        <f>'0. Database'!J63</f>
        <v/>
      </c>
      <c r="J24" s="222">
        <f>'0. Database'!K63</f>
        <v/>
      </c>
      <c r="K24" s="222">
        <f>'0. Database'!L63</f>
        <v/>
      </c>
      <c r="L24" s="222">
        <f>'0. Database'!M63</f>
        <v/>
      </c>
      <c r="M24" s="222">
        <f>'0. Database'!N63</f>
        <v/>
      </c>
      <c r="N24" s="222">
        <f>'0. Database'!O63</f>
        <v/>
      </c>
      <c r="O24" s="222">
        <f>'0. Database'!P63</f>
        <v/>
      </c>
      <c r="P24" s="222">
        <f>'0. Database'!Q63</f>
        <v/>
      </c>
      <c r="Q24" s="222">
        <f>'0. Database'!R63</f>
        <v/>
      </c>
      <c r="R24" s="222">
        <f>'0. Database'!S63</f>
        <v/>
      </c>
      <c r="S24" s="222">
        <f>'0. Database'!T63</f>
        <v/>
      </c>
    </row>
    <row r="25" ht="15" customHeight="1" s="197">
      <c r="A25" s="221" t="inlineStr">
        <is>
          <t>ORCL</t>
        </is>
      </c>
      <c r="B25" s="222">
        <f>'0. Database'!C81</f>
        <v/>
      </c>
      <c r="C25" s="222">
        <f>'0. Database'!D81</f>
        <v/>
      </c>
      <c r="D25" s="222">
        <f>'0. Database'!E81</f>
        <v/>
      </c>
      <c r="E25" s="222">
        <f>'0. Database'!F81</f>
        <v/>
      </c>
      <c r="F25" s="222">
        <f>'0. Database'!G81</f>
        <v/>
      </c>
      <c r="G25" s="222">
        <f>'0. Database'!H81</f>
        <v/>
      </c>
      <c r="H25" s="222">
        <f>'0. Database'!I81</f>
        <v/>
      </c>
      <c r="I25" s="222">
        <f>'0. Database'!J81</f>
        <v/>
      </c>
      <c r="J25" s="222">
        <f>'0. Database'!K81</f>
        <v/>
      </c>
      <c r="K25" s="222">
        <f>'0. Database'!L81</f>
        <v/>
      </c>
      <c r="L25" s="222">
        <f>'0. Database'!M81</f>
        <v/>
      </c>
      <c r="M25" s="222">
        <f>'0. Database'!N81</f>
        <v/>
      </c>
      <c r="N25" s="222">
        <f>'0. Database'!O81</f>
        <v/>
      </c>
      <c r="O25" s="222">
        <f>'0. Database'!P81</f>
        <v/>
      </c>
      <c r="P25" s="222">
        <f>'0. Database'!Q81</f>
        <v/>
      </c>
      <c r="Q25" s="222">
        <f>'0. Database'!R81</f>
        <v/>
      </c>
      <c r="R25" s="222">
        <f>'0. Database'!S81</f>
        <v/>
      </c>
      <c r="S25" s="222">
        <f>'0. Database'!T81</f>
        <v/>
      </c>
    </row>
    <row r="27" ht="15" customHeight="1" s="197">
      <c r="A27" s="219" t="inlineStr">
        <is>
          <t>(Revenue)</t>
        </is>
      </c>
    </row>
    <row r="28" ht="15" customHeight="1" s="197">
      <c r="A28" s="220" t="inlineStr">
        <is>
          <t>Company</t>
        </is>
      </c>
      <c r="B28" s="201" t="inlineStr">
        <is>
          <t>2013A</t>
        </is>
      </c>
      <c r="C28" s="201" t="inlineStr">
        <is>
          <t>2014A</t>
        </is>
      </c>
      <c r="D28" s="201" t="inlineStr">
        <is>
          <t>2015A</t>
        </is>
      </c>
      <c r="E28" s="201" t="inlineStr">
        <is>
          <t>2016A</t>
        </is>
      </c>
      <c r="F28" s="201" t="inlineStr">
        <is>
          <t>2017A</t>
        </is>
      </c>
      <c r="G28" s="201" t="inlineStr">
        <is>
          <t>2018A</t>
        </is>
      </c>
      <c r="H28" s="201" t="inlineStr">
        <is>
          <t>2019A</t>
        </is>
      </c>
      <c r="I28" s="201" t="inlineStr">
        <is>
          <t>2020A</t>
        </is>
      </c>
      <c r="J28" s="201" t="inlineStr">
        <is>
          <t>2021A</t>
        </is>
      </c>
      <c r="K28" s="201" t="inlineStr">
        <is>
          <t>2022A</t>
        </is>
      </c>
      <c r="L28" s="201" t="inlineStr">
        <is>
          <t>2023A</t>
        </is>
      </c>
      <c r="M28" s="201" t="inlineStr">
        <is>
          <t>2024A</t>
        </is>
      </c>
      <c r="N28" s="201" t="inlineStr">
        <is>
          <t>2025E</t>
        </is>
      </c>
      <c r="O28" s="201" t="inlineStr">
        <is>
          <t>2026E</t>
        </is>
      </c>
      <c r="P28" s="201" t="inlineStr">
        <is>
          <t>2027E</t>
        </is>
      </c>
      <c r="Q28" s="201" t="inlineStr">
        <is>
          <t>2028E</t>
        </is>
      </c>
      <c r="R28" s="201" t="inlineStr">
        <is>
          <t>2029E</t>
        </is>
      </c>
      <c r="S28" s="201" t="inlineStr">
        <is>
          <t>2030E</t>
        </is>
      </c>
    </row>
    <row r="29" ht="15" customHeight="1" s="197">
      <c r="A29" s="221" t="inlineStr">
        <is>
          <t>MSFT</t>
        </is>
      </c>
      <c r="B29" s="222">
        <f>'0. Database'!C5</f>
        <v/>
      </c>
      <c r="C29" s="222">
        <f>'0. Database'!D5</f>
        <v/>
      </c>
      <c r="D29" s="222">
        <f>'0. Database'!E5</f>
        <v/>
      </c>
      <c r="E29" s="222">
        <f>'0. Database'!F5</f>
        <v/>
      </c>
      <c r="F29" s="222">
        <f>'0. Database'!G5</f>
        <v/>
      </c>
      <c r="G29" s="222">
        <f>'0. Database'!H5</f>
        <v/>
      </c>
      <c r="H29" s="222">
        <f>'0. Database'!I5</f>
        <v/>
      </c>
      <c r="I29" s="222">
        <f>'0. Database'!J5</f>
        <v/>
      </c>
      <c r="J29" s="222">
        <f>'0. Database'!K5</f>
        <v/>
      </c>
      <c r="K29" s="222">
        <f>'0. Database'!L5</f>
        <v/>
      </c>
      <c r="L29" s="222">
        <f>'0. Database'!M5</f>
        <v/>
      </c>
      <c r="M29" s="222">
        <f>'0. Database'!N5</f>
        <v/>
      </c>
      <c r="N29" s="222">
        <f>'0. Database'!O5</f>
        <v/>
      </c>
      <c r="O29" s="222">
        <f>'0. Database'!P5</f>
        <v/>
      </c>
      <c r="P29" s="222">
        <f>'0. Database'!Q5</f>
        <v/>
      </c>
      <c r="Q29" s="222">
        <f>'0. Database'!R5</f>
        <v/>
      </c>
      <c r="R29" s="222">
        <f>'0. Database'!S5</f>
        <v/>
      </c>
      <c r="S29" s="222">
        <f>'0. Database'!T5</f>
        <v/>
      </c>
    </row>
    <row r="30" ht="15" customHeight="1" s="197">
      <c r="A30" s="221" t="inlineStr">
        <is>
          <t>AMZN</t>
        </is>
      </c>
      <c r="B30" s="222">
        <f>'0. Database'!C21</f>
        <v/>
      </c>
      <c r="C30" s="222">
        <f>'0. Database'!D21</f>
        <v/>
      </c>
      <c r="D30" s="222">
        <f>'0. Database'!E21</f>
        <v/>
      </c>
      <c r="E30" s="222">
        <f>'0. Database'!F21</f>
        <v/>
      </c>
      <c r="F30" s="222">
        <f>'0. Database'!G21</f>
        <v/>
      </c>
      <c r="G30" s="222">
        <f>'0. Database'!H21</f>
        <v/>
      </c>
      <c r="H30" s="222">
        <f>'0. Database'!I21</f>
        <v/>
      </c>
      <c r="I30" s="222">
        <f>'0. Database'!J21</f>
        <v/>
      </c>
      <c r="J30" s="222">
        <f>'0. Database'!K21</f>
        <v/>
      </c>
      <c r="K30" s="222">
        <f>'0. Database'!L21</f>
        <v/>
      </c>
      <c r="L30" s="222">
        <f>'0. Database'!M21</f>
        <v/>
      </c>
      <c r="M30" s="222">
        <f>'0. Database'!N21</f>
        <v/>
      </c>
      <c r="N30" s="222">
        <f>'0. Database'!O21</f>
        <v/>
      </c>
      <c r="O30" s="222">
        <f>'0. Database'!P21</f>
        <v/>
      </c>
      <c r="P30" s="222">
        <f>'0. Database'!Q21</f>
        <v/>
      </c>
      <c r="Q30" s="222">
        <f>'0. Database'!R21</f>
        <v/>
      </c>
      <c r="R30" s="222">
        <f>'0. Database'!S21</f>
        <v/>
      </c>
      <c r="S30" s="222">
        <f>'0. Database'!T21</f>
        <v/>
      </c>
    </row>
    <row r="31" ht="15" customHeight="1" s="197">
      <c r="A31" s="221" t="inlineStr">
        <is>
          <t>GOOGL</t>
        </is>
      </c>
      <c r="B31" s="222">
        <f>'0. Database'!C36</f>
        <v/>
      </c>
      <c r="C31" s="222">
        <f>'0. Database'!D36</f>
        <v/>
      </c>
      <c r="D31" s="222">
        <f>'0. Database'!E36</f>
        <v/>
      </c>
      <c r="E31" s="222">
        <f>'0. Database'!F36</f>
        <v/>
      </c>
      <c r="F31" s="222">
        <f>'0. Database'!G36</f>
        <v/>
      </c>
      <c r="G31" s="222">
        <f>'0. Database'!H36</f>
        <v/>
      </c>
      <c r="H31" s="222">
        <f>'0. Database'!I36</f>
        <v/>
      </c>
      <c r="I31" s="222">
        <f>'0. Database'!J36</f>
        <v/>
      </c>
      <c r="J31" s="222">
        <f>'0. Database'!K36</f>
        <v/>
      </c>
      <c r="K31" s="222">
        <f>'0. Database'!L36</f>
        <v/>
      </c>
      <c r="L31" s="222">
        <f>'0. Database'!M36</f>
        <v/>
      </c>
      <c r="M31" s="222">
        <f>'0. Database'!N36</f>
        <v/>
      </c>
      <c r="N31" s="222">
        <f>'0. Database'!O36</f>
        <v/>
      </c>
      <c r="O31" s="222">
        <f>'0. Database'!P36</f>
        <v/>
      </c>
      <c r="P31" s="222">
        <f>'0. Database'!Q36</f>
        <v/>
      </c>
      <c r="Q31" s="222">
        <f>'0. Database'!R36</f>
        <v/>
      </c>
      <c r="R31" s="222">
        <f>'0. Database'!S36</f>
        <v/>
      </c>
      <c r="S31" s="222">
        <f>'0. Database'!T36</f>
        <v/>
      </c>
    </row>
    <row r="32" ht="15" customHeight="1" s="197">
      <c r="A32" s="221" t="inlineStr">
        <is>
          <t>META</t>
        </is>
      </c>
      <c r="B32" s="222">
        <f>'0. Database'!C53</f>
        <v/>
      </c>
      <c r="C32" s="222">
        <f>'0. Database'!D53</f>
        <v/>
      </c>
      <c r="D32" s="222">
        <f>'0. Database'!E53</f>
        <v/>
      </c>
      <c r="E32" s="222">
        <f>'0. Database'!F53</f>
        <v/>
      </c>
      <c r="F32" s="222">
        <f>'0. Database'!G53</f>
        <v/>
      </c>
      <c r="G32" s="222">
        <f>'0. Database'!H53</f>
        <v/>
      </c>
      <c r="H32" s="222">
        <f>'0. Database'!I53</f>
        <v/>
      </c>
      <c r="I32" s="222">
        <f>'0. Database'!J53</f>
        <v/>
      </c>
      <c r="J32" s="222">
        <f>'0. Database'!K53</f>
        <v/>
      </c>
      <c r="K32" s="222">
        <f>'0. Database'!L53</f>
        <v/>
      </c>
      <c r="L32" s="222">
        <f>'0. Database'!M53</f>
        <v/>
      </c>
      <c r="M32" s="222">
        <f>'0. Database'!N53</f>
        <v/>
      </c>
      <c r="N32" s="222">
        <f>'0. Database'!O53</f>
        <v/>
      </c>
      <c r="O32" s="222">
        <f>'0. Database'!P53</f>
        <v/>
      </c>
      <c r="P32" s="222">
        <f>'0. Database'!Q53</f>
        <v/>
      </c>
      <c r="Q32" s="222">
        <f>'0. Database'!R53</f>
        <v/>
      </c>
      <c r="R32" s="222">
        <f>'0. Database'!S53</f>
        <v/>
      </c>
      <c r="S32" s="222">
        <f>'0. Database'!T53</f>
        <v/>
      </c>
    </row>
    <row r="33" ht="15" customHeight="1" s="197">
      <c r="A33" s="221" t="inlineStr">
        <is>
          <t>ORCL</t>
        </is>
      </c>
      <c r="B33" s="222">
        <f>'0. Database'!C71</f>
        <v/>
      </c>
      <c r="C33" s="222">
        <f>'0. Database'!D71</f>
        <v/>
      </c>
      <c r="D33" s="222">
        <f>'0. Database'!E71</f>
        <v/>
      </c>
      <c r="E33" s="222">
        <f>'0. Database'!F71</f>
        <v/>
      </c>
      <c r="F33" s="222">
        <f>'0. Database'!G71</f>
        <v/>
      </c>
      <c r="G33" s="222">
        <f>'0. Database'!H71</f>
        <v/>
      </c>
      <c r="H33" s="222">
        <f>'0. Database'!I71</f>
        <v/>
      </c>
      <c r="I33" s="222">
        <f>'0. Database'!J71</f>
        <v/>
      </c>
      <c r="J33" s="222">
        <f>'0. Database'!K71</f>
        <v/>
      </c>
      <c r="K33" s="222">
        <f>'0. Database'!L71</f>
        <v/>
      </c>
      <c r="L33" s="222">
        <f>'0. Database'!M71</f>
        <v/>
      </c>
      <c r="M33" s="222">
        <f>'0. Database'!N71</f>
        <v/>
      </c>
      <c r="N33" s="222">
        <f>'0. Database'!O71</f>
        <v/>
      </c>
      <c r="O33" s="222">
        <f>'0. Database'!P71</f>
        <v/>
      </c>
      <c r="P33" s="222">
        <f>'0. Database'!Q71</f>
        <v/>
      </c>
      <c r="Q33" s="222">
        <f>'0. Database'!R71</f>
        <v/>
      </c>
      <c r="R33" s="222">
        <f>'0. Database'!S71</f>
        <v/>
      </c>
      <c r="S33" s="222">
        <f>'0. Database'!T71</f>
        <v/>
      </c>
    </row>
    <row r="35" ht="15" customHeight="1" s="197">
      <c r="A35" s="219" t="inlineStr">
        <is>
          <t>(NI)</t>
        </is>
      </c>
    </row>
    <row r="36" ht="15" customHeight="1" s="197">
      <c r="A36" s="220" t="inlineStr">
        <is>
          <t>Company</t>
        </is>
      </c>
      <c r="B36" s="201" t="inlineStr">
        <is>
          <t>2013A</t>
        </is>
      </c>
      <c r="C36" s="201" t="inlineStr">
        <is>
          <t>2014A</t>
        </is>
      </c>
      <c r="D36" s="201" t="inlineStr">
        <is>
          <t>2015A</t>
        </is>
      </c>
      <c r="E36" s="201" t="inlineStr">
        <is>
          <t>2016A</t>
        </is>
      </c>
      <c r="F36" s="201" t="inlineStr">
        <is>
          <t>2017A</t>
        </is>
      </c>
      <c r="G36" s="201" t="inlineStr">
        <is>
          <t>2018A</t>
        </is>
      </c>
      <c r="H36" s="201" t="inlineStr">
        <is>
          <t>2019A</t>
        </is>
      </c>
      <c r="I36" s="201" t="inlineStr">
        <is>
          <t>2020A</t>
        </is>
      </c>
      <c r="J36" s="201" t="inlineStr">
        <is>
          <t>2021A</t>
        </is>
      </c>
      <c r="K36" s="201" t="inlineStr">
        <is>
          <t>2022A</t>
        </is>
      </c>
      <c r="L36" s="201" t="inlineStr">
        <is>
          <t>2023A</t>
        </is>
      </c>
      <c r="M36" s="201" t="inlineStr">
        <is>
          <t>2024A</t>
        </is>
      </c>
      <c r="N36" s="201" t="inlineStr">
        <is>
          <t>2025E</t>
        </is>
      </c>
      <c r="O36" s="201" t="inlineStr">
        <is>
          <t>2026E</t>
        </is>
      </c>
      <c r="P36" s="201" t="inlineStr">
        <is>
          <t>2027E</t>
        </is>
      </c>
      <c r="Q36" s="201" t="inlineStr">
        <is>
          <t>2028E</t>
        </is>
      </c>
      <c r="R36" s="201" t="inlineStr">
        <is>
          <t>2029E</t>
        </is>
      </c>
      <c r="S36" s="201" t="inlineStr">
        <is>
          <t>2030E</t>
        </is>
      </c>
    </row>
    <row r="37" ht="15" customHeight="1" s="197">
      <c r="A37" s="221" t="inlineStr">
        <is>
          <t>MSFT</t>
        </is>
      </c>
      <c r="B37" s="222">
        <f>'0. Database'!C7</f>
        <v/>
      </c>
      <c r="C37" s="222">
        <f>'0. Database'!D7</f>
        <v/>
      </c>
      <c r="D37" s="222">
        <f>'0. Database'!E7</f>
        <v/>
      </c>
      <c r="E37" s="222">
        <f>'0. Database'!F7</f>
        <v/>
      </c>
      <c r="F37" s="222">
        <f>'0. Database'!G7</f>
        <v/>
      </c>
      <c r="G37" s="222">
        <f>'0. Database'!H7</f>
        <v/>
      </c>
      <c r="H37" s="222">
        <f>'0. Database'!I7</f>
        <v/>
      </c>
      <c r="I37" s="222">
        <f>'0. Database'!J7</f>
        <v/>
      </c>
      <c r="J37" s="222">
        <f>'0. Database'!K7</f>
        <v/>
      </c>
      <c r="K37" s="222">
        <f>'0. Database'!L7</f>
        <v/>
      </c>
      <c r="L37" s="222">
        <f>'0. Database'!M7</f>
        <v/>
      </c>
      <c r="M37" s="222">
        <f>'0. Database'!N7</f>
        <v/>
      </c>
      <c r="N37" s="222">
        <f>'0. Database'!O7</f>
        <v/>
      </c>
      <c r="O37" s="222">
        <f>'0. Database'!P7</f>
        <v/>
      </c>
      <c r="P37" s="222">
        <f>'0. Database'!Q7</f>
        <v/>
      </c>
      <c r="Q37" s="222">
        <f>'0. Database'!R7</f>
        <v/>
      </c>
      <c r="R37" s="222">
        <f>'0. Database'!S7</f>
        <v/>
      </c>
      <c r="S37" s="222">
        <f>'0. Database'!T7</f>
        <v/>
      </c>
    </row>
    <row r="38" ht="15" customHeight="1" s="197">
      <c r="A38" s="221" t="inlineStr">
        <is>
          <t>AMZN</t>
        </is>
      </c>
      <c r="B38" s="222">
        <f>'0. Database'!C23</f>
        <v/>
      </c>
      <c r="C38" s="222">
        <f>'0. Database'!D23</f>
        <v/>
      </c>
      <c r="D38" s="222">
        <f>'0. Database'!E23</f>
        <v/>
      </c>
      <c r="E38" s="222">
        <f>'0. Database'!F23</f>
        <v/>
      </c>
      <c r="F38" s="222">
        <f>'0. Database'!G23</f>
        <v/>
      </c>
      <c r="G38" s="222">
        <f>'0. Database'!H23</f>
        <v/>
      </c>
      <c r="H38" s="222">
        <f>'0. Database'!I23</f>
        <v/>
      </c>
      <c r="I38" s="222">
        <f>'0. Database'!J23</f>
        <v/>
      </c>
      <c r="J38" s="222">
        <f>'0. Database'!K23</f>
        <v/>
      </c>
      <c r="K38" s="222">
        <f>'0. Database'!L23</f>
        <v/>
      </c>
      <c r="L38" s="222">
        <f>'0. Database'!M23</f>
        <v/>
      </c>
      <c r="M38" s="222">
        <f>'0. Database'!N23</f>
        <v/>
      </c>
      <c r="N38" s="222">
        <f>'0. Database'!O23</f>
        <v/>
      </c>
      <c r="O38" s="222">
        <f>'0. Database'!P23</f>
        <v/>
      </c>
      <c r="P38" s="222">
        <f>'0. Database'!Q23</f>
        <v/>
      </c>
      <c r="Q38" s="222">
        <f>'0. Database'!R23</f>
        <v/>
      </c>
      <c r="R38" s="222">
        <f>'0. Database'!S23</f>
        <v/>
      </c>
      <c r="S38" s="222">
        <f>'0. Database'!T23</f>
        <v/>
      </c>
    </row>
    <row r="39" ht="15" customHeight="1" s="197">
      <c r="A39" s="221" t="inlineStr">
        <is>
          <t>GOOGL</t>
        </is>
      </c>
      <c r="B39" s="222">
        <f>'0. Database'!C38</f>
        <v/>
      </c>
      <c r="C39" s="222">
        <f>'0. Database'!D38</f>
        <v/>
      </c>
      <c r="D39" s="222">
        <f>'0. Database'!E38</f>
        <v/>
      </c>
      <c r="E39" s="222">
        <f>'0. Database'!F38</f>
        <v/>
      </c>
      <c r="F39" s="222">
        <f>'0. Database'!G38</f>
        <v/>
      </c>
      <c r="G39" s="222">
        <f>'0. Database'!H38</f>
        <v/>
      </c>
      <c r="H39" s="222">
        <f>'0. Database'!I38</f>
        <v/>
      </c>
      <c r="I39" s="222">
        <f>'0. Database'!J38</f>
        <v/>
      </c>
      <c r="J39" s="222">
        <f>'0. Database'!K38</f>
        <v/>
      </c>
      <c r="K39" s="222">
        <f>'0. Database'!L38</f>
        <v/>
      </c>
      <c r="L39" s="222">
        <f>'0. Database'!M38</f>
        <v/>
      </c>
      <c r="M39" s="222">
        <f>'0. Database'!N38</f>
        <v/>
      </c>
      <c r="N39" s="222">
        <f>'0. Database'!O38</f>
        <v/>
      </c>
      <c r="O39" s="222">
        <f>'0. Database'!P38</f>
        <v/>
      </c>
      <c r="P39" s="222">
        <f>'0. Database'!Q38</f>
        <v/>
      </c>
      <c r="Q39" s="222">
        <f>'0. Database'!R38</f>
        <v/>
      </c>
      <c r="R39" s="222">
        <f>'0. Database'!S38</f>
        <v/>
      </c>
      <c r="S39" s="222">
        <f>'0. Database'!T38</f>
        <v/>
      </c>
    </row>
    <row r="40" ht="15" customHeight="1" s="197">
      <c r="A40" s="221" t="inlineStr">
        <is>
          <t>META</t>
        </is>
      </c>
      <c r="B40" s="222">
        <f>'0. Database'!C55</f>
        <v/>
      </c>
      <c r="C40" s="222">
        <f>'0. Database'!D55</f>
        <v/>
      </c>
      <c r="D40" s="222">
        <f>'0. Database'!E55</f>
        <v/>
      </c>
      <c r="E40" s="222">
        <f>'0. Database'!F55</f>
        <v/>
      </c>
      <c r="F40" s="222">
        <f>'0. Database'!G55</f>
        <v/>
      </c>
      <c r="G40" s="222">
        <f>'0. Database'!H55</f>
        <v/>
      </c>
      <c r="H40" s="222">
        <f>'0. Database'!I55</f>
        <v/>
      </c>
      <c r="I40" s="222">
        <f>'0. Database'!J55</f>
        <v/>
      </c>
      <c r="J40" s="222">
        <f>'0. Database'!K55</f>
        <v/>
      </c>
      <c r="K40" s="222">
        <f>'0. Database'!L55</f>
        <v/>
      </c>
      <c r="L40" s="222">
        <f>'0. Database'!M55</f>
        <v/>
      </c>
      <c r="M40" s="222">
        <f>'0. Database'!N55</f>
        <v/>
      </c>
      <c r="N40" s="222">
        <f>'0. Database'!O55</f>
        <v/>
      </c>
      <c r="O40" s="222">
        <f>'0. Database'!P55</f>
        <v/>
      </c>
      <c r="P40" s="222">
        <f>'0. Database'!Q55</f>
        <v/>
      </c>
      <c r="Q40" s="222">
        <f>'0. Database'!R55</f>
        <v/>
      </c>
      <c r="R40" s="222">
        <f>'0. Database'!S55</f>
        <v/>
      </c>
      <c r="S40" s="222">
        <f>'0. Database'!T55</f>
        <v/>
      </c>
    </row>
    <row r="41" ht="15" customHeight="1" s="197">
      <c r="A41" s="221" t="inlineStr">
        <is>
          <t>ORCL</t>
        </is>
      </c>
      <c r="B41" s="222">
        <f>'0. Database'!C73</f>
        <v/>
      </c>
      <c r="C41" s="222">
        <f>'0. Database'!D73</f>
        <v/>
      </c>
      <c r="D41" s="222">
        <f>'0. Database'!E73</f>
        <v/>
      </c>
      <c r="E41" s="222">
        <f>'0. Database'!F73</f>
        <v/>
      </c>
      <c r="F41" s="222">
        <f>'0. Database'!G73</f>
        <v/>
      </c>
      <c r="G41" s="222">
        <f>'0. Database'!H73</f>
        <v/>
      </c>
      <c r="H41" s="222">
        <f>'0. Database'!I73</f>
        <v/>
      </c>
      <c r="I41" s="222">
        <f>'0. Database'!J73</f>
        <v/>
      </c>
      <c r="J41" s="222">
        <f>'0. Database'!K73</f>
        <v/>
      </c>
      <c r="K41" s="222">
        <f>'0. Database'!L73</f>
        <v/>
      </c>
      <c r="L41" s="222">
        <f>'0. Database'!M73</f>
        <v/>
      </c>
      <c r="M41" s="222">
        <f>'0. Database'!N73</f>
        <v/>
      </c>
      <c r="N41" s="222">
        <f>'0. Database'!O73</f>
        <v/>
      </c>
      <c r="O41" s="222">
        <f>'0. Database'!P73</f>
        <v/>
      </c>
      <c r="P41" s="222">
        <f>'0. Database'!Q73</f>
        <v/>
      </c>
      <c r="Q41" s="222">
        <f>'0. Database'!R73</f>
        <v/>
      </c>
      <c r="R41" s="222">
        <f>'0. Database'!S73</f>
        <v/>
      </c>
      <c r="S41" s="222">
        <f>'0. Database'!T73</f>
        <v/>
      </c>
    </row>
    <row r="43" ht="15" customHeight="1" s="197">
      <c r="A43" s="219" t="inlineStr">
        <is>
          <t>(Capex)</t>
        </is>
      </c>
    </row>
    <row r="44" ht="15" customHeight="1" s="197">
      <c r="A44" s="220" t="inlineStr">
        <is>
          <t>Company</t>
        </is>
      </c>
      <c r="B44" s="201" t="inlineStr">
        <is>
          <t>2013A</t>
        </is>
      </c>
      <c r="C44" s="201" t="inlineStr">
        <is>
          <t>2014A</t>
        </is>
      </c>
      <c r="D44" s="201" t="inlineStr">
        <is>
          <t>2015A</t>
        </is>
      </c>
      <c r="E44" s="201" t="inlineStr">
        <is>
          <t>2016A</t>
        </is>
      </c>
      <c r="F44" s="201" t="inlineStr">
        <is>
          <t>2017A</t>
        </is>
      </c>
      <c r="G44" s="201" t="inlineStr">
        <is>
          <t>2018A</t>
        </is>
      </c>
      <c r="H44" s="201" t="inlineStr">
        <is>
          <t>2019A</t>
        </is>
      </c>
      <c r="I44" s="201" t="inlineStr">
        <is>
          <t>2020A</t>
        </is>
      </c>
      <c r="J44" s="201" t="inlineStr">
        <is>
          <t>2021A</t>
        </is>
      </c>
      <c r="K44" s="201" t="inlineStr">
        <is>
          <t>2022A</t>
        </is>
      </c>
      <c r="L44" s="201" t="inlineStr">
        <is>
          <t>2023A</t>
        </is>
      </c>
      <c r="M44" s="201" t="inlineStr">
        <is>
          <t>2024A</t>
        </is>
      </c>
      <c r="N44" s="201" t="inlineStr">
        <is>
          <t>2025E</t>
        </is>
      </c>
      <c r="O44" s="201" t="inlineStr">
        <is>
          <t>2026E</t>
        </is>
      </c>
      <c r="P44" s="201" t="inlineStr">
        <is>
          <t>2027E</t>
        </is>
      </c>
      <c r="Q44" s="201" t="inlineStr">
        <is>
          <t>2028E</t>
        </is>
      </c>
      <c r="R44" s="201" t="inlineStr">
        <is>
          <t>2029E</t>
        </is>
      </c>
      <c r="S44" s="201" t="inlineStr">
        <is>
          <t>2030E</t>
        </is>
      </c>
    </row>
    <row r="45" ht="15" customHeight="1" s="197">
      <c r="A45" s="221" t="inlineStr">
        <is>
          <t>MSFT</t>
        </is>
      </c>
      <c r="B45" s="222">
        <f>'0. Database'!C12</f>
        <v/>
      </c>
      <c r="C45" s="222">
        <f>'0. Database'!D12</f>
        <v/>
      </c>
      <c r="D45" s="222">
        <f>'0. Database'!E12</f>
        <v/>
      </c>
      <c r="E45" s="222">
        <f>'0. Database'!F12</f>
        <v/>
      </c>
      <c r="F45" s="222">
        <f>'0. Database'!G12</f>
        <v/>
      </c>
      <c r="G45" s="222">
        <f>'0. Database'!H12</f>
        <v/>
      </c>
      <c r="H45" s="222">
        <f>'0. Database'!I12</f>
        <v/>
      </c>
      <c r="I45" s="222">
        <f>'0. Database'!J12</f>
        <v/>
      </c>
      <c r="J45" s="222">
        <f>'0. Database'!K12</f>
        <v/>
      </c>
      <c r="K45" s="222">
        <f>'0. Database'!L12</f>
        <v/>
      </c>
      <c r="L45" s="222">
        <f>'0. Database'!M12</f>
        <v/>
      </c>
      <c r="M45" s="222">
        <f>'0. Database'!N12</f>
        <v/>
      </c>
      <c r="N45" s="222">
        <f>'0. Database'!O12</f>
        <v/>
      </c>
      <c r="O45" s="222">
        <f>'0. Database'!P12</f>
        <v/>
      </c>
      <c r="P45" s="222">
        <f>'0. Database'!Q12</f>
        <v/>
      </c>
      <c r="Q45" s="222">
        <f>'0. Database'!R12</f>
        <v/>
      </c>
      <c r="R45" s="222">
        <f>'0. Database'!S12</f>
        <v/>
      </c>
      <c r="S45" s="222">
        <f>'0. Database'!T12</f>
        <v/>
      </c>
    </row>
    <row r="46" ht="15" customHeight="1" s="197">
      <c r="A46" s="221" t="inlineStr">
        <is>
          <t>AMZN</t>
        </is>
      </c>
      <c r="B46" s="222">
        <f>'0. Database'!C28</f>
        <v/>
      </c>
      <c r="C46" s="222">
        <f>'0. Database'!D28</f>
        <v/>
      </c>
      <c r="D46" s="222">
        <f>'0. Database'!E28</f>
        <v/>
      </c>
      <c r="E46" s="222">
        <f>'0. Database'!F28</f>
        <v/>
      </c>
      <c r="F46" s="222">
        <f>'0. Database'!G28</f>
        <v/>
      </c>
      <c r="G46" s="222">
        <f>'0. Database'!H28</f>
        <v/>
      </c>
      <c r="H46" s="222">
        <f>'0. Database'!I28</f>
        <v/>
      </c>
      <c r="I46" s="222">
        <f>'0. Database'!J28</f>
        <v/>
      </c>
      <c r="J46" s="222">
        <f>'0. Database'!K28</f>
        <v/>
      </c>
      <c r="K46" s="222">
        <f>'0. Database'!L28</f>
        <v/>
      </c>
      <c r="L46" s="222">
        <f>'0. Database'!M28</f>
        <v/>
      </c>
      <c r="M46" s="222">
        <f>'0. Database'!N28</f>
        <v/>
      </c>
      <c r="N46" s="222">
        <f>'0. Database'!O28</f>
        <v/>
      </c>
      <c r="O46" s="222">
        <f>'0. Database'!P28</f>
        <v/>
      </c>
      <c r="P46" s="222">
        <f>'0. Database'!Q28</f>
        <v/>
      </c>
      <c r="Q46" s="222">
        <f>'0. Database'!R28</f>
        <v/>
      </c>
      <c r="R46" s="222">
        <f>'0. Database'!S28</f>
        <v/>
      </c>
      <c r="S46" s="222">
        <f>'0. Database'!T28</f>
        <v/>
      </c>
    </row>
    <row r="47" ht="15" customHeight="1" s="197">
      <c r="A47" s="221" t="inlineStr">
        <is>
          <t>GOOGL</t>
        </is>
      </c>
      <c r="B47" s="222">
        <f>'0. Database'!C43</f>
        <v/>
      </c>
      <c r="C47" s="222">
        <f>'0. Database'!D43</f>
        <v/>
      </c>
      <c r="D47" s="222">
        <f>'0. Database'!E43</f>
        <v/>
      </c>
      <c r="E47" s="222">
        <f>'0. Database'!F43</f>
        <v/>
      </c>
      <c r="F47" s="222">
        <f>'0. Database'!G43</f>
        <v/>
      </c>
      <c r="G47" s="222">
        <f>'0. Database'!H43</f>
        <v/>
      </c>
      <c r="H47" s="222">
        <f>'0. Database'!I43</f>
        <v/>
      </c>
      <c r="I47" s="222">
        <f>'0. Database'!J43</f>
        <v/>
      </c>
      <c r="J47" s="222">
        <f>'0. Database'!K43</f>
        <v/>
      </c>
      <c r="K47" s="222">
        <f>'0. Database'!L43</f>
        <v/>
      </c>
      <c r="L47" s="222">
        <f>'0. Database'!M43</f>
        <v/>
      </c>
      <c r="M47" s="222">
        <f>'0. Database'!N43</f>
        <v/>
      </c>
      <c r="N47" s="222">
        <f>'0. Database'!O43</f>
        <v/>
      </c>
      <c r="O47" s="222">
        <f>'0. Database'!P43</f>
        <v/>
      </c>
      <c r="P47" s="222">
        <f>'0. Database'!Q43</f>
        <v/>
      </c>
      <c r="Q47" s="222">
        <f>'0. Database'!R43</f>
        <v/>
      </c>
      <c r="R47" s="222">
        <f>'0. Database'!S43</f>
        <v/>
      </c>
      <c r="S47" s="222">
        <f>'0. Database'!T43</f>
        <v/>
      </c>
    </row>
    <row r="48" ht="15" customHeight="1" s="197">
      <c r="A48" s="221" t="inlineStr">
        <is>
          <t>META</t>
        </is>
      </c>
      <c r="B48" s="222">
        <f>'0. Database'!C60</f>
        <v/>
      </c>
      <c r="C48" s="222">
        <f>'0. Database'!D60</f>
        <v/>
      </c>
      <c r="D48" s="222">
        <f>'0. Database'!E60</f>
        <v/>
      </c>
      <c r="E48" s="222">
        <f>'0. Database'!F60</f>
        <v/>
      </c>
      <c r="F48" s="222">
        <f>'0. Database'!G60</f>
        <v/>
      </c>
      <c r="G48" s="222">
        <f>'0. Database'!H60</f>
        <v/>
      </c>
      <c r="H48" s="222">
        <f>'0. Database'!I60</f>
        <v/>
      </c>
      <c r="I48" s="222">
        <f>'0. Database'!J60</f>
        <v/>
      </c>
      <c r="J48" s="222">
        <f>'0. Database'!K60</f>
        <v/>
      </c>
      <c r="K48" s="222">
        <f>'0. Database'!L60</f>
        <v/>
      </c>
      <c r="L48" s="222">
        <f>'0. Database'!M60</f>
        <v/>
      </c>
      <c r="M48" s="222">
        <f>'0. Database'!N60</f>
        <v/>
      </c>
      <c r="N48" s="222">
        <f>'0. Database'!O60</f>
        <v/>
      </c>
      <c r="O48" s="222">
        <f>'0. Database'!P60</f>
        <v/>
      </c>
      <c r="P48" s="222">
        <f>'0. Database'!Q60</f>
        <v/>
      </c>
      <c r="Q48" s="222">
        <f>'0. Database'!R60</f>
        <v/>
      </c>
      <c r="R48" s="222">
        <f>'0. Database'!S60</f>
        <v/>
      </c>
      <c r="S48" s="222">
        <f>'0. Database'!T60</f>
        <v/>
      </c>
    </row>
    <row r="49" ht="15" customHeight="1" s="197">
      <c r="A49" s="221" t="inlineStr">
        <is>
          <t>ORCL</t>
        </is>
      </c>
      <c r="B49" s="222">
        <f>'0. Database'!C78</f>
        <v/>
      </c>
      <c r="C49" s="222">
        <f>'0. Database'!D78</f>
        <v/>
      </c>
      <c r="D49" s="222">
        <f>'0. Database'!E78</f>
        <v/>
      </c>
      <c r="E49" s="222">
        <f>'0. Database'!F78</f>
        <v/>
      </c>
      <c r="F49" s="222">
        <f>'0. Database'!G78</f>
        <v/>
      </c>
      <c r="G49" s="222">
        <f>'0. Database'!H78</f>
        <v/>
      </c>
      <c r="H49" s="222">
        <f>'0. Database'!I78</f>
        <v/>
      </c>
      <c r="I49" s="222">
        <f>'0. Database'!J78</f>
        <v/>
      </c>
      <c r="J49" s="222">
        <f>'0. Database'!K78</f>
        <v/>
      </c>
      <c r="K49" s="222">
        <f>'0. Database'!L78</f>
        <v/>
      </c>
      <c r="L49" s="222">
        <f>'0. Database'!M78</f>
        <v/>
      </c>
      <c r="M49" s="222">
        <f>'0. Database'!N78</f>
        <v/>
      </c>
      <c r="N49" s="222">
        <f>'0. Database'!O78</f>
        <v/>
      </c>
      <c r="O49" s="222">
        <f>'0. Database'!P78</f>
        <v/>
      </c>
      <c r="P49" s="222">
        <f>'0. Database'!Q78</f>
        <v/>
      </c>
      <c r="Q49" s="222">
        <f>'0. Database'!R78</f>
        <v/>
      </c>
      <c r="R49" s="222">
        <f>'0. Database'!S78</f>
        <v/>
      </c>
      <c r="S49" s="222">
        <f>'0. Database'!T78</f>
        <v/>
      </c>
    </row>
    <row r="51" ht="15" customHeight="1" s="197">
      <c r="A51" s="219" t="inlineStr">
        <is>
          <t>C. Free Cash FlowMargin %</t>
        </is>
      </c>
    </row>
    <row r="52" ht="15" customHeight="1" s="197">
      <c r="A52" s="220" t="inlineStr">
        <is>
          <t>Company</t>
        </is>
      </c>
      <c r="B52" s="201" t="inlineStr">
        <is>
          <t>2013A</t>
        </is>
      </c>
      <c r="C52" s="201" t="inlineStr">
        <is>
          <t>2014A</t>
        </is>
      </c>
      <c r="D52" s="201" t="inlineStr">
        <is>
          <t>2015A</t>
        </is>
      </c>
      <c r="E52" s="201" t="inlineStr">
        <is>
          <t>2016A</t>
        </is>
      </c>
      <c r="F52" s="201" t="inlineStr">
        <is>
          <t>2017A</t>
        </is>
      </c>
      <c r="G52" s="201" t="inlineStr">
        <is>
          <t>2018A</t>
        </is>
      </c>
      <c r="H52" s="201" t="inlineStr">
        <is>
          <t>2019A</t>
        </is>
      </c>
      <c r="I52" s="201" t="inlineStr">
        <is>
          <t>2020A</t>
        </is>
      </c>
      <c r="J52" s="201" t="inlineStr">
        <is>
          <t>2021A</t>
        </is>
      </c>
      <c r="K52" s="201" t="inlineStr">
        <is>
          <t>2022A</t>
        </is>
      </c>
      <c r="L52" s="201" t="inlineStr">
        <is>
          <t>2023A</t>
        </is>
      </c>
      <c r="M52" s="201" t="inlineStr">
        <is>
          <t>2024A</t>
        </is>
      </c>
      <c r="N52" s="201" t="inlineStr">
        <is>
          <t>2025E</t>
        </is>
      </c>
      <c r="O52" s="201" t="inlineStr">
        <is>
          <t>2026E</t>
        </is>
      </c>
      <c r="P52" s="201" t="inlineStr">
        <is>
          <t>2027E</t>
        </is>
      </c>
      <c r="Q52" s="201" t="inlineStr">
        <is>
          <t>2028E</t>
        </is>
      </c>
      <c r="R52" s="201" t="inlineStr">
        <is>
          <t>2029E</t>
        </is>
      </c>
      <c r="S52" s="201" t="inlineStr">
        <is>
          <t>2030E</t>
        </is>
      </c>
    </row>
    <row r="53" ht="15" customHeight="1" s="197">
      <c r="A53" s="221" t="inlineStr">
        <is>
          <t>MSFT</t>
        </is>
      </c>
      <c r="B53" s="225">
        <f>IFERROR(B13/B29,"")</f>
        <v/>
      </c>
      <c r="C53" s="225">
        <f>IFERROR(C13/C29,"")</f>
        <v/>
      </c>
      <c r="D53" s="225">
        <f>IFERROR(D13/D29,"")</f>
        <v/>
      </c>
      <c r="E53" s="225">
        <f>IFERROR(E13/E29,"")</f>
        <v/>
      </c>
      <c r="F53" s="225">
        <f>IFERROR(F13/F29,"")</f>
        <v/>
      </c>
      <c r="G53" s="225">
        <f>IFERROR(G13/G29,"")</f>
        <v/>
      </c>
      <c r="H53" s="225">
        <f>IFERROR(H13/H29,"")</f>
        <v/>
      </c>
      <c r="I53" s="225">
        <f>IFERROR(I13/I29,"")</f>
        <v/>
      </c>
      <c r="J53" s="225">
        <f>IFERROR(J13/J29,"")</f>
        <v/>
      </c>
      <c r="K53" s="225">
        <f>IFERROR(K13/K29,"")</f>
        <v/>
      </c>
      <c r="L53" s="225">
        <f>IFERROR(L13/L29,"")</f>
        <v/>
      </c>
      <c r="M53" s="225">
        <f>IFERROR(M13/M29,"")</f>
        <v/>
      </c>
      <c r="N53" s="225">
        <f>IFERROR(N13/N29,"")</f>
        <v/>
      </c>
      <c r="O53" s="225">
        <f>IFERROR(O13/O29,"")</f>
        <v/>
      </c>
      <c r="P53" s="225">
        <f>IFERROR(P13/P29,"")</f>
        <v/>
      </c>
      <c r="Q53" s="225">
        <f>IFERROR(Q13/Q29,"")</f>
        <v/>
      </c>
      <c r="R53" s="225">
        <f>IFERROR(R13/R29,"")</f>
        <v/>
      </c>
      <c r="S53" s="225">
        <f>IFERROR(S13/S29,"")</f>
        <v/>
      </c>
    </row>
    <row r="54" ht="15" customHeight="1" s="197">
      <c r="A54" s="221" t="inlineStr">
        <is>
          <t>AMZN</t>
        </is>
      </c>
      <c r="B54" s="225">
        <f>IFERROR(B14/B30,"")</f>
        <v/>
      </c>
      <c r="C54" s="225">
        <f>IFERROR(C14/C30,"")</f>
        <v/>
      </c>
      <c r="D54" s="225">
        <f>IFERROR(D14/D30,"")</f>
        <v/>
      </c>
      <c r="E54" s="225">
        <f>IFERROR(E14/E30,"")</f>
        <v/>
      </c>
      <c r="F54" s="225">
        <f>IFERROR(F14/F30,"")</f>
        <v/>
      </c>
      <c r="G54" s="225">
        <f>IFERROR(G14/G30,"")</f>
        <v/>
      </c>
      <c r="H54" s="225">
        <f>IFERROR(H14/H30,"")</f>
        <v/>
      </c>
      <c r="I54" s="225">
        <f>IFERROR(I14/I30,"")</f>
        <v/>
      </c>
      <c r="J54" s="225">
        <f>IFERROR(J14/J30,"")</f>
        <v/>
      </c>
      <c r="K54" s="225">
        <f>IFERROR(K14/K30,"")</f>
        <v/>
      </c>
      <c r="L54" s="225">
        <f>IFERROR(L14/L30,"")</f>
        <v/>
      </c>
      <c r="M54" s="225">
        <f>IFERROR(M14/M30,"")</f>
        <v/>
      </c>
      <c r="N54" s="225">
        <f>IFERROR(N14/N30,"")</f>
        <v/>
      </c>
      <c r="O54" s="225">
        <f>IFERROR(O14/O30,"")</f>
        <v/>
      </c>
      <c r="P54" s="225">
        <f>IFERROR(P14/P30,"")</f>
        <v/>
      </c>
      <c r="Q54" s="225">
        <f>IFERROR(Q14/Q30,"")</f>
        <v/>
      </c>
      <c r="R54" s="225">
        <f>IFERROR(R14/R30,"")</f>
        <v/>
      </c>
      <c r="S54" s="225">
        <f>IFERROR(S14/S30,"")</f>
        <v/>
      </c>
    </row>
    <row r="55" ht="15" customHeight="1" s="197">
      <c r="A55" s="221" t="inlineStr">
        <is>
          <t>GOOGL</t>
        </is>
      </c>
      <c r="B55" s="225">
        <f>IFERROR(B15/B31,"")</f>
        <v/>
      </c>
      <c r="C55" s="225">
        <f>IFERROR(C15/C31,"")</f>
        <v/>
      </c>
      <c r="D55" s="225">
        <f>IFERROR(D15/D31,"")</f>
        <v/>
      </c>
      <c r="E55" s="225">
        <f>IFERROR(E15/E31,"")</f>
        <v/>
      </c>
      <c r="F55" s="225">
        <f>IFERROR(F15/F31,"")</f>
        <v/>
      </c>
      <c r="G55" s="225">
        <f>IFERROR(G15/G31,"")</f>
        <v/>
      </c>
      <c r="H55" s="225">
        <f>IFERROR(H15/H31,"")</f>
        <v/>
      </c>
      <c r="I55" s="225">
        <f>IFERROR(I15/I31,"")</f>
        <v/>
      </c>
      <c r="J55" s="225">
        <f>IFERROR(J15/J31,"")</f>
        <v/>
      </c>
      <c r="K55" s="225">
        <f>IFERROR(K15/K31,"")</f>
        <v/>
      </c>
      <c r="L55" s="225">
        <f>IFERROR(L15/L31,"")</f>
        <v/>
      </c>
      <c r="M55" s="225">
        <f>IFERROR(M15/M31,"")</f>
        <v/>
      </c>
      <c r="N55" s="225">
        <f>IFERROR(N15/N31,"")</f>
        <v/>
      </c>
      <c r="O55" s="225">
        <f>IFERROR(O15/O31,"")</f>
        <v/>
      </c>
      <c r="P55" s="225">
        <f>IFERROR(P15/P31,"")</f>
        <v/>
      </c>
      <c r="Q55" s="225">
        <f>IFERROR(Q15/Q31,"")</f>
        <v/>
      </c>
      <c r="R55" s="225">
        <f>IFERROR(R15/R31,"")</f>
        <v/>
      </c>
      <c r="S55" s="225">
        <f>IFERROR(S15/S31,"")</f>
        <v/>
      </c>
    </row>
    <row r="56" ht="15" customHeight="1" s="197">
      <c r="A56" s="221" t="inlineStr">
        <is>
          <t>META</t>
        </is>
      </c>
      <c r="B56" s="225">
        <f>IFERROR(B16/B32,"")</f>
        <v/>
      </c>
      <c r="C56" s="225">
        <f>IFERROR(C16/C32,"")</f>
        <v/>
      </c>
      <c r="D56" s="225">
        <f>IFERROR(D16/D32,"")</f>
        <v/>
      </c>
      <c r="E56" s="225">
        <f>IFERROR(E16/E32,"")</f>
        <v/>
      </c>
      <c r="F56" s="225">
        <f>IFERROR(F16/F32,"")</f>
        <v/>
      </c>
      <c r="G56" s="225">
        <f>IFERROR(G16/G32,"")</f>
        <v/>
      </c>
      <c r="H56" s="225">
        <f>IFERROR(H16/H32,"")</f>
        <v/>
      </c>
      <c r="I56" s="225">
        <f>IFERROR(I16/I32,"")</f>
        <v/>
      </c>
      <c r="J56" s="225">
        <f>IFERROR(J16/J32,"")</f>
        <v/>
      </c>
      <c r="K56" s="225">
        <f>IFERROR(K16/K32,"")</f>
        <v/>
      </c>
      <c r="L56" s="225">
        <f>IFERROR(L16/L32,"")</f>
        <v/>
      </c>
      <c r="M56" s="225">
        <f>IFERROR(M16/M32,"")</f>
        <v/>
      </c>
      <c r="N56" s="225">
        <f>IFERROR(N16/N32,"")</f>
        <v/>
      </c>
      <c r="O56" s="225">
        <f>IFERROR(O16/O32,"")</f>
        <v/>
      </c>
      <c r="P56" s="225">
        <f>IFERROR(P16/P32,"")</f>
        <v/>
      </c>
      <c r="Q56" s="225">
        <f>IFERROR(Q16/Q32,"")</f>
        <v/>
      </c>
      <c r="R56" s="225">
        <f>IFERROR(R16/R32,"")</f>
        <v/>
      </c>
      <c r="S56" s="225">
        <f>IFERROR(S16/S32,"")</f>
        <v/>
      </c>
    </row>
    <row r="57" ht="15" customHeight="1" s="197">
      <c r="A57" s="221" t="inlineStr">
        <is>
          <t>ORCL</t>
        </is>
      </c>
      <c r="B57" s="225">
        <f>IFERROR(B17/B33,"")</f>
        <v/>
      </c>
      <c r="C57" s="225">
        <f>IFERROR(C17/C33,"")</f>
        <v/>
      </c>
      <c r="D57" s="225">
        <f>IFERROR(D17/D33,"")</f>
        <v/>
      </c>
      <c r="E57" s="225">
        <f>IFERROR(E17/E33,"")</f>
        <v/>
      </c>
      <c r="F57" s="225">
        <f>IFERROR(F17/F33,"")</f>
        <v/>
      </c>
      <c r="G57" s="225">
        <f>IFERROR(G17/G33,"")</f>
        <v/>
      </c>
      <c r="H57" s="225">
        <f>IFERROR(H17/H33,"")</f>
        <v/>
      </c>
      <c r="I57" s="225">
        <f>IFERROR(I17/I33,"")</f>
        <v/>
      </c>
      <c r="J57" s="225">
        <f>IFERROR(J17/J33,"")</f>
        <v/>
      </c>
      <c r="K57" s="225">
        <f>IFERROR(K17/K33,"")</f>
        <v/>
      </c>
      <c r="L57" s="225">
        <f>IFERROR(L17/L33,"")</f>
        <v/>
      </c>
      <c r="M57" s="225">
        <f>IFERROR(M17/M33,"")</f>
        <v/>
      </c>
      <c r="N57" s="225">
        <f>IFERROR(N17/N33,"")</f>
        <v/>
      </c>
      <c r="O57" s="225">
        <f>IFERROR(O17/O33,"")</f>
        <v/>
      </c>
      <c r="P57" s="225">
        <f>IFERROR(P17/P33,"")</f>
        <v/>
      </c>
      <c r="Q57" s="225">
        <f>IFERROR(Q17/Q33,"")</f>
        <v/>
      </c>
      <c r="R57" s="225">
        <f>IFERROR(R17/R33,"")</f>
        <v/>
      </c>
      <c r="S57" s="225">
        <f>IFERROR(S17/S33,"")</f>
        <v/>
      </c>
    </row>
    <row r="59" ht="15" customHeight="1" s="197">
      <c r="A59" s="219" t="inlineStr">
        <is>
          <t>D. FCF / Net Income %</t>
        </is>
      </c>
    </row>
    <row r="60" ht="15" customHeight="1" s="197">
      <c r="A60" s="220" t="inlineStr">
        <is>
          <t>Company</t>
        </is>
      </c>
      <c r="B60" s="201" t="inlineStr">
        <is>
          <t>2013A</t>
        </is>
      </c>
      <c r="C60" s="201" t="inlineStr">
        <is>
          <t>2014A</t>
        </is>
      </c>
      <c r="D60" s="201" t="inlineStr">
        <is>
          <t>2015A</t>
        </is>
      </c>
      <c r="E60" s="201" t="inlineStr">
        <is>
          <t>2016A</t>
        </is>
      </c>
      <c r="F60" s="201" t="inlineStr">
        <is>
          <t>2017A</t>
        </is>
      </c>
      <c r="G60" s="201" t="inlineStr">
        <is>
          <t>2018A</t>
        </is>
      </c>
      <c r="H60" s="201" t="inlineStr">
        <is>
          <t>2019A</t>
        </is>
      </c>
      <c r="I60" s="201" t="inlineStr">
        <is>
          <t>2020A</t>
        </is>
      </c>
      <c r="J60" s="201" t="inlineStr">
        <is>
          <t>2021A</t>
        </is>
      </c>
      <c r="K60" s="201" t="inlineStr">
        <is>
          <t>2022A</t>
        </is>
      </c>
      <c r="L60" s="201" t="inlineStr">
        <is>
          <t>2023A</t>
        </is>
      </c>
      <c r="M60" s="201" t="inlineStr">
        <is>
          <t>2024A</t>
        </is>
      </c>
      <c r="N60" s="201" t="inlineStr">
        <is>
          <t>2025E</t>
        </is>
      </c>
      <c r="O60" s="201" t="inlineStr">
        <is>
          <t>2026E</t>
        </is>
      </c>
      <c r="P60" s="201" t="inlineStr">
        <is>
          <t>2027E</t>
        </is>
      </c>
      <c r="Q60" s="201" t="inlineStr">
        <is>
          <t>2028E</t>
        </is>
      </c>
      <c r="R60" s="201" t="inlineStr">
        <is>
          <t>2029E</t>
        </is>
      </c>
      <c r="S60" s="201" t="inlineStr">
        <is>
          <t>2030E</t>
        </is>
      </c>
    </row>
    <row r="61" ht="15" customHeight="1" s="197">
      <c r="A61" s="221" t="inlineStr">
        <is>
          <t>MSFT</t>
        </is>
      </c>
      <c r="B61" s="225">
        <f>IFERROR(B13/B37,"")</f>
        <v/>
      </c>
      <c r="C61" s="225">
        <f>IFERROR(C13/C37,"")</f>
        <v/>
      </c>
      <c r="D61" s="225">
        <f>IFERROR(D13/D37,"")</f>
        <v/>
      </c>
      <c r="E61" s="225">
        <f>IFERROR(E13/E37,"")</f>
        <v/>
      </c>
      <c r="F61" s="225">
        <f>IFERROR(F13/F37,"")</f>
        <v/>
      </c>
      <c r="G61" s="225">
        <f>IFERROR(G13/G37,"")</f>
        <v/>
      </c>
      <c r="H61" s="225">
        <f>IFERROR(H13/H37,"")</f>
        <v/>
      </c>
      <c r="I61" s="225">
        <f>IFERROR(I13/I37,"")</f>
        <v/>
      </c>
      <c r="J61" s="225">
        <f>IFERROR(J13/J37,"")</f>
        <v/>
      </c>
      <c r="K61" s="225">
        <f>IFERROR(K13/K37,"")</f>
        <v/>
      </c>
      <c r="L61" s="225">
        <f>IFERROR(L13/L37,"")</f>
        <v/>
      </c>
      <c r="M61" s="225">
        <f>IFERROR(M13/M37,"")</f>
        <v/>
      </c>
      <c r="N61" s="225">
        <f>IFERROR(N13/N37,"")</f>
        <v/>
      </c>
      <c r="O61" s="225">
        <f>IFERROR(O13/O37,"")</f>
        <v/>
      </c>
      <c r="P61" s="225">
        <f>IFERROR(P13/P37,"")</f>
        <v/>
      </c>
      <c r="Q61" s="225">
        <f>IFERROR(Q13/Q37,"")</f>
        <v/>
      </c>
      <c r="R61" s="225">
        <f>IFERROR(R13/R37,"")</f>
        <v/>
      </c>
      <c r="S61" s="225">
        <f>IFERROR(S13/S37,"")</f>
        <v/>
      </c>
    </row>
    <row r="62" ht="15" customHeight="1" s="197">
      <c r="A62" s="221" t="inlineStr">
        <is>
          <t>AMZN</t>
        </is>
      </c>
      <c r="B62" s="225">
        <f>IFERROR(B14/B38,"")</f>
        <v/>
      </c>
      <c r="C62" s="225">
        <f>IFERROR(C14/C38,"")</f>
        <v/>
      </c>
      <c r="D62" s="225">
        <f>IFERROR(D14/D38,"")</f>
        <v/>
      </c>
      <c r="E62" s="225">
        <f>IFERROR(E14/E38,"")</f>
        <v/>
      </c>
      <c r="F62" s="225">
        <f>IFERROR(F14/F38,"")</f>
        <v/>
      </c>
      <c r="G62" s="225">
        <f>IFERROR(G14/G38,"")</f>
        <v/>
      </c>
      <c r="H62" s="225">
        <f>IFERROR(H14/H38,"")</f>
        <v/>
      </c>
      <c r="I62" s="225">
        <f>IFERROR(I14/I38,"")</f>
        <v/>
      </c>
      <c r="J62" s="225">
        <f>IFERROR(J14/J38,"")</f>
        <v/>
      </c>
      <c r="K62" s="225">
        <f>IFERROR(K14/K38,"")</f>
        <v/>
      </c>
      <c r="L62" s="225">
        <f>IFERROR(L14/L38,"")</f>
        <v/>
      </c>
      <c r="M62" s="225">
        <f>IFERROR(M14/M38,"")</f>
        <v/>
      </c>
      <c r="N62" s="225">
        <f>IFERROR(N14/N38,"")</f>
        <v/>
      </c>
      <c r="O62" s="225">
        <f>IFERROR(O14/O38,"")</f>
        <v/>
      </c>
      <c r="P62" s="225">
        <f>IFERROR(P14/P38,"")</f>
        <v/>
      </c>
      <c r="Q62" s="225">
        <f>IFERROR(Q14/Q38,"")</f>
        <v/>
      </c>
      <c r="R62" s="225">
        <f>IFERROR(R14/R38,"")</f>
        <v/>
      </c>
      <c r="S62" s="225">
        <f>IFERROR(S14/S38,"")</f>
        <v/>
      </c>
    </row>
    <row r="63" ht="15" customHeight="1" s="197">
      <c r="A63" s="221" t="inlineStr">
        <is>
          <t>GOOGL</t>
        </is>
      </c>
      <c r="B63" s="225">
        <f>IFERROR(B15/B39,"")</f>
        <v/>
      </c>
      <c r="C63" s="225">
        <f>IFERROR(C15/C39,"")</f>
        <v/>
      </c>
      <c r="D63" s="225">
        <f>IFERROR(D15/D39,"")</f>
        <v/>
      </c>
      <c r="E63" s="225">
        <f>IFERROR(E15/E39,"")</f>
        <v/>
      </c>
      <c r="F63" s="225">
        <f>IFERROR(F15/F39,"")</f>
        <v/>
      </c>
      <c r="G63" s="225">
        <f>IFERROR(G15/G39,"")</f>
        <v/>
      </c>
      <c r="H63" s="225">
        <f>IFERROR(H15/H39,"")</f>
        <v/>
      </c>
      <c r="I63" s="225">
        <f>IFERROR(I15/I39,"")</f>
        <v/>
      </c>
      <c r="J63" s="225">
        <f>IFERROR(J15/J39,"")</f>
        <v/>
      </c>
      <c r="K63" s="225">
        <f>IFERROR(K15/K39,"")</f>
        <v/>
      </c>
      <c r="L63" s="225">
        <f>IFERROR(L15/L39,"")</f>
        <v/>
      </c>
      <c r="M63" s="225">
        <f>IFERROR(M15/M39,"")</f>
        <v/>
      </c>
      <c r="N63" s="225">
        <f>IFERROR(N15/N39,"")</f>
        <v/>
      </c>
      <c r="O63" s="225">
        <f>IFERROR(O15/O39,"")</f>
        <v/>
      </c>
      <c r="P63" s="225">
        <f>IFERROR(P15/P39,"")</f>
        <v/>
      </c>
      <c r="Q63" s="225">
        <f>IFERROR(Q15/Q39,"")</f>
        <v/>
      </c>
      <c r="R63" s="225">
        <f>IFERROR(R15/R39,"")</f>
        <v/>
      </c>
      <c r="S63" s="225">
        <f>IFERROR(S15/S39,"")</f>
        <v/>
      </c>
    </row>
    <row r="64" ht="15" customHeight="1" s="197">
      <c r="A64" s="221" t="inlineStr">
        <is>
          <t>META</t>
        </is>
      </c>
      <c r="B64" s="225">
        <f>IFERROR(B16/B40,"")</f>
        <v/>
      </c>
      <c r="C64" s="225">
        <f>IFERROR(C16/C40,"")</f>
        <v/>
      </c>
      <c r="D64" s="225">
        <f>IFERROR(D16/D40,"")</f>
        <v/>
      </c>
      <c r="E64" s="225">
        <f>IFERROR(E16/E40,"")</f>
        <v/>
      </c>
      <c r="F64" s="225">
        <f>IFERROR(F16/F40,"")</f>
        <v/>
      </c>
      <c r="G64" s="225">
        <f>IFERROR(G16/G40,"")</f>
        <v/>
      </c>
      <c r="H64" s="225">
        <f>IFERROR(H16/H40,"")</f>
        <v/>
      </c>
      <c r="I64" s="225">
        <f>IFERROR(I16/I40,"")</f>
        <v/>
      </c>
      <c r="J64" s="225">
        <f>IFERROR(J16/J40,"")</f>
        <v/>
      </c>
      <c r="K64" s="225">
        <f>IFERROR(K16/K40,"")</f>
        <v/>
      </c>
      <c r="L64" s="225">
        <f>IFERROR(L16/L40,"")</f>
        <v/>
      </c>
      <c r="M64" s="225">
        <f>IFERROR(M16/M40,"")</f>
        <v/>
      </c>
      <c r="N64" s="225">
        <f>IFERROR(N16/N40,"")</f>
        <v/>
      </c>
      <c r="O64" s="225">
        <f>IFERROR(O16/O40,"")</f>
        <v/>
      </c>
      <c r="P64" s="225">
        <f>IFERROR(P16/P40,"")</f>
        <v/>
      </c>
      <c r="Q64" s="225">
        <f>IFERROR(Q16/Q40,"")</f>
        <v/>
      </c>
      <c r="R64" s="225">
        <f>IFERROR(R16/R40,"")</f>
        <v/>
      </c>
      <c r="S64" s="225">
        <f>IFERROR(S16/S40,"")</f>
        <v/>
      </c>
    </row>
    <row r="65" ht="15" customHeight="1" s="197">
      <c r="A65" s="221" t="inlineStr">
        <is>
          <t>ORCL</t>
        </is>
      </c>
      <c r="B65" s="225">
        <f>IFERROR(B17/B41,"")</f>
        <v/>
      </c>
      <c r="C65" s="225">
        <f>IFERROR(C17/C41,"")</f>
        <v/>
      </c>
      <c r="D65" s="225">
        <f>IFERROR(D17/D41,"")</f>
        <v/>
      </c>
      <c r="E65" s="225">
        <f>IFERROR(E17/E41,"")</f>
        <v/>
      </c>
      <c r="F65" s="225">
        <f>IFERROR(F17/F41,"")</f>
        <v/>
      </c>
      <c r="G65" s="225">
        <f>IFERROR(G17/G41,"")</f>
        <v/>
      </c>
      <c r="H65" s="225">
        <f>IFERROR(H17/H41,"")</f>
        <v/>
      </c>
      <c r="I65" s="225">
        <f>IFERROR(I17/I41,"")</f>
        <v/>
      </c>
      <c r="J65" s="225">
        <f>IFERROR(J17/J41,"")</f>
        <v/>
      </c>
      <c r="K65" s="225">
        <f>IFERROR(K17/K41,"")</f>
        <v/>
      </c>
      <c r="L65" s="225">
        <f>IFERROR(L17/L41,"")</f>
        <v/>
      </c>
      <c r="M65" s="225">
        <f>IFERROR(M17/M41,"")</f>
        <v/>
      </c>
      <c r="N65" s="225">
        <f>IFERROR(N17/N41,"")</f>
        <v/>
      </c>
      <c r="O65" s="225">
        <f>IFERROR(O17/O41,"")</f>
        <v/>
      </c>
      <c r="P65" s="225">
        <f>IFERROR(P17/P41,"")</f>
        <v/>
      </c>
      <c r="Q65" s="225">
        <f>IFERROR(Q17/Q41,"")</f>
        <v/>
      </c>
      <c r="R65" s="225">
        <f>IFERROR(R17/R41,"")</f>
        <v/>
      </c>
      <c r="S65" s="225">
        <f>IFERROR(S17/S41,"")</f>
        <v/>
      </c>
    </row>
    <row r="67" ht="15" customHeight="1" s="197">
      <c r="A67" s="219" t="inlineStr">
        <is>
          <t>F. Capex/CFO %</t>
        </is>
      </c>
    </row>
    <row r="68" ht="15" customHeight="1" s="197">
      <c r="A68" s="220" t="inlineStr">
        <is>
          <t>Company</t>
        </is>
      </c>
      <c r="B68" s="201" t="inlineStr">
        <is>
          <t>2013A</t>
        </is>
      </c>
      <c r="C68" s="201" t="inlineStr">
        <is>
          <t>2014A</t>
        </is>
      </c>
      <c r="D68" s="201" t="inlineStr">
        <is>
          <t>2015A</t>
        </is>
      </c>
      <c r="E68" s="201" t="inlineStr">
        <is>
          <t>2016A</t>
        </is>
      </c>
      <c r="F68" s="201" t="inlineStr">
        <is>
          <t>2017A</t>
        </is>
      </c>
      <c r="G68" s="201" t="inlineStr">
        <is>
          <t>2018A</t>
        </is>
      </c>
      <c r="H68" s="201" t="inlineStr">
        <is>
          <t>2019A</t>
        </is>
      </c>
      <c r="I68" s="201" t="inlineStr">
        <is>
          <t>2020A</t>
        </is>
      </c>
      <c r="J68" s="201" t="inlineStr">
        <is>
          <t>2021A</t>
        </is>
      </c>
      <c r="K68" s="201" t="inlineStr">
        <is>
          <t>2022A</t>
        </is>
      </c>
      <c r="L68" s="201" t="inlineStr">
        <is>
          <t>2023A</t>
        </is>
      </c>
      <c r="M68" s="201" t="inlineStr">
        <is>
          <t>2024A</t>
        </is>
      </c>
      <c r="N68" s="201" t="inlineStr">
        <is>
          <t>2025E</t>
        </is>
      </c>
      <c r="O68" s="201" t="inlineStr">
        <is>
          <t>2026E</t>
        </is>
      </c>
      <c r="P68" s="201" t="inlineStr">
        <is>
          <t>2027E</t>
        </is>
      </c>
      <c r="Q68" s="201" t="inlineStr">
        <is>
          <t>2028E</t>
        </is>
      </c>
      <c r="R68" s="201" t="inlineStr">
        <is>
          <t>2029E</t>
        </is>
      </c>
      <c r="S68" s="201" t="inlineStr">
        <is>
          <t>2030E</t>
        </is>
      </c>
    </row>
    <row r="69" ht="15" customHeight="1" s="197">
      <c r="A69" s="221" t="inlineStr">
        <is>
          <t>MSFT</t>
        </is>
      </c>
      <c r="B69" s="226">
        <f>IFERROR(B45/B5,"")</f>
        <v/>
      </c>
      <c r="C69" s="226">
        <f>IFERROR(C45/C5,"")</f>
        <v/>
      </c>
      <c r="D69" s="226">
        <f>IFERROR(D45/D5,"")</f>
        <v/>
      </c>
      <c r="E69" s="226">
        <f>IFERROR(E45/E5,"")</f>
        <v/>
      </c>
      <c r="F69" s="226">
        <f>IFERROR(F45/F5,"")</f>
        <v/>
      </c>
      <c r="G69" s="226">
        <f>IFERROR(G45/G5,"")</f>
        <v/>
      </c>
      <c r="H69" s="226">
        <f>IFERROR(H45/H5,"")</f>
        <v/>
      </c>
      <c r="I69" s="226">
        <f>IFERROR(I45/I5,"")</f>
        <v/>
      </c>
      <c r="J69" s="226">
        <f>IFERROR(J45/J5,"")</f>
        <v/>
      </c>
      <c r="K69" s="226">
        <f>IFERROR(K45/K5,"")</f>
        <v/>
      </c>
      <c r="L69" s="226">
        <f>IFERROR(L45/L5,"")</f>
        <v/>
      </c>
      <c r="M69" s="226">
        <f>IFERROR(M45/M5,"")</f>
        <v/>
      </c>
      <c r="N69" s="226">
        <f>IFERROR(N45/N5,"")</f>
        <v/>
      </c>
      <c r="O69" s="226">
        <f>IFERROR(O45/O5,"")</f>
        <v/>
      </c>
      <c r="P69" s="226">
        <f>IFERROR(P45/P5,"")</f>
        <v/>
      </c>
      <c r="Q69" s="226">
        <f>IFERROR(Q45/Q5,"")</f>
        <v/>
      </c>
      <c r="R69" s="226">
        <f>IFERROR(R45/R5,"")</f>
        <v/>
      </c>
      <c r="S69" s="226">
        <f>IFERROR(S45/S5,"")</f>
        <v/>
      </c>
    </row>
    <row r="70" ht="15" customHeight="1" s="197">
      <c r="A70" s="221" t="inlineStr">
        <is>
          <t>AMZN</t>
        </is>
      </c>
      <c r="B70" s="226">
        <f>IFERROR(B46/B6,"")</f>
        <v/>
      </c>
      <c r="C70" s="226">
        <f>IFERROR(C46/C6,"")</f>
        <v/>
      </c>
      <c r="D70" s="226">
        <f>IFERROR(D46/D6,"")</f>
        <v/>
      </c>
      <c r="E70" s="226">
        <f>IFERROR(E46/E6,"")</f>
        <v/>
      </c>
      <c r="F70" s="226">
        <f>IFERROR(F46/F6,"")</f>
        <v/>
      </c>
      <c r="G70" s="226">
        <f>IFERROR(G46/G6,"")</f>
        <v/>
      </c>
      <c r="H70" s="226">
        <f>IFERROR(H46/H6,"")</f>
        <v/>
      </c>
      <c r="I70" s="226">
        <f>IFERROR(I46/I6,"")</f>
        <v/>
      </c>
      <c r="J70" s="226">
        <f>IFERROR(J46/J6,"")</f>
        <v/>
      </c>
      <c r="K70" s="226">
        <f>IFERROR(K46/K6,"")</f>
        <v/>
      </c>
      <c r="L70" s="226">
        <f>IFERROR(L46/L6,"")</f>
        <v/>
      </c>
      <c r="M70" s="226">
        <f>IFERROR(M46/M6,"")</f>
        <v/>
      </c>
      <c r="N70" s="226">
        <f>IFERROR(N46/N6,"")</f>
        <v/>
      </c>
      <c r="O70" s="226">
        <f>IFERROR(O46/O6,"")</f>
        <v/>
      </c>
      <c r="P70" s="226">
        <f>IFERROR(P46/P6,"")</f>
        <v/>
      </c>
      <c r="Q70" s="226">
        <f>IFERROR(Q46/Q6,"")</f>
        <v/>
      </c>
      <c r="R70" s="226">
        <f>IFERROR(R46/R6,"")</f>
        <v/>
      </c>
      <c r="S70" s="226">
        <f>IFERROR(S46/S6,"")</f>
        <v/>
      </c>
    </row>
    <row r="71" ht="15" customHeight="1" s="197">
      <c r="A71" s="221" t="inlineStr">
        <is>
          <t>GOOGL</t>
        </is>
      </c>
      <c r="B71" s="226">
        <f>IFERROR(B47/B7,"")</f>
        <v/>
      </c>
      <c r="C71" s="226">
        <f>IFERROR(C47/C7,"")</f>
        <v/>
      </c>
      <c r="D71" s="226">
        <f>IFERROR(D47/D7,"")</f>
        <v/>
      </c>
      <c r="E71" s="226">
        <f>IFERROR(E47/E7,"")</f>
        <v/>
      </c>
      <c r="F71" s="226">
        <f>IFERROR(F47/F7,"")</f>
        <v/>
      </c>
      <c r="G71" s="226">
        <f>IFERROR(G47/G7,"")</f>
        <v/>
      </c>
      <c r="H71" s="226">
        <f>IFERROR(H47/H7,"")</f>
        <v/>
      </c>
      <c r="I71" s="226">
        <f>IFERROR(I47/I7,"")</f>
        <v/>
      </c>
      <c r="J71" s="226">
        <f>IFERROR(J47/J7,"")</f>
        <v/>
      </c>
      <c r="K71" s="226">
        <f>IFERROR(K47/K7,"")</f>
        <v/>
      </c>
      <c r="L71" s="226">
        <f>IFERROR(L47/L7,"")</f>
        <v/>
      </c>
      <c r="M71" s="226">
        <f>IFERROR(M47/M7,"")</f>
        <v/>
      </c>
      <c r="N71" s="226">
        <f>IFERROR(N47/N7,"")</f>
        <v/>
      </c>
      <c r="O71" s="226">
        <f>IFERROR(O47/O7,"")</f>
        <v/>
      </c>
      <c r="P71" s="226">
        <f>IFERROR(P47/P7,"")</f>
        <v/>
      </c>
      <c r="Q71" s="226">
        <f>IFERROR(Q47/Q7,"")</f>
        <v/>
      </c>
      <c r="R71" s="226">
        <f>IFERROR(R47/R7,"")</f>
        <v/>
      </c>
      <c r="S71" s="226">
        <f>IFERROR(S47/S7,"")</f>
        <v/>
      </c>
    </row>
    <row r="72" ht="15" customHeight="1" s="197">
      <c r="A72" s="221" t="inlineStr">
        <is>
          <t>META</t>
        </is>
      </c>
      <c r="B72" s="226">
        <f>IFERROR(B48/B8,"")</f>
        <v/>
      </c>
      <c r="C72" s="226">
        <f>IFERROR(C48/C8,"")</f>
        <v/>
      </c>
      <c r="D72" s="226">
        <f>IFERROR(D48/D8,"")</f>
        <v/>
      </c>
      <c r="E72" s="226">
        <f>IFERROR(E48/E8,"")</f>
        <v/>
      </c>
      <c r="F72" s="226">
        <f>IFERROR(F48/F8,"")</f>
        <v/>
      </c>
      <c r="G72" s="226">
        <f>IFERROR(G48/G8,"")</f>
        <v/>
      </c>
      <c r="H72" s="226">
        <f>IFERROR(H48/H8,"")</f>
        <v/>
      </c>
      <c r="I72" s="226">
        <f>IFERROR(I48/I8,"")</f>
        <v/>
      </c>
      <c r="J72" s="226">
        <f>IFERROR(J48/J8,"")</f>
        <v/>
      </c>
      <c r="K72" s="226">
        <f>IFERROR(K48/K8,"")</f>
        <v/>
      </c>
      <c r="L72" s="226">
        <f>IFERROR(L48/L8,"")</f>
        <v/>
      </c>
      <c r="M72" s="226">
        <f>IFERROR(M48/M8,"")</f>
        <v/>
      </c>
      <c r="N72" s="226">
        <f>IFERROR(N48/N8,"")</f>
        <v/>
      </c>
      <c r="O72" s="226">
        <f>IFERROR(O48/O8,"")</f>
        <v/>
      </c>
      <c r="P72" s="226">
        <f>IFERROR(P48/P8,"")</f>
        <v/>
      </c>
      <c r="Q72" s="226">
        <f>IFERROR(Q48/Q8,"")</f>
        <v/>
      </c>
      <c r="R72" s="226">
        <f>IFERROR(R48/R8,"")</f>
        <v/>
      </c>
      <c r="S72" s="226">
        <f>IFERROR(S48/S8,"")</f>
        <v/>
      </c>
    </row>
    <row r="73" ht="15" customHeight="1" s="197">
      <c r="A73" s="221" t="inlineStr">
        <is>
          <t>ORCL</t>
        </is>
      </c>
      <c r="B73" s="226">
        <f>IFERROR(B49/B9,"")</f>
        <v/>
      </c>
      <c r="C73" s="226">
        <f>IFERROR(C49/C9,"")</f>
        <v/>
      </c>
      <c r="D73" s="226">
        <f>IFERROR(D49/D9,"")</f>
        <v/>
      </c>
      <c r="E73" s="226">
        <f>IFERROR(E49/E9,"")</f>
        <v/>
      </c>
      <c r="F73" s="226">
        <f>IFERROR(F49/F9,"")</f>
        <v/>
      </c>
      <c r="G73" s="226">
        <f>IFERROR(G49/G9,"")</f>
        <v/>
      </c>
      <c r="H73" s="226">
        <f>IFERROR(H49/H9,"")</f>
        <v/>
      </c>
      <c r="I73" s="226">
        <f>IFERROR(I49/I9,"")</f>
        <v/>
      </c>
      <c r="J73" s="226">
        <f>IFERROR(J49/J9,"")</f>
        <v/>
      </c>
      <c r="K73" s="226">
        <f>IFERROR(K49/K9,"")</f>
        <v/>
      </c>
      <c r="L73" s="226">
        <f>IFERROR(L49/L9,"")</f>
        <v/>
      </c>
      <c r="M73" s="226">
        <f>IFERROR(M49/M9,"")</f>
        <v/>
      </c>
      <c r="N73" s="226">
        <f>IFERROR(N49/N9,"")</f>
        <v/>
      </c>
      <c r="O73" s="226">
        <f>IFERROR(O49/O9,"")</f>
        <v/>
      </c>
      <c r="P73" s="226">
        <f>IFERROR(P49/P9,"")</f>
        <v/>
      </c>
      <c r="Q73" s="226">
        <f>IFERROR(Q49/Q9,"")</f>
        <v/>
      </c>
      <c r="R73" s="226">
        <f>IFERROR(R49/R9,"")</f>
        <v/>
      </c>
      <c r="S73" s="226">
        <f>IFERROR(S49/S9,"")</f>
        <v/>
      </c>
    </row>
  </sheetData>
  <mergeCells count="10">
    <mergeCell ref="A43:S43"/>
    <mergeCell ref="A19:S19"/>
    <mergeCell ref="A11:S11"/>
    <mergeCell ref="A51:S51"/>
    <mergeCell ref="A1:S1"/>
    <mergeCell ref="A27:S27"/>
    <mergeCell ref="A67:S67"/>
    <mergeCell ref="A3:S3"/>
    <mergeCell ref="A35:S35"/>
    <mergeCell ref="A59:S59"/>
  </mergeCells>
  <conditionalFormatting sqref="B53:S57">
    <cfRule type="colorScale" priority="2">
      <colorScale>
        <cfvo type="num" val="-0.2"/>
        <cfvo type="num" val="0.1"/>
        <cfvo type="num" val="0.35"/>
        <color rgb="FFF8696B"/>
        <color rgb="FFFFEB84"/>
        <color rgb="FF63BE7B"/>
      </colorScale>
    </cfRule>
  </conditionalFormatting>
  <conditionalFormatting sqref="B61:S65">
    <cfRule type="colorScale" priority="3">
      <colorScale>
        <cfvo type="num" val="-0.2"/>
        <cfvo type="num" val="0.1"/>
        <cfvo type="num" val="0.35"/>
        <color rgb="FFF8696B"/>
        <color rgb="FFFFEB84"/>
        <color rgb="FF63BE7B"/>
      </colorScale>
    </cfRule>
  </conditionalFormatting>
  <conditionalFormatting sqref="B69:S73">
    <cfRule type="colorScale" priority="4">
      <colorScale>
        <cfvo type="num" val="0.05"/>
        <cfvo type="num" val="0.25"/>
        <cfvo type="num" val="0.6"/>
        <color rgb="FF63BE7B"/>
        <color rgb="FFFFEB84"/>
        <color rgb="FFF8696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S73"/>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8" customWidth="1" style="196" min="1" max="1"/>
    <col width="10" customWidth="1" style="196" min="2" max="20"/>
  </cols>
  <sheetData>
    <row r="1" ht="25.5" customHeight="1" s="197">
      <c r="A1" s="227" t="inlineStr">
        <is>
          <t>EPS、Operating IncomeMargin&amp;Profitability (2013-2030E)</t>
        </is>
      </c>
    </row>
    <row r="3" ht="15" customHeight="1" s="197">
      <c r="A3" s="219" t="inlineStr">
        <is>
          <t>A. Operating Income ($mm)</t>
        </is>
      </c>
    </row>
    <row r="4" ht="15" customHeight="1" s="197">
      <c r="A4" s="220" t="inlineStr">
        <is>
          <t>Company</t>
        </is>
      </c>
      <c r="B4" s="201" t="inlineStr">
        <is>
          <t>2013A</t>
        </is>
      </c>
      <c r="C4" s="201" t="inlineStr">
        <is>
          <t>2014A</t>
        </is>
      </c>
      <c r="D4" s="201" t="inlineStr">
        <is>
          <t>2015A</t>
        </is>
      </c>
      <c r="E4" s="201" t="inlineStr">
        <is>
          <t>2016A</t>
        </is>
      </c>
      <c r="F4" s="201" t="inlineStr">
        <is>
          <t>2017A</t>
        </is>
      </c>
      <c r="G4" s="201" t="inlineStr">
        <is>
          <t>2018A</t>
        </is>
      </c>
      <c r="H4" s="201" t="inlineStr">
        <is>
          <t>2019A</t>
        </is>
      </c>
      <c r="I4" s="201" t="inlineStr">
        <is>
          <t>2020A</t>
        </is>
      </c>
      <c r="J4" s="201" t="inlineStr">
        <is>
          <t>2021A</t>
        </is>
      </c>
      <c r="K4" s="201" t="inlineStr">
        <is>
          <t>2022A</t>
        </is>
      </c>
      <c r="L4" s="201" t="inlineStr">
        <is>
          <t>2023A</t>
        </is>
      </c>
      <c r="M4" s="201" t="inlineStr">
        <is>
          <t>2024A</t>
        </is>
      </c>
      <c r="N4" s="201" t="inlineStr">
        <is>
          <t>2025E</t>
        </is>
      </c>
      <c r="O4" s="201" t="inlineStr">
        <is>
          <t>2026E</t>
        </is>
      </c>
      <c r="P4" s="201" t="inlineStr">
        <is>
          <t>2027E</t>
        </is>
      </c>
      <c r="Q4" s="201" t="inlineStr">
        <is>
          <t>2028E</t>
        </is>
      </c>
      <c r="R4" s="201" t="inlineStr">
        <is>
          <t>2029E</t>
        </is>
      </c>
      <c r="S4" s="201" t="inlineStr">
        <is>
          <t>2030E</t>
        </is>
      </c>
    </row>
    <row r="5" ht="15" customHeight="1" s="197">
      <c r="A5" s="221" t="inlineStr">
        <is>
          <t>MSFT</t>
        </is>
      </c>
      <c r="B5" s="222">
        <f>'0. Database'!C6</f>
        <v/>
      </c>
      <c r="C5" s="222">
        <f>'0. Database'!D6</f>
        <v/>
      </c>
      <c r="D5" s="222">
        <f>'0. Database'!E6</f>
        <v/>
      </c>
      <c r="E5" s="222">
        <f>'0. Database'!F6</f>
        <v/>
      </c>
      <c r="F5" s="222">
        <f>'0. Database'!G6</f>
        <v/>
      </c>
      <c r="G5" s="222">
        <f>'0. Database'!H6</f>
        <v/>
      </c>
      <c r="H5" s="222">
        <f>'0. Database'!I6</f>
        <v/>
      </c>
      <c r="I5" s="222">
        <f>'0. Database'!J6</f>
        <v/>
      </c>
      <c r="J5" s="222">
        <f>'0. Database'!K6</f>
        <v/>
      </c>
      <c r="K5" s="222">
        <f>'0. Database'!L6</f>
        <v/>
      </c>
      <c r="L5" s="222">
        <f>'0. Database'!M6</f>
        <v/>
      </c>
      <c r="M5" s="222">
        <f>'0. Database'!N6</f>
        <v/>
      </c>
      <c r="N5" s="222">
        <f>'0. Database'!O6</f>
        <v/>
      </c>
      <c r="O5" s="222">
        <f>'0. Database'!P6</f>
        <v/>
      </c>
      <c r="P5" s="222">
        <f>'0. Database'!Q6</f>
        <v/>
      </c>
      <c r="Q5" s="222">
        <f>'0. Database'!R6</f>
        <v/>
      </c>
      <c r="R5" s="222">
        <f>'0. Database'!S6</f>
        <v/>
      </c>
      <c r="S5" s="222">
        <f>'0. Database'!T6</f>
        <v/>
      </c>
    </row>
    <row r="6" ht="15" customHeight="1" s="197">
      <c r="A6" s="221" t="inlineStr">
        <is>
          <t>AMZN</t>
        </is>
      </c>
      <c r="B6" s="222">
        <f>'0. Database'!C22</f>
        <v/>
      </c>
      <c r="C6" s="222">
        <f>'0. Database'!D22</f>
        <v/>
      </c>
      <c r="D6" s="222">
        <f>'0. Database'!E22</f>
        <v/>
      </c>
      <c r="E6" s="222">
        <f>'0. Database'!F22</f>
        <v/>
      </c>
      <c r="F6" s="222">
        <f>'0. Database'!G22</f>
        <v/>
      </c>
      <c r="G6" s="222">
        <f>'0. Database'!H22</f>
        <v/>
      </c>
      <c r="H6" s="222">
        <f>'0. Database'!I22</f>
        <v/>
      </c>
      <c r="I6" s="222">
        <f>'0. Database'!J22</f>
        <v/>
      </c>
      <c r="J6" s="222">
        <f>'0. Database'!K22</f>
        <v/>
      </c>
      <c r="K6" s="222">
        <f>'0. Database'!L22</f>
        <v/>
      </c>
      <c r="L6" s="222">
        <f>'0. Database'!M22</f>
        <v/>
      </c>
      <c r="M6" s="222">
        <f>'0. Database'!N22</f>
        <v/>
      </c>
      <c r="N6" s="222">
        <f>'0. Database'!O22</f>
        <v/>
      </c>
      <c r="O6" s="222">
        <f>'0. Database'!P22</f>
        <v/>
      </c>
      <c r="P6" s="222">
        <f>'0. Database'!Q22</f>
        <v/>
      </c>
      <c r="Q6" s="222">
        <f>'0. Database'!R22</f>
        <v/>
      </c>
      <c r="R6" s="222">
        <f>'0. Database'!S22</f>
        <v/>
      </c>
      <c r="S6" s="222">
        <f>'0. Database'!T22</f>
        <v/>
      </c>
    </row>
    <row r="7" ht="15" customHeight="1" s="197">
      <c r="A7" s="221" t="inlineStr">
        <is>
          <t>GOOGL</t>
        </is>
      </c>
      <c r="B7" s="222">
        <f>'0. Database'!C37</f>
        <v/>
      </c>
      <c r="C7" s="222">
        <f>'0. Database'!D37</f>
        <v/>
      </c>
      <c r="D7" s="222">
        <f>'0. Database'!E37</f>
        <v/>
      </c>
      <c r="E7" s="222">
        <f>'0. Database'!F37</f>
        <v/>
      </c>
      <c r="F7" s="222">
        <f>'0. Database'!G37</f>
        <v/>
      </c>
      <c r="G7" s="222">
        <f>'0. Database'!H37</f>
        <v/>
      </c>
      <c r="H7" s="222">
        <f>'0. Database'!I37</f>
        <v/>
      </c>
      <c r="I7" s="222">
        <f>'0. Database'!J37</f>
        <v/>
      </c>
      <c r="J7" s="222">
        <f>'0. Database'!K37</f>
        <v/>
      </c>
      <c r="K7" s="222">
        <f>'0. Database'!L37</f>
        <v/>
      </c>
      <c r="L7" s="222">
        <f>'0. Database'!M37</f>
        <v/>
      </c>
      <c r="M7" s="222">
        <f>'0. Database'!N37</f>
        <v/>
      </c>
      <c r="N7" s="222">
        <f>'0. Database'!O37</f>
        <v/>
      </c>
      <c r="O7" s="222">
        <f>'0. Database'!P37</f>
        <v/>
      </c>
      <c r="P7" s="222">
        <f>'0. Database'!Q37</f>
        <v/>
      </c>
      <c r="Q7" s="222">
        <f>'0. Database'!R37</f>
        <v/>
      </c>
      <c r="R7" s="222">
        <f>'0. Database'!S37</f>
        <v/>
      </c>
      <c r="S7" s="222">
        <f>'0. Database'!T37</f>
        <v/>
      </c>
    </row>
    <row r="8" ht="15" customHeight="1" s="197">
      <c r="A8" s="221" t="inlineStr">
        <is>
          <t>META</t>
        </is>
      </c>
      <c r="B8" s="222">
        <f>'0. Database'!C54</f>
        <v/>
      </c>
      <c r="C8" s="222">
        <f>'0. Database'!D54</f>
        <v/>
      </c>
      <c r="D8" s="222">
        <f>'0. Database'!E54</f>
        <v/>
      </c>
      <c r="E8" s="222">
        <f>'0. Database'!F54</f>
        <v/>
      </c>
      <c r="F8" s="222">
        <f>'0. Database'!G54</f>
        <v/>
      </c>
      <c r="G8" s="222">
        <f>'0. Database'!H54</f>
        <v/>
      </c>
      <c r="H8" s="222">
        <f>'0. Database'!I54</f>
        <v/>
      </c>
      <c r="I8" s="222">
        <f>'0. Database'!J54</f>
        <v/>
      </c>
      <c r="J8" s="222">
        <f>'0. Database'!K54</f>
        <v/>
      </c>
      <c r="K8" s="222">
        <f>'0. Database'!L54</f>
        <v/>
      </c>
      <c r="L8" s="222">
        <f>'0. Database'!M54</f>
        <v/>
      </c>
      <c r="M8" s="222">
        <f>'0. Database'!N54</f>
        <v/>
      </c>
      <c r="N8" s="222">
        <f>'0. Database'!O54</f>
        <v/>
      </c>
      <c r="O8" s="222">
        <f>'0. Database'!P54</f>
        <v/>
      </c>
      <c r="P8" s="222">
        <f>'0. Database'!Q54</f>
        <v/>
      </c>
      <c r="Q8" s="222">
        <f>'0. Database'!R54</f>
        <v/>
      </c>
      <c r="R8" s="222">
        <f>'0. Database'!S54</f>
        <v/>
      </c>
      <c r="S8" s="222">
        <f>'0. Database'!T54</f>
        <v/>
      </c>
    </row>
    <row r="9" ht="15" customHeight="1" s="197">
      <c r="A9" s="221" t="inlineStr">
        <is>
          <t>ORCL</t>
        </is>
      </c>
      <c r="B9" s="222">
        <f>'0. Database'!C72</f>
        <v/>
      </c>
      <c r="C9" s="222">
        <f>'0. Database'!D72</f>
        <v/>
      </c>
      <c r="D9" s="222">
        <f>'0. Database'!E72</f>
        <v/>
      </c>
      <c r="E9" s="222">
        <f>'0. Database'!F72</f>
        <v/>
      </c>
      <c r="F9" s="222">
        <f>'0. Database'!G72</f>
        <v/>
      </c>
      <c r="G9" s="222">
        <f>'0. Database'!H72</f>
        <v/>
      </c>
      <c r="H9" s="222">
        <f>'0. Database'!I72</f>
        <v/>
      </c>
      <c r="I9" s="222">
        <f>'0. Database'!J72</f>
        <v/>
      </c>
      <c r="J9" s="222">
        <f>'0. Database'!K72</f>
        <v/>
      </c>
      <c r="K9" s="222">
        <f>'0. Database'!L72</f>
        <v/>
      </c>
      <c r="L9" s="222">
        <f>'0. Database'!M72</f>
        <v/>
      </c>
      <c r="M9" s="222">
        <f>'0. Database'!N72</f>
        <v/>
      </c>
      <c r="N9" s="222">
        <f>'0. Database'!O72</f>
        <v/>
      </c>
      <c r="O9" s="222">
        <f>'0. Database'!P72</f>
        <v/>
      </c>
      <c r="P9" s="222">
        <f>'0. Database'!Q72</f>
        <v/>
      </c>
      <c r="Q9" s="222">
        <f>'0. Database'!R72</f>
        <v/>
      </c>
      <c r="R9" s="222">
        <f>'0. Database'!S72</f>
        <v/>
      </c>
      <c r="S9" s="222">
        <f>'0. Database'!T72</f>
        <v/>
      </c>
    </row>
    <row r="11" ht="15" customHeight="1" s="197">
      <c r="A11" s="219" t="inlineStr">
        <is>
          <t>C. Net Income ($mm)</t>
        </is>
      </c>
    </row>
    <row r="12" ht="15" customHeight="1" s="197">
      <c r="A12" s="220" t="inlineStr">
        <is>
          <t>Company</t>
        </is>
      </c>
      <c r="B12" s="201" t="inlineStr">
        <is>
          <t>2013A</t>
        </is>
      </c>
      <c r="C12" s="201" t="inlineStr">
        <is>
          <t>2014A</t>
        </is>
      </c>
      <c r="D12" s="201" t="inlineStr">
        <is>
          <t>2015A</t>
        </is>
      </c>
      <c r="E12" s="201" t="inlineStr">
        <is>
          <t>2016A</t>
        </is>
      </c>
      <c r="F12" s="201" t="inlineStr">
        <is>
          <t>2017A</t>
        </is>
      </c>
      <c r="G12" s="201" t="inlineStr">
        <is>
          <t>2018A</t>
        </is>
      </c>
      <c r="H12" s="201" t="inlineStr">
        <is>
          <t>2019A</t>
        </is>
      </c>
      <c r="I12" s="201" t="inlineStr">
        <is>
          <t>2020A</t>
        </is>
      </c>
      <c r="J12" s="201" t="inlineStr">
        <is>
          <t>2021A</t>
        </is>
      </c>
      <c r="K12" s="201" t="inlineStr">
        <is>
          <t>2022A</t>
        </is>
      </c>
      <c r="L12" s="201" t="inlineStr">
        <is>
          <t>2023A</t>
        </is>
      </c>
      <c r="M12" s="201" t="inlineStr">
        <is>
          <t>2024A</t>
        </is>
      </c>
      <c r="N12" s="201" t="inlineStr">
        <is>
          <t>2025E</t>
        </is>
      </c>
      <c r="O12" s="201" t="inlineStr">
        <is>
          <t>2026E</t>
        </is>
      </c>
      <c r="P12" s="201" t="inlineStr">
        <is>
          <t>2027E</t>
        </is>
      </c>
      <c r="Q12" s="201" t="inlineStr">
        <is>
          <t>2028E</t>
        </is>
      </c>
      <c r="R12" s="201" t="inlineStr">
        <is>
          <t>2029E</t>
        </is>
      </c>
      <c r="S12" s="201" t="inlineStr">
        <is>
          <t>2030E</t>
        </is>
      </c>
    </row>
    <row r="13" ht="15" customHeight="1" s="197">
      <c r="A13" s="221" t="inlineStr">
        <is>
          <t>MSFT</t>
        </is>
      </c>
      <c r="B13" s="222">
        <f>'0. Database'!C7</f>
        <v/>
      </c>
      <c r="C13" s="222">
        <f>'0. Database'!D7</f>
        <v/>
      </c>
      <c r="D13" s="222">
        <f>'0. Database'!E7</f>
        <v/>
      </c>
      <c r="E13" s="222">
        <f>'0. Database'!F7</f>
        <v/>
      </c>
      <c r="F13" s="222">
        <f>'0. Database'!G7</f>
        <v/>
      </c>
      <c r="G13" s="222">
        <f>'0. Database'!H7</f>
        <v/>
      </c>
      <c r="H13" s="222">
        <f>'0. Database'!I7</f>
        <v/>
      </c>
      <c r="I13" s="222">
        <f>'0. Database'!J7</f>
        <v/>
      </c>
      <c r="J13" s="222">
        <f>'0. Database'!K7</f>
        <v/>
      </c>
      <c r="K13" s="222">
        <f>'0. Database'!L7</f>
        <v/>
      </c>
      <c r="L13" s="222">
        <f>'0. Database'!M7</f>
        <v/>
      </c>
      <c r="M13" s="222">
        <f>'0. Database'!N7</f>
        <v/>
      </c>
      <c r="N13" s="222">
        <f>'0. Database'!O7</f>
        <v/>
      </c>
      <c r="O13" s="222">
        <f>'0. Database'!P7</f>
        <v/>
      </c>
      <c r="P13" s="222">
        <f>'0. Database'!Q7</f>
        <v/>
      </c>
      <c r="Q13" s="222">
        <f>'0. Database'!R7</f>
        <v/>
      </c>
      <c r="R13" s="222">
        <f>'0. Database'!S7</f>
        <v/>
      </c>
      <c r="S13" s="222">
        <f>'0. Database'!T7</f>
        <v/>
      </c>
    </row>
    <row r="14" ht="15" customHeight="1" s="197">
      <c r="A14" s="221" t="inlineStr">
        <is>
          <t>AMZN</t>
        </is>
      </c>
      <c r="B14" s="222">
        <f>'0. Database'!C23</f>
        <v/>
      </c>
      <c r="C14" s="222">
        <f>'0. Database'!D23</f>
        <v/>
      </c>
      <c r="D14" s="222">
        <f>'0. Database'!E23</f>
        <v/>
      </c>
      <c r="E14" s="222">
        <f>'0. Database'!F23</f>
        <v/>
      </c>
      <c r="F14" s="222">
        <f>'0. Database'!G23</f>
        <v/>
      </c>
      <c r="G14" s="222">
        <f>'0. Database'!H23</f>
        <v/>
      </c>
      <c r="H14" s="222">
        <f>'0. Database'!I23</f>
        <v/>
      </c>
      <c r="I14" s="222">
        <f>'0. Database'!J23</f>
        <v/>
      </c>
      <c r="J14" s="222">
        <f>'0. Database'!K23</f>
        <v/>
      </c>
      <c r="K14" s="222">
        <f>'0. Database'!L23</f>
        <v/>
      </c>
      <c r="L14" s="222">
        <f>'0. Database'!M23</f>
        <v/>
      </c>
      <c r="M14" s="222">
        <f>'0. Database'!N23</f>
        <v/>
      </c>
      <c r="N14" s="222">
        <f>'0. Database'!O23</f>
        <v/>
      </c>
      <c r="O14" s="222">
        <f>'0. Database'!P23</f>
        <v/>
      </c>
      <c r="P14" s="222">
        <f>'0. Database'!Q23</f>
        <v/>
      </c>
      <c r="Q14" s="222">
        <f>'0. Database'!R23</f>
        <v/>
      </c>
      <c r="R14" s="222">
        <f>'0. Database'!S23</f>
        <v/>
      </c>
      <c r="S14" s="222">
        <f>'0. Database'!T23</f>
        <v/>
      </c>
    </row>
    <row r="15" ht="15" customHeight="1" s="197">
      <c r="A15" s="221" t="inlineStr">
        <is>
          <t>GOOGL</t>
        </is>
      </c>
      <c r="B15" s="222">
        <f>'0. Database'!C38</f>
        <v/>
      </c>
      <c r="C15" s="222">
        <f>'0. Database'!D38</f>
        <v/>
      </c>
      <c r="D15" s="222">
        <f>'0. Database'!E38</f>
        <v/>
      </c>
      <c r="E15" s="222">
        <f>'0. Database'!F38</f>
        <v/>
      </c>
      <c r="F15" s="222">
        <f>'0. Database'!G38</f>
        <v/>
      </c>
      <c r="G15" s="222">
        <f>'0. Database'!H38</f>
        <v/>
      </c>
      <c r="H15" s="222">
        <f>'0. Database'!I38</f>
        <v/>
      </c>
      <c r="I15" s="222">
        <f>'0. Database'!J38</f>
        <v/>
      </c>
      <c r="J15" s="222">
        <f>'0. Database'!K38</f>
        <v/>
      </c>
      <c r="K15" s="222">
        <f>'0. Database'!L38</f>
        <v/>
      </c>
      <c r="L15" s="222">
        <f>'0. Database'!M38</f>
        <v/>
      </c>
      <c r="M15" s="222">
        <f>'0. Database'!N38</f>
        <v/>
      </c>
      <c r="N15" s="222">
        <f>'0. Database'!O38</f>
        <v/>
      </c>
      <c r="O15" s="222">
        <f>'0. Database'!P38</f>
        <v/>
      </c>
      <c r="P15" s="222">
        <f>'0. Database'!Q38</f>
        <v/>
      </c>
      <c r="Q15" s="222">
        <f>'0. Database'!R38</f>
        <v/>
      </c>
      <c r="R15" s="222">
        <f>'0. Database'!S38</f>
        <v/>
      </c>
      <c r="S15" s="222">
        <f>'0. Database'!T38</f>
        <v/>
      </c>
    </row>
    <row r="16" ht="15" customHeight="1" s="197">
      <c r="A16" s="221" t="inlineStr">
        <is>
          <t>META</t>
        </is>
      </c>
      <c r="B16" s="222">
        <f>'0. Database'!C55</f>
        <v/>
      </c>
      <c r="C16" s="222">
        <f>'0. Database'!D55</f>
        <v/>
      </c>
      <c r="D16" s="222">
        <f>'0. Database'!E55</f>
        <v/>
      </c>
      <c r="E16" s="222">
        <f>'0. Database'!F55</f>
        <v/>
      </c>
      <c r="F16" s="222">
        <f>'0. Database'!G55</f>
        <v/>
      </c>
      <c r="G16" s="222">
        <f>'0. Database'!H55</f>
        <v/>
      </c>
      <c r="H16" s="222">
        <f>'0. Database'!I55</f>
        <v/>
      </c>
      <c r="I16" s="222">
        <f>'0. Database'!J55</f>
        <v/>
      </c>
      <c r="J16" s="222">
        <f>'0. Database'!K55</f>
        <v/>
      </c>
      <c r="K16" s="222">
        <f>'0. Database'!L55</f>
        <v/>
      </c>
      <c r="L16" s="222">
        <f>'0. Database'!M55</f>
        <v/>
      </c>
      <c r="M16" s="222">
        <f>'0. Database'!N55</f>
        <v/>
      </c>
      <c r="N16" s="222">
        <f>'0. Database'!O55</f>
        <v/>
      </c>
      <c r="O16" s="222">
        <f>'0. Database'!P55</f>
        <v/>
      </c>
      <c r="P16" s="222">
        <f>'0. Database'!Q55</f>
        <v/>
      </c>
      <c r="Q16" s="222">
        <f>'0. Database'!R55</f>
        <v/>
      </c>
      <c r="R16" s="222">
        <f>'0. Database'!S55</f>
        <v/>
      </c>
      <c r="S16" s="222">
        <f>'0. Database'!T55</f>
        <v/>
      </c>
    </row>
    <row r="17" ht="15" customHeight="1" s="197">
      <c r="A17" s="221" t="inlineStr">
        <is>
          <t>ORCL</t>
        </is>
      </c>
      <c r="B17" s="222">
        <f>'0. Database'!C73</f>
        <v/>
      </c>
      <c r="C17" s="222">
        <f>'0. Database'!D73</f>
        <v/>
      </c>
      <c r="D17" s="222">
        <f>'0. Database'!E73</f>
        <v/>
      </c>
      <c r="E17" s="222">
        <f>'0. Database'!F73</f>
        <v/>
      </c>
      <c r="F17" s="222">
        <f>'0. Database'!G73</f>
        <v/>
      </c>
      <c r="G17" s="222">
        <f>'0. Database'!H73</f>
        <v/>
      </c>
      <c r="H17" s="222">
        <f>'0. Database'!I73</f>
        <v/>
      </c>
      <c r="I17" s="222">
        <f>'0. Database'!J73</f>
        <v/>
      </c>
      <c r="J17" s="222">
        <f>'0. Database'!K73</f>
        <v/>
      </c>
      <c r="K17" s="222">
        <f>'0. Database'!L73</f>
        <v/>
      </c>
      <c r="L17" s="222">
        <f>'0. Database'!M73</f>
        <v/>
      </c>
      <c r="M17" s="222">
        <f>'0. Database'!N73</f>
        <v/>
      </c>
      <c r="N17" s="222">
        <f>'0. Database'!O73</f>
        <v/>
      </c>
      <c r="O17" s="222">
        <f>'0. Database'!P73</f>
        <v/>
      </c>
      <c r="P17" s="222">
        <f>'0. Database'!Q73</f>
        <v/>
      </c>
      <c r="Q17" s="222">
        <f>'0. Database'!R73</f>
        <v/>
      </c>
      <c r="R17" s="222">
        <f>'0. Database'!S73</f>
        <v/>
      </c>
      <c r="S17" s="222">
        <f>'0. Database'!T73</f>
        <v/>
      </c>
    </row>
    <row r="19" ht="15" customHeight="1" s="197">
      <c r="A19" s="219" t="inlineStr">
        <is>
          <t>E. EPS ($)</t>
        </is>
      </c>
    </row>
    <row r="20" ht="15" customHeight="1" s="197">
      <c r="A20" s="220" t="inlineStr">
        <is>
          <t>Company</t>
        </is>
      </c>
      <c r="B20" s="201" t="inlineStr">
        <is>
          <t>2013A</t>
        </is>
      </c>
      <c r="C20" s="201" t="inlineStr">
        <is>
          <t>2014A</t>
        </is>
      </c>
      <c r="D20" s="201" t="inlineStr">
        <is>
          <t>2015A</t>
        </is>
      </c>
      <c r="E20" s="201" t="inlineStr">
        <is>
          <t>2016A</t>
        </is>
      </c>
      <c r="F20" s="201" t="inlineStr">
        <is>
          <t>2017A</t>
        </is>
      </c>
      <c r="G20" s="201" t="inlineStr">
        <is>
          <t>2018A</t>
        </is>
      </c>
      <c r="H20" s="201" t="inlineStr">
        <is>
          <t>2019A</t>
        </is>
      </c>
      <c r="I20" s="201" t="inlineStr">
        <is>
          <t>2020A</t>
        </is>
      </c>
      <c r="J20" s="201" t="inlineStr">
        <is>
          <t>2021A</t>
        </is>
      </c>
      <c r="K20" s="201" t="inlineStr">
        <is>
          <t>2022A</t>
        </is>
      </c>
      <c r="L20" s="201" t="inlineStr">
        <is>
          <t>2023A</t>
        </is>
      </c>
      <c r="M20" s="201" t="inlineStr">
        <is>
          <t>2024A</t>
        </is>
      </c>
      <c r="N20" s="201" t="inlineStr">
        <is>
          <t>2025E</t>
        </is>
      </c>
      <c r="O20" s="201" t="inlineStr">
        <is>
          <t>2026E</t>
        </is>
      </c>
      <c r="P20" s="201" t="inlineStr">
        <is>
          <t>2027E</t>
        </is>
      </c>
      <c r="Q20" s="201" t="inlineStr">
        <is>
          <t>2028E</t>
        </is>
      </c>
      <c r="R20" s="201" t="inlineStr">
        <is>
          <t>2029E</t>
        </is>
      </c>
      <c r="S20" s="201" t="inlineStr">
        <is>
          <t>2030E</t>
        </is>
      </c>
    </row>
    <row r="21" ht="15" customHeight="1" s="197">
      <c r="A21" s="221" t="inlineStr">
        <is>
          <t>MSFT</t>
        </is>
      </c>
      <c r="B21" s="222">
        <f>'0. Database'!C8</f>
        <v/>
      </c>
      <c r="C21" s="222">
        <f>'0. Database'!D8</f>
        <v/>
      </c>
      <c r="D21" s="222">
        <f>'0. Database'!E8</f>
        <v/>
      </c>
      <c r="E21" s="222">
        <f>'0. Database'!F8</f>
        <v/>
      </c>
      <c r="F21" s="222">
        <f>'0. Database'!G8</f>
        <v/>
      </c>
      <c r="G21" s="222">
        <f>'0. Database'!H8</f>
        <v/>
      </c>
      <c r="H21" s="222">
        <f>'0. Database'!I8</f>
        <v/>
      </c>
      <c r="I21" s="222">
        <f>'0. Database'!J8</f>
        <v/>
      </c>
      <c r="J21" s="222">
        <f>'0. Database'!K8</f>
        <v/>
      </c>
      <c r="K21" s="222">
        <f>'0. Database'!L8</f>
        <v/>
      </c>
      <c r="L21" s="222">
        <f>'0. Database'!M8</f>
        <v/>
      </c>
      <c r="M21" s="222">
        <f>'0. Database'!N8</f>
        <v/>
      </c>
      <c r="N21" s="222">
        <f>'0. Database'!O8</f>
        <v/>
      </c>
      <c r="O21" s="222">
        <f>'0. Database'!P8</f>
        <v/>
      </c>
      <c r="P21" s="222">
        <f>'0. Database'!Q8</f>
        <v/>
      </c>
      <c r="Q21" s="222">
        <f>'0. Database'!R8</f>
        <v/>
      </c>
      <c r="R21" s="222">
        <f>'0. Database'!S8</f>
        <v/>
      </c>
      <c r="S21" s="222">
        <f>'0. Database'!T8</f>
        <v/>
      </c>
    </row>
    <row r="22" ht="15" customHeight="1" s="197">
      <c r="A22" s="221" t="inlineStr">
        <is>
          <t>AMZN</t>
        </is>
      </c>
      <c r="B22" s="222">
        <f>'0. Database'!C24</f>
        <v/>
      </c>
      <c r="C22" s="222">
        <f>'0. Database'!D24</f>
        <v/>
      </c>
      <c r="D22" s="222">
        <f>'0. Database'!E24</f>
        <v/>
      </c>
      <c r="E22" s="222">
        <f>'0. Database'!F24</f>
        <v/>
      </c>
      <c r="F22" s="222">
        <f>'0. Database'!G24</f>
        <v/>
      </c>
      <c r="G22" s="222">
        <f>'0. Database'!H24</f>
        <v/>
      </c>
      <c r="H22" s="222">
        <f>'0. Database'!I24</f>
        <v/>
      </c>
      <c r="I22" s="222">
        <f>'0. Database'!J24</f>
        <v/>
      </c>
      <c r="J22" s="222">
        <f>'0. Database'!K24</f>
        <v/>
      </c>
      <c r="K22" s="222">
        <f>'0. Database'!L24</f>
        <v/>
      </c>
      <c r="L22" s="222">
        <f>'0. Database'!M24</f>
        <v/>
      </c>
      <c r="M22" s="222">
        <f>'0. Database'!N24</f>
        <v/>
      </c>
      <c r="N22" s="222">
        <f>'0. Database'!O24</f>
        <v/>
      </c>
      <c r="O22" s="222">
        <f>'0. Database'!P24</f>
        <v/>
      </c>
      <c r="P22" s="222">
        <f>'0. Database'!Q24</f>
        <v/>
      </c>
      <c r="Q22" s="222">
        <f>'0. Database'!R24</f>
        <v/>
      </c>
      <c r="R22" s="222">
        <f>'0. Database'!S24</f>
        <v/>
      </c>
      <c r="S22" s="222">
        <f>'0. Database'!T24</f>
        <v/>
      </c>
    </row>
    <row r="23" ht="15" customHeight="1" s="197">
      <c r="A23" s="221" t="inlineStr">
        <is>
          <t>GOOGL</t>
        </is>
      </c>
      <c r="B23" s="222">
        <f>'0. Database'!C39</f>
        <v/>
      </c>
      <c r="C23" s="222">
        <f>'0. Database'!D39</f>
        <v/>
      </c>
      <c r="D23" s="222">
        <f>'0. Database'!E39</f>
        <v/>
      </c>
      <c r="E23" s="222">
        <f>'0. Database'!F39</f>
        <v/>
      </c>
      <c r="F23" s="222">
        <f>'0. Database'!G39</f>
        <v/>
      </c>
      <c r="G23" s="222">
        <f>'0. Database'!H39</f>
        <v/>
      </c>
      <c r="H23" s="222">
        <f>'0. Database'!I39</f>
        <v/>
      </c>
      <c r="I23" s="222">
        <f>'0. Database'!J39</f>
        <v/>
      </c>
      <c r="J23" s="222">
        <f>'0. Database'!K39</f>
        <v/>
      </c>
      <c r="K23" s="222">
        <f>'0. Database'!L39</f>
        <v/>
      </c>
      <c r="L23" s="222">
        <f>'0. Database'!M39</f>
        <v/>
      </c>
      <c r="M23" s="222">
        <f>'0. Database'!N39</f>
        <v/>
      </c>
      <c r="N23" s="222">
        <f>'0. Database'!O39</f>
        <v/>
      </c>
      <c r="O23" s="222">
        <f>'0. Database'!P39</f>
        <v/>
      </c>
      <c r="P23" s="222">
        <f>'0. Database'!Q39</f>
        <v/>
      </c>
      <c r="Q23" s="222">
        <f>'0. Database'!R39</f>
        <v/>
      </c>
      <c r="R23" s="222">
        <f>'0. Database'!S39</f>
        <v/>
      </c>
      <c r="S23" s="222">
        <f>'0. Database'!T39</f>
        <v/>
      </c>
    </row>
    <row r="24" ht="15" customHeight="1" s="197">
      <c r="A24" s="221" t="inlineStr">
        <is>
          <t>META</t>
        </is>
      </c>
      <c r="B24" s="222">
        <f>'0. Database'!C56</f>
        <v/>
      </c>
      <c r="C24" s="222">
        <f>'0. Database'!D56</f>
        <v/>
      </c>
      <c r="D24" s="222">
        <f>'0. Database'!E56</f>
        <v/>
      </c>
      <c r="E24" s="222">
        <f>'0. Database'!F56</f>
        <v/>
      </c>
      <c r="F24" s="222">
        <f>'0. Database'!G56</f>
        <v/>
      </c>
      <c r="G24" s="222">
        <f>'0. Database'!H56</f>
        <v/>
      </c>
      <c r="H24" s="222">
        <f>'0. Database'!I56</f>
        <v/>
      </c>
      <c r="I24" s="222">
        <f>'0. Database'!J56</f>
        <v/>
      </c>
      <c r="J24" s="222">
        <f>'0. Database'!K56</f>
        <v/>
      </c>
      <c r="K24" s="222">
        <f>'0. Database'!L56</f>
        <v/>
      </c>
      <c r="L24" s="222">
        <f>'0. Database'!M56</f>
        <v/>
      </c>
      <c r="M24" s="222">
        <f>'0. Database'!N56</f>
        <v/>
      </c>
      <c r="N24" s="222">
        <f>'0. Database'!O56</f>
        <v/>
      </c>
      <c r="O24" s="222">
        <f>'0. Database'!P56</f>
        <v/>
      </c>
      <c r="P24" s="222">
        <f>'0. Database'!Q56</f>
        <v/>
      </c>
      <c r="Q24" s="222">
        <f>'0. Database'!R56</f>
        <v/>
      </c>
      <c r="R24" s="222">
        <f>'0. Database'!S56</f>
        <v/>
      </c>
      <c r="S24" s="222">
        <f>'0. Database'!T56</f>
        <v/>
      </c>
    </row>
    <row r="25" ht="15" customHeight="1" s="197">
      <c r="A25" s="221" t="inlineStr">
        <is>
          <t>ORCL</t>
        </is>
      </c>
      <c r="B25" s="222">
        <f>'0. Database'!C74</f>
        <v/>
      </c>
      <c r="C25" s="222">
        <f>'0. Database'!D74</f>
        <v/>
      </c>
      <c r="D25" s="222">
        <f>'0. Database'!E74</f>
        <v/>
      </c>
      <c r="E25" s="222">
        <f>'0. Database'!F74</f>
        <v/>
      </c>
      <c r="F25" s="222">
        <f>'0. Database'!G74</f>
        <v/>
      </c>
      <c r="G25" s="222">
        <f>'0. Database'!H74</f>
        <v/>
      </c>
      <c r="H25" s="222">
        <f>'0. Database'!I74</f>
        <v/>
      </c>
      <c r="I25" s="222">
        <f>'0. Database'!J74</f>
        <v/>
      </c>
      <c r="J25" s="222">
        <f>'0. Database'!K74</f>
        <v/>
      </c>
      <c r="K25" s="222">
        <f>'0. Database'!L74</f>
        <v/>
      </c>
      <c r="L25" s="222">
        <f>'0. Database'!M74</f>
        <v/>
      </c>
      <c r="M25" s="222">
        <f>'0. Database'!N74</f>
        <v/>
      </c>
      <c r="N25" s="222">
        <f>'0. Database'!O74</f>
        <v/>
      </c>
      <c r="O25" s="222">
        <f>'0. Database'!P74</f>
        <v/>
      </c>
      <c r="P25" s="222">
        <f>'0. Database'!Q74</f>
        <v/>
      </c>
      <c r="Q25" s="222">
        <f>'0. Database'!R74</f>
        <v/>
      </c>
      <c r="R25" s="222">
        <f>'0. Database'!S74</f>
        <v/>
      </c>
      <c r="S25" s="222">
        <f>'0. Database'!T74</f>
        <v/>
      </c>
    </row>
    <row r="27" ht="15" customHeight="1" s="197">
      <c r="A27" s="219" t="inlineStr">
        <is>
          <t>G. Diluted Shares (mm)</t>
        </is>
      </c>
    </row>
    <row r="28" ht="15" customHeight="1" s="197">
      <c r="A28" s="220" t="inlineStr">
        <is>
          <t>Company</t>
        </is>
      </c>
      <c r="B28" s="201" t="inlineStr">
        <is>
          <t>2013A</t>
        </is>
      </c>
      <c r="C28" s="201" t="inlineStr">
        <is>
          <t>2014A</t>
        </is>
      </c>
      <c r="D28" s="201" t="inlineStr">
        <is>
          <t>2015A</t>
        </is>
      </c>
      <c r="E28" s="201" t="inlineStr">
        <is>
          <t>2016A</t>
        </is>
      </c>
      <c r="F28" s="201" t="inlineStr">
        <is>
          <t>2017A</t>
        </is>
      </c>
      <c r="G28" s="201" t="inlineStr">
        <is>
          <t>2018A</t>
        </is>
      </c>
      <c r="H28" s="201" t="inlineStr">
        <is>
          <t>2019A</t>
        </is>
      </c>
      <c r="I28" s="201" t="inlineStr">
        <is>
          <t>2020A</t>
        </is>
      </c>
      <c r="J28" s="201" t="inlineStr">
        <is>
          <t>2021A</t>
        </is>
      </c>
      <c r="K28" s="201" t="inlineStr">
        <is>
          <t>2022A</t>
        </is>
      </c>
      <c r="L28" s="201" t="inlineStr">
        <is>
          <t>2023A</t>
        </is>
      </c>
      <c r="M28" s="201" t="inlineStr">
        <is>
          <t>2024A</t>
        </is>
      </c>
      <c r="N28" s="201" t="inlineStr">
        <is>
          <t>2025E</t>
        </is>
      </c>
      <c r="O28" s="201" t="inlineStr">
        <is>
          <t>2026E</t>
        </is>
      </c>
      <c r="P28" s="201" t="inlineStr">
        <is>
          <t>2027E</t>
        </is>
      </c>
      <c r="Q28" s="201" t="inlineStr">
        <is>
          <t>2028E</t>
        </is>
      </c>
      <c r="R28" s="201" t="inlineStr">
        <is>
          <t>2029E</t>
        </is>
      </c>
      <c r="S28" s="201" t="inlineStr">
        <is>
          <t>2030E</t>
        </is>
      </c>
    </row>
    <row r="29" ht="15" customHeight="1" s="197">
      <c r="A29" s="221" t="inlineStr">
        <is>
          <t>MSFT</t>
        </is>
      </c>
      <c r="B29" s="222">
        <f>'0. Database'!C9</f>
        <v/>
      </c>
      <c r="C29" s="222">
        <f>'0. Database'!D9</f>
        <v/>
      </c>
      <c r="D29" s="222">
        <f>'0. Database'!E9</f>
        <v/>
      </c>
      <c r="E29" s="222">
        <f>'0. Database'!F9</f>
        <v/>
      </c>
      <c r="F29" s="222">
        <f>'0. Database'!G9</f>
        <v/>
      </c>
      <c r="G29" s="222">
        <f>'0. Database'!H9</f>
        <v/>
      </c>
      <c r="H29" s="222">
        <f>'0. Database'!I9</f>
        <v/>
      </c>
      <c r="I29" s="222">
        <f>'0. Database'!J9</f>
        <v/>
      </c>
      <c r="J29" s="222">
        <f>'0. Database'!K9</f>
        <v/>
      </c>
      <c r="K29" s="222">
        <f>'0. Database'!L9</f>
        <v/>
      </c>
      <c r="L29" s="222">
        <f>'0. Database'!M9</f>
        <v/>
      </c>
      <c r="M29" s="222">
        <f>'0. Database'!N9</f>
        <v/>
      </c>
      <c r="N29" s="222">
        <f>'0. Database'!O9</f>
        <v/>
      </c>
      <c r="O29" s="222">
        <f>'0. Database'!P9</f>
        <v/>
      </c>
      <c r="P29" s="222">
        <f>'0. Database'!Q9</f>
        <v/>
      </c>
      <c r="Q29" s="222">
        <f>'0. Database'!R9</f>
        <v/>
      </c>
      <c r="R29" s="222">
        <f>'0. Database'!S9</f>
        <v/>
      </c>
      <c r="S29" s="222">
        <f>'0. Database'!T9</f>
        <v/>
      </c>
    </row>
    <row r="30" ht="15" customHeight="1" s="197">
      <c r="A30" s="221" t="inlineStr">
        <is>
          <t>AMZN</t>
        </is>
      </c>
      <c r="B30" s="222">
        <f>'0. Database'!C25</f>
        <v/>
      </c>
      <c r="C30" s="222">
        <f>'0. Database'!D25</f>
        <v/>
      </c>
      <c r="D30" s="222">
        <f>'0. Database'!E25</f>
        <v/>
      </c>
      <c r="E30" s="222">
        <f>'0. Database'!F25</f>
        <v/>
      </c>
      <c r="F30" s="222">
        <f>'0. Database'!G25</f>
        <v/>
      </c>
      <c r="G30" s="222">
        <f>'0. Database'!H25</f>
        <v/>
      </c>
      <c r="H30" s="222">
        <f>'0. Database'!I25</f>
        <v/>
      </c>
      <c r="I30" s="222">
        <f>'0. Database'!J25</f>
        <v/>
      </c>
      <c r="J30" s="222">
        <f>'0. Database'!K25</f>
        <v/>
      </c>
      <c r="K30" s="222">
        <f>'0. Database'!L25</f>
        <v/>
      </c>
      <c r="L30" s="222">
        <f>'0. Database'!M25</f>
        <v/>
      </c>
      <c r="M30" s="222">
        <f>'0. Database'!N25</f>
        <v/>
      </c>
      <c r="N30" s="222">
        <f>'0. Database'!O25</f>
        <v/>
      </c>
      <c r="O30" s="222">
        <f>'0. Database'!P25</f>
        <v/>
      </c>
      <c r="P30" s="222">
        <f>'0. Database'!Q25</f>
        <v/>
      </c>
      <c r="Q30" s="222">
        <f>'0. Database'!R25</f>
        <v/>
      </c>
      <c r="R30" s="222">
        <f>'0. Database'!S25</f>
        <v/>
      </c>
      <c r="S30" s="222">
        <f>'0. Database'!T25</f>
        <v/>
      </c>
    </row>
    <row r="31" ht="15" customHeight="1" s="197">
      <c r="A31" s="221" t="inlineStr">
        <is>
          <t>GOOGL</t>
        </is>
      </c>
      <c r="B31" s="222">
        <f>'0. Database'!C40</f>
        <v/>
      </c>
      <c r="C31" s="222">
        <f>'0. Database'!D40</f>
        <v/>
      </c>
      <c r="D31" s="222">
        <f>'0. Database'!E40</f>
        <v/>
      </c>
      <c r="E31" s="222">
        <f>'0. Database'!F40</f>
        <v/>
      </c>
      <c r="F31" s="222">
        <f>'0. Database'!G40</f>
        <v/>
      </c>
      <c r="G31" s="222">
        <f>'0. Database'!H40</f>
        <v/>
      </c>
      <c r="H31" s="222">
        <f>'0. Database'!I40</f>
        <v/>
      </c>
      <c r="I31" s="222">
        <f>'0. Database'!J40</f>
        <v/>
      </c>
      <c r="J31" s="222">
        <f>'0. Database'!K40</f>
        <v/>
      </c>
      <c r="K31" s="222">
        <f>'0. Database'!L40</f>
        <v/>
      </c>
      <c r="L31" s="222">
        <f>'0. Database'!M40</f>
        <v/>
      </c>
      <c r="M31" s="222">
        <f>'0. Database'!N40</f>
        <v/>
      </c>
      <c r="N31" s="222">
        <f>'0. Database'!O40</f>
        <v/>
      </c>
      <c r="O31" s="222">
        <f>'0. Database'!P40</f>
        <v/>
      </c>
      <c r="P31" s="222">
        <f>'0. Database'!Q40</f>
        <v/>
      </c>
      <c r="Q31" s="222">
        <f>'0. Database'!R40</f>
        <v/>
      </c>
      <c r="R31" s="222">
        <f>'0. Database'!S40</f>
        <v/>
      </c>
      <c r="S31" s="222">
        <f>'0. Database'!T40</f>
        <v/>
      </c>
    </row>
    <row r="32" ht="15" customHeight="1" s="197">
      <c r="A32" s="221" t="inlineStr">
        <is>
          <t>META</t>
        </is>
      </c>
      <c r="B32" s="222">
        <f>'0. Database'!C57</f>
        <v/>
      </c>
      <c r="C32" s="222">
        <f>'0. Database'!D57</f>
        <v/>
      </c>
      <c r="D32" s="222">
        <f>'0. Database'!E57</f>
        <v/>
      </c>
      <c r="E32" s="222">
        <f>'0. Database'!F57</f>
        <v/>
      </c>
      <c r="F32" s="222">
        <f>'0. Database'!G57</f>
        <v/>
      </c>
      <c r="G32" s="222">
        <f>'0. Database'!H57</f>
        <v/>
      </c>
      <c r="H32" s="222">
        <f>'0. Database'!I57</f>
        <v/>
      </c>
      <c r="I32" s="222">
        <f>'0. Database'!J57</f>
        <v/>
      </c>
      <c r="J32" s="222">
        <f>'0. Database'!K57</f>
        <v/>
      </c>
      <c r="K32" s="222">
        <f>'0. Database'!L57</f>
        <v/>
      </c>
      <c r="L32" s="222">
        <f>'0. Database'!M57</f>
        <v/>
      </c>
      <c r="M32" s="222">
        <f>'0. Database'!N57</f>
        <v/>
      </c>
      <c r="N32" s="222">
        <f>'0. Database'!O57</f>
        <v/>
      </c>
      <c r="O32" s="222">
        <f>'0. Database'!P57</f>
        <v/>
      </c>
      <c r="P32" s="222">
        <f>'0. Database'!Q57</f>
        <v/>
      </c>
      <c r="Q32" s="222">
        <f>'0. Database'!R57</f>
        <v/>
      </c>
      <c r="R32" s="222">
        <f>'0. Database'!S57</f>
        <v/>
      </c>
      <c r="S32" s="222">
        <f>'0. Database'!T57</f>
        <v/>
      </c>
    </row>
    <row r="33" ht="15" customHeight="1" s="197">
      <c r="A33" s="221" t="inlineStr">
        <is>
          <t>ORCL</t>
        </is>
      </c>
      <c r="B33" s="222">
        <f>'0. Database'!C75</f>
        <v/>
      </c>
      <c r="C33" s="222">
        <f>'0. Database'!D75</f>
        <v/>
      </c>
      <c r="D33" s="222">
        <f>'0. Database'!E75</f>
        <v/>
      </c>
      <c r="E33" s="222">
        <f>'0. Database'!F75</f>
        <v/>
      </c>
      <c r="F33" s="222">
        <f>'0. Database'!G75</f>
        <v/>
      </c>
      <c r="G33" s="222">
        <f>'0. Database'!H75</f>
        <v/>
      </c>
      <c r="H33" s="222">
        <f>'0. Database'!I75</f>
        <v/>
      </c>
      <c r="I33" s="222">
        <f>'0. Database'!J75</f>
        <v/>
      </c>
      <c r="J33" s="222">
        <f>'0. Database'!K75</f>
        <v/>
      </c>
      <c r="K33" s="222">
        <f>'0. Database'!L75</f>
        <v/>
      </c>
      <c r="L33" s="222">
        <f>'0. Database'!M75</f>
        <v/>
      </c>
      <c r="M33" s="222">
        <f>'0. Database'!N75</f>
        <v/>
      </c>
      <c r="N33" s="222">
        <f>'0. Database'!O75</f>
        <v/>
      </c>
      <c r="O33" s="222">
        <f>'0. Database'!P75</f>
        <v/>
      </c>
      <c r="P33" s="222">
        <f>'0. Database'!Q75</f>
        <v/>
      </c>
      <c r="Q33" s="222">
        <f>'0. Database'!R75</f>
        <v/>
      </c>
      <c r="R33" s="222">
        <f>'0. Database'!S75</f>
        <v/>
      </c>
      <c r="S33" s="222">
        <f>'0. Database'!T75</f>
        <v/>
      </c>
    </row>
    <row r="35" ht="15" customHeight="1" s="197">
      <c r="A35" s="219" t="inlineStr">
        <is>
          <t>H. SBC ($mm)</t>
        </is>
      </c>
    </row>
    <row r="36" ht="15" customHeight="1" s="197">
      <c r="A36" s="220" t="inlineStr">
        <is>
          <t>Company</t>
        </is>
      </c>
      <c r="B36" s="201" t="inlineStr">
        <is>
          <t>2013A</t>
        </is>
      </c>
      <c r="C36" s="201" t="inlineStr">
        <is>
          <t>2014A</t>
        </is>
      </c>
      <c r="D36" s="201" t="inlineStr">
        <is>
          <t>2015A</t>
        </is>
      </c>
      <c r="E36" s="201" t="inlineStr">
        <is>
          <t>2016A</t>
        </is>
      </c>
      <c r="F36" s="201" t="inlineStr">
        <is>
          <t>2017A</t>
        </is>
      </c>
      <c r="G36" s="201" t="inlineStr">
        <is>
          <t>2018A</t>
        </is>
      </c>
      <c r="H36" s="201" t="inlineStr">
        <is>
          <t>2019A</t>
        </is>
      </c>
      <c r="I36" s="201" t="inlineStr">
        <is>
          <t>2020A</t>
        </is>
      </c>
      <c r="J36" s="201" t="inlineStr">
        <is>
          <t>2021A</t>
        </is>
      </c>
      <c r="K36" s="201" t="inlineStr">
        <is>
          <t>2022A</t>
        </is>
      </c>
      <c r="L36" s="201" t="inlineStr">
        <is>
          <t>2023A</t>
        </is>
      </c>
      <c r="M36" s="201" t="inlineStr">
        <is>
          <t>2024A</t>
        </is>
      </c>
      <c r="N36" s="201" t="inlineStr">
        <is>
          <t>2025E</t>
        </is>
      </c>
      <c r="O36" s="201" t="inlineStr">
        <is>
          <t>2026E</t>
        </is>
      </c>
      <c r="P36" s="201" t="inlineStr">
        <is>
          <t>2027E</t>
        </is>
      </c>
      <c r="Q36" s="201" t="inlineStr">
        <is>
          <t>2028E</t>
        </is>
      </c>
      <c r="R36" s="201" t="inlineStr">
        <is>
          <t>2029E</t>
        </is>
      </c>
      <c r="S36" s="201" t="inlineStr">
        <is>
          <t>2030E</t>
        </is>
      </c>
    </row>
    <row r="37" ht="15" customHeight="1" s="197">
      <c r="A37" s="221" t="inlineStr">
        <is>
          <t>MSFT</t>
        </is>
      </c>
      <c r="B37" s="222">
        <f>'0. Database'!C10</f>
        <v/>
      </c>
      <c r="C37" s="222">
        <f>'0. Database'!D10</f>
        <v/>
      </c>
      <c r="D37" s="222">
        <f>'0. Database'!E10</f>
        <v/>
      </c>
      <c r="E37" s="222">
        <f>'0. Database'!F10</f>
        <v/>
      </c>
      <c r="F37" s="222">
        <f>'0. Database'!G10</f>
        <v/>
      </c>
      <c r="G37" s="222">
        <f>'0. Database'!H10</f>
        <v/>
      </c>
      <c r="H37" s="222">
        <f>'0. Database'!I10</f>
        <v/>
      </c>
      <c r="I37" s="222">
        <f>'0. Database'!J10</f>
        <v/>
      </c>
      <c r="J37" s="222">
        <f>'0. Database'!K10</f>
        <v/>
      </c>
      <c r="K37" s="222">
        <f>'0. Database'!L10</f>
        <v/>
      </c>
      <c r="L37" s="222">
        <f>'0. Database'!M10</f>
        <v/>
      </c>
      <c r="M37" s="222">
        <f>'0. Database'!N10</f>
        <v/>
      </c>
      <c r="N37" s="222">
        <f>'0. Database'!O10</f>
        <v/>
      </c>
      <c r="O37" s="222">
        <f>'0. Database'!P10</f>
        <v/>
      </c>
      <c r="P37" s="222">
        <f>'0. Database'!Q10</f>
        <v/>
      </c>
      <c r="Q37" s="222">
        <f>'0. Database'!R10</f>
        <v/>
      </c>
      <c r="R37" s="222">
        <f>'0. Database'!S10</f>
        <v/>
      </c>
      <c r="S37" s="222">
        <f>'0. Database'!T10</f>
        <v/>
      </c>
    </row>
    <row r="38" ht="15" customHeight="1" s="197">
      <c r="A38" s="221" t="inlineStr">
        <is>
          <t>AMZN</t>
        </is>
      </c>
      <c r="B38" s="222">
        <f>'0. Database'!C26</f>
        <v/>
      </c>
      <c r="C38" s="222">
        <f>'0. Database'!D26</f>
        <v/>
      </c>
      <c r="D38" s="222">
        <f>'0. Database'!E26</f>
        <v/>
      </c>
      <c r="E38" s="222">
        <f>'0. Database'!F26</f>
        <v/>
      </c>
      <c r="F38" s="222">
        <f>'0. Database'!G26</f>
        <v/>
      </c>
      <c r="G38" s="222">
        <f>'0. Database'!H26</f>
        <v/>
      </c>
      <c r="H38" s="222">
        <f>'0. Database'!I26</f>
        <v/>
      </c>
      <c r="I38" s="222">
        <f>'0. Database'!J26</f>
        <v/>
      </c>
      <c r="J38" s="222">
        <f>'0. Database'!K26</f>
        <v/>
      </c>
      <c r="K38" s="222">
        <f>'0. Database'!L26</f>
        <v/>
      </c>
      <c r="L38" s="222">
        <f>'0. Database'!M26</f>
        <v/>
      </c>
      <c r="M38" s="222">
        <f>'0. Database'!N26</f>
        <v/>
      </c>
      <c r="N38" s="222">
        <f>'0. Database'!O26</f>
        <v/>
      </c>
      <c r="O38" s="222">
        <f>'0. Database'!P26</f>
        <v/>
      </c>
      <c r="P38" s="222">
        <f>'0. Database'!Q26</f>
        <v/>
      </c>
      <c r="Q38" s="222">
        <f>'0. Database'!R26</f>
        <v/>
      </c>
      <c r="R38" s="222">
        <f>'0. Database'!S26</f>
        <v/>
      </c>
      <c r="S38" s="222">
        <f>'0. Database'!T26</f>
        <v/>
      </c>
    </row>
    <row r="39" ht="15" customHeight="1" s="197">
      <c r="A39" s="221" t="inlineStr">
        <is>
          <t>GOOGL</t>
        </is>
      </c>
      <c r="B39" s="222">
        <f>'0. Database'!C41</f>
        <v/>
      </c>
      <c r="C39" s="222">
        <f>'0. Database'!D41</f>
        <v/>
      </c>
      <c r="D39" s="222">
        <f>'0. Database'!E41</f>
        <v/>
      </c>
      <c r="E39" s="222">
        <f>'0. Database'!F41</f>
        <v/>
      </c>
      <c r="F39" s="222">
        <f>'0. Database'!G41</f>
        <v/>
      </c>
      <c r="G39" s="222">
        <f>'0. Database'!H41</f>
        <v/>
      </c>
      <c r="H39" s="222">
        <f>'0. Database'!I41</f>
        <v/>
      </c>
      <c r="I39" s="222">
        <f>'0. Database'!J41</f>
        <v/>
      </c>
      <c r="J39" s="222">
        <f>'0. Database'!K41</f>
        <v/>
      </c>
      <c r="K39" s="222">
        <f>'0. Database'!L41</f>
        <v/>
      </c>
      <c r="L39" s="222">
        <f>'0. Database'!M41</f>
        <v/>
      </c>
      <c r="M39" s="222">
        <f>'0. Database'!N41</f>
        <v/>
      </c>
      <c r="N39" s="222">
        <f>'0. Database'!O41</f>
        <v/>
      </c>
      <c r="O39" s="222">
        <f>'0. Database'!P41</f>
        <v/>
      </c>
      <c r="P39" s="222">
        <f>'0. Database'!Q41</f>
        <v/>
      </c>
      <c r="Q39" s="222">
        <f>'0. Database'!R41</f>
        <v/>
      </c>
      <c r="R39" s="222">
        <f>'0. Database'!S41</f>
        <v/>
      </c>
      <c r="S39" s="222">
        <f>'0. Database'!T41</f>
        <v/>
      </c>
    </row>
    <row r="40" ht="15" customHeight="1" s="197">
      <c r="A40" s="221" t="inlineStr">
        <is>
          <t>META</t>
        </is>
      </c>
      <c r="B40" s="222">
        <f>'0. Database'!C58</f>
        <v/>
      </c>
      <c r="C40" s="222">
        <f>'0. Database'!D58</f>
        <v/>
      </c>
      <c r="D40" s="222">
        <f>'0. Database'!E58</f>
        <v/>
      </c>
      <c r="E40" s="222">
        <f>'0. Database'!F58</f>
        <v/>
      </c>
      <c r="F40" s="222">
        <f>'0. Database'!G58</f>
        <v/>
      </c>
      <c r="G40" s="222">
        <f>'0. Database'!H58</f>
        <v/>
      </c>
      <c r="H40" s="222">
        <f>'0. Database'!I58</f>
        <v/>
      </c>
      <c r="I40" s="222">
        <f>'0. Database'!J58</f>
        <v/>
      </c>
      <c r="J40" s="222">
        <f>'0. Database'!K58</f>
        <v/>
      </c>
      <c r="K40" s="222">
        <f>'0. Database'!L58</f>
        <v/>
      </c>
      <c r="L40" s="222">
        <f>'0. Database'!M58</f>
        <v/>
      </c>
      <c r="M40" s="222">
        <f>'0. Database'!N58</f>
        <v/>
      </c>
      <c r="N40" s="222">
        <f>'0. Database'!O58</f>
        <v/>
      </c>
      <c r="O40" s="222">
        <f>'0. Database'!P58</f>
        <v/>
      </c>
      <c r="P40" s="222">
        <f>'0. Database'!Q58</f>
        <v/>
      </c>
      <c r="Q40" s="222">
        <f>'0. Database'!R58</f>
        <v/>
      </c>
      <c r="R40" s="222">
        <f>'0. Database'!S58</f>
        <v/>
      </c>
      <c r="S40" s="222">
        <f>'0. Database'!T58</f>
        <v/>
      </c>
    </row>
    <row r="41" ht="15" customHeight="1" s="197">
      <c r="A41" s="221" t="inlineStr">
        <is>
          <t>ORCL</t>
        </is>
      </c>
      <c r="B41" s="222">
        <f>'0. Database'!C76</f>
        <v/>
      </c>
      <c r="C41" s="222">
        <f>'0. Database'!D76</f>
        <v/>
      </c>
      <c r="D41" s="222">
        <f>'0. Database'!E76</f>
        <v/>
      </c>
      <c r="E41" s="222">
        <f>'0. Database'!F76</f>
        <v/>
      </c>
      <c r="F41" s="222">
        <f>'0. Database'!G76</f>
        <v/>
      </c>
      <c r="G41" s="222">
        <f>'0. Database'!H76</f>
        <v/>
      </c>
      <c r="H41" s="222">
        <f>'0. Database'!I76</f>
        <v/>
      </c>
      <c r="I41" s="222">
        <f>'0. Database'!J76</f>
        <v/>
      </c>
      <c r="J41" s="222">
        <f>'0. Database'!K76</f>
        <v/>
      </c>
      <c r="K41" s="222">
        <f>'0. Database'!L76</f>
        <v/>
      </c>
      <c r="L41" s="222">
        <f>'0. Database'!M76</f>
        <v/>
      </c>
      <c r="M41" s="222">
        <f>'0. Database'!N76</f>
        <v/>
      </c>
      <c r="N41" s="222">
        <f>'0. Database'!O76</f>
        <v/>
      </c>
      <c r="O41" s="222">
        <f>'0. Database'!P76</f>
        <v/>
      </c>
      <c r="P41" s="222">
        <f>'0. Database'!Q76</f>
        <v/>
      </c>
      <c r="Q41" s="222">
        <f>'0. Database'!R76</f>
        <v/>
      </c>
      <c r="R41" s="222">
        <f>'0. Database'!S76</f>
        <v/>
      </c>
      <c r="S41" s="222">
        <f>'0. Database'!T76</f>
        <v/>
      </c>
    </row>
    <row r="43" ht="15" customHeight="1" s="197">
      <c r="A43" s="219" t="inlineStr">
        <is>
          <t>(Revenue)</t>
        </is>
      </c>
    </row>
    <row r="44" ht="15" customHeight="1" s="197">
      <c r="A44" s="220" t="inlineStr">
        <is>
          <t>Company</t>
        </is>
      </c>
      <c r="B44" s="201" t="inlineStr">
        <is>
          <t>2013A</t>
        </is>
      </c>
      <c r="C44" s="201" t="inlineStr">
        <is>
          <t>2014A</t>
        </is>
      </c>
      <c r="D44" s="201" t="inlineStr">
        <is>
          <t>2015A</t>
        </is>
      </c>
      <c r="E44" s="201" t="inlineStr">
        <is>
          <t>2016A</t>
        </is>
      </c>
      <c r="F44" s="201" t="inlineStr">
        <is>
          <t>2017A</t>
        </is>
      </c>
      <c r="G44" s="201" t="inlineStr">
        <is>
          <t>2018A</t>
        </is>
      </c>
      <c r="H44" s="201" t="inlineStr">
        <is>
          <t>2019A</t>
        </is>
      </c>
      <c r="I44" s="201" t="inlineStr">
        <is>
          <t>2020A</t>
        </is>
      </c>
      <c r="J44" s="201" t="inlineStr">
        <is>
          <t>2021A</t>
        </is>
      </c>
      <c r="K44" s="201" t="inlineStr">
        <is>
          <t>2022A</t>
        </is>
      </c>
      <c r="L44" s="201" t="inlineStr">
        <is>
          <t>2023A</t>
        </is>
      </c>
      <c r="M44" s="201" t="inlineStr">
        <is>
          <t>2024A</t>
        </is>
      </c>
      <c r="N44" s="201" t="inlineStr">
        <is>
          <t>2025E</t>
        </is>
      </c>
      <c r="O44" s="201" t="inlineStr">
        <is>
          <t>2026E</t>
        </is>
      </c>
      <c r="P44" s="201" t="inlineStr">
        <is>
          <t>2027E</t>
        </is>
      </c>
      <c r="Q44" s="201" t="inlineStr">
        <is>
          <t>2028E</t>
        </is>
      </c>
      <c r="R44" s="201" t="inlineStr">
        <is>
          <t>2029E</t>
        </is>
      </c>
      <c r="S44" s="201" t="inlineStr">
        <is>
          <t>2030E</t>
        </is>
      </c>
    </row>
    <row r="45" ht="15" customHeight="1" s="197">
      <c r="A45" s="221" t="inlineStr">
        <is>
          <t>MSFT</t>
        </is>
      </c>
      <c r="B45" s="222">
        <f>'0. Database'!C5</f>
        <v/>
      </c>
      <c r="C45" s="222">
        <f>'0. Database'!D5</f>
        <v/>
      </c>
      <c r="D45" s="222">
        <f>'0. Database'!E5</f>
        <v/>
      </c>
      <c r="E45" s="222">
        <f>'0. Database'!F5</f>
        <v/>
      </c>
      <c r="F45" s="222">
        <f>'0. Database'!G5</f>
        <v/>
      </c>
      <c r="G45" s="222">
        <f>'0. Database'!H5</f>
        <v/>
      </c>
      <c r="H45" s="222">
        <f>'0. Database'!I5</f>
        <v/>
      </c>
      <c r="I45" s="222">
        <f>'0. Database'!J5</f>
        <v/>
      </c>
      <c r="J45" s="222">
        <f>'0. Database'!K5</f>
        <v/>
      </c>
      <c r="K45" s="222">
        <f>'0. Database'!L5</f>
        <v/>
      </c>
      <c r="L45" s="222">
        <f>'0. Database'!M5</f>
        <v/>
      </c>
      <c r="M45" s="222">
        <f>'0. Database'!N5</f>
        <v/>
      </c>
      <c r="N45" s="222">
        <f>'0. Database'!O5</f>
        <v/>
      </c>
      <c r="O45" s="222">
        <f>'0. Database'!P5</f>
        <v/>
      </c>
      <c r="P45" s="222">
        <f>'0. Database'!Q5</f>
        <v/>
      </c>
      <c r="Q45" s="222">
        <f>'0. Database'!R5</f>
        <v/>
      </c>
      <c r="R45" s="222">
        <f>'0. Database'!S5</f>
        <v/>
      </c>
      <c r="S45" s="222">
        <f>'0. Database'!T5</f>
        <v/>
      </c>
    </row>
    <row r="46" ht="15" customHeight="1" s="197">
      <c r="A46" s="221" t="inlineStr">
        <is>
          <t>AMZN</t>
        </is>
      </c>
      <c r="B46" s="222">
        <f>'0. Database'!C21</f>
        <v/>
      </c>
      <c r="C46" s="222">
        <f>'0. Database'!D21</f>
        <v/>
      </c>
      <c r="D46" s="222">
        <f>'0. Database'!E21</f>
        <v/>
      </c>
      <c r="E46" s="222">
        <f>'0. Database'!F21</f>
        <v/>
      </c>
      <c r="F46" s="222">
        <f>'0. Database'!G21</f>
        <v/>
      </c>
      <c r="G46" s="222">
        <f>'0. Database'!H21</f>
        <v/>
      </c>
      <c r="H46" s="222">
        <f>'0. Database'!I21</f>
        <v/>
      </c>
      <c r="I46" s="222">
        <f>'0. Database'!J21</f>
        <v/>
      </c>
      <c r="J46" s="222">
        <f>'0. Database'!K21</f>
        <v/>
      </c>
      <c r="K46" s="222">
        <f>'0. Database'!L21</f>
        <v/>
      </c>
      <c r="L46" s="222">
        <f>'0. Database'!M21</f>
        <v/>
      </c>
      <c r="M46" s="222">
        <f>'0. Database'!N21</f>
        <v/>
      </c>
      <c r="N46" s="222">
        <f>'0. Database'!O21</f>
        <v/>
      </c>
      <c r="O46" s="222">
        <f>'0. Database'!P21</f>
        <v/>
      </c>
      <c r="P46" s="222">
        <f>'0. Database'!Q21</f>
        <v/>
      </c>
      <c r="Q46" s="222">
        <f>'0. Database'!R21</f>
        <v/>
      </c>
      <c r="R46" s="222">
        <f>'0. Database'!S21</f>
        <v/>
      </c>
      <c r="S46" s="222">
        <f>'0. Database'!T21</f>
        <v/>
      </c>
    </row>
    <row r="47" ht="15" customHeight="1" s="197">
      <c r="A47" s="221" t="inlineStr">
        <is>
          <t>GOOGL</t>
        </is>
      </c>
      <c r="B47" s="222">
        <f>'0. Database'!C36</f>
        <v/>
      </c>
      <c r="C47" s="222">
        <f>'0. Database'!D36</f>
        <v/>
      </c>
      <c r="D47" s="222">
        <f>'0. Database'!E36</f>
        <v/>
      </c>
      <c r="E47" s="222">
        <f>'0. Database'!F36</f>
        <v/>
      </c>
      <c r="F47" s="222">
        <f>'0. Database'!G36</f>
        <v/>
      </c>
      <c r="G47" s="222">
        <f>'0. Database'!H36</f>
        <v/>
      </c>
      <c r="H47" s="222">
        <f>'0. Database'!I36</f>
        <v/>
      </c>
      <c r="I47" s="222">
        <f>'0. Database'!J36</f>
        <v/>
      </c>
      <c r="J47" s="222">
        <f>'0. Database'!K36</f>
        <v/>
      </c>
      <c r="K47" s="222">
        <f>'0. Database'!L36</f>
        <v/>
      </c>
      <c r="L47" s="222">
        <f>'0. Database'!M36</f>
        <v/>
      </c>
      <c r="M47" s="222">
        <f>'0. Database'!N36</f>
        <v/>
      </c>
      <c r="N47" s="222">
        <f>'0. Database'!O36</f>
        <v/>
      </c>
      <c r="O47" s="222">
        <f>'0. Database'!P36</f>
        <v/>
      </c>
      <c r="P47" s="222">
        <f>'0. Database'!Q36</f>
        <v/>
      </c>
      <c r="Q47" s="222">
        <f>'0. Database'!R36</f>
        <v/>
      </c>
      <c r="R47" s="222">
        <f>'0. Database'!S36</f>
        <v/>
      </c>
      <c r="S47" s="222">
        <f>'0. Database'!T36</f>
        <v/>
      </c>
    </row>
    <row r="48" ht="15" customHeight="1" s="197">
      <c r="A48" s="221" t="inlineStr">
        <is>
          <t>META</t>
        </is>
      </c>
      <c r="B48" s="222">
        <f>'0. Database'!C53</f>
        <v/>
      </c>
      <c r="C48" s="222">
        <f>'0. Database'!D53</f>
        <v/>
      </c>
      <c r="D48" s="222">
        <f>'0. Database'!E53</f>
        <v/>
      </c>
      <c r="E48" s="222">
        <f>'0. Database'!F53</f>
        <v/>
      </c>
      <c r="F48" s="222">
        <f>'0. Database'!G53</f>
        <v/>
      </c>
      <c r="G48" s="222">
        <f>'0. Database'!H53</f>
        <v/>
      </c>
      <c r="H48" s="222">
        <f>'0. Database'!I53</f>
        <v/>
      </c>
      <c r="I48" s="222">
        <f>'0. Database'!J53</f>
        <v/>
      </c>
      <c r="J48" s="222">
        <f>'0. Database'!K53</f>
        <v/>
      </c>
      <c r="K48" s="222">
        <f>'0. Database'!L53</f>
        <v/>
      </c>
      <c r="L48" s="222">
        <f>'0. Database'!M53</f>
        <v/>
      </c>
      <c r="M48" s="222">
        <f>'0. Database'!N53</f>
        <v/>
      </c>
      <c r="N48" s="222">
        <f>'0. Database'!O53</f>
        <v/>
      </c>
      <c r="O48" s="222">
        <f>'0. Database'!P53</f>
        <v/>
      </c>
      <c r="P48" s="222">
        <f>'0. Database'!Q53</f>
        <v/>
      </c>
      <c r="Q48" s="222">
        <f>'0. Database'!R53</f>
        <v/>
      </c>
      <c r="R48" s="222">
        <f>'0. Database'!S53</f>
        <v/>
      </c>
      <c r="S48" s="222">
        <f>'0. Database'!T53</f>
        <v/>
      </c>
    </row>
    <row r="49" ht="15" customHeight="1" s="197">
      <c r="A49" s="221" t="inlineStr">
        <is>
          <t>ORCL</t>
        </is>
      </c>
      <c r="B49" s="222">
        <f>'0. Database'!C71</f>
        <v/>
      </c>
      <c r="C49" s="222">
        <f>'0. Database'!D71</f>
        <v/>
      </c>
      <c r="D49" s="222">
        <f>'0. Database'!E71</f>
        <v/>
      </c>
      <c r="E49" s="222">
        <f>'0. Database'!F71</f>
        <v/>
      </c>
      <c r="F49" s="222">
        <f>'0. Database'!G71</f>
        <v/>
      </c>
      <c r="G49" s="222">
        <f>'0. Database'!H71</f>
        <v/>
      </c>
      <c r="H49" s="222">
        <f>'0. Database'!I71</f>
        <v/>
      </c>
      <c r="I49" s="222">
        <f>'0. Database'!J71</f>
        <v/>
      </c>
      <c r="J49" s="222">
        <f>'0. Database'!K71</f>
        <v/>
      </c>
      <c r="K49" s="222">
        <f>'0. Database'!L71</f>
        <v/>
      </c>
      <c r="L49" s="222">
        <f>'0. Database'!M71</f>
        <v/>
      </c>
      <c r="M49" s="222">
        <f>'0. Database'!N71</f>
        <v/>
      </c>
      <c r="N49" s="222">
        <f>'0. Database'!O71</f>
        <v/>
      </c>
      <c r="O49" s="222">
        <f>'0. Database'!P71</f>
        <v/>
      </c>
      <c r="P49" s="222">
        <f>'0. Database'!Q71</f>
        <v/>
      </c>
      <c r="Q49" s="222">
        <f>'0. Database'!R71</f>
        <v/>
      </c>
      <c r="R49" s="222">
        <f>'0. Database'!S71</f>
        <v/>
      </c>
      <c r="S49" s="222">
        <f>'0. Database'!T71</f>
        <v/>
      </c>
    </row>
    <row r="51" ht="15" customHeight="1" s="197">
      <c r="A51" s="219" t="inlineStr">
        <is>
          <t>B. Operating IncomeMargin %</t>
        </is>
      </c>
    </row>
    <row r="52" ht="15" customHeight="1" s="197">
      <c r="A52" s="220" t="inlineStr">
        <is>
          <t>Company</t>
        </is>
      </c>
      <c r="B52" s="201" t="inlineStr">
        <is>
          <t>2013A</t>
        </is>
      </c>
      <c r="C52" s="201" t="inlineStr">
        <is>
          <t>2014A</t>
        </is>
      </c>
      <c r="D52" s="201" t="inlineStr">
        <is>
          <t>2015A</t>
        </is>
      </c>
      <c r="E52" s="201" t="inlineStr">
        <is>
          <t>2016A</t>
        </is>
      </c>
      <c r="F52" s="201" t="inlineStr">
        <is>
          <t>2017A</t>
        </is>
      </c>
      <c r="G52" s="201" t="inlineStr">
        <is>
          <t>2018A</t>
        </is>
      </c>
      <c r="H52" s="201" t="inlineStr">
        <is>
          <t>2019A</t>
        </is>
      </c>
      <c r="I52" s="201" t="inlineStr">
        <is>
          <t>2020A</t>
        </is>
      </c>
      <c r="J52" s="201" t="inlineStr">
        <is>
          <t>2021A</t>
        </is>
      </c>
      <c r="K52" s="201" t="inlineStr">
        <is>
          <t>2022A</t>
        </is>
      </c>
      <c r="L52" s="201" t="inlineStr">
        <is>
          <t>2023A</t>
        </is>
      </c>
      <c r="M52" s="201" t="inlineStr">
        <is>
          <t>2024A</t>
        </is>
      </c>
      <c r="N52" s="201" t="inlineStr">
        <is>
          <t>2025E</t>
        </is>
      </c>
      <c r="O52" s="201" t="inlineStr">
        <is>
          <t>2026E</t>
        </is>
      </c>
      <c r="P52" s="201" t="inlineStr">
        <is>
          <t>2027E</t>
        </is>
      </c>
      <c r="Q52" s="201" t="inlineStr">
        <is>
          <t>2028E</t>
        </is>
      </c>
      <c r="R52" s="201" t="inlineStr">
        <is>
          <t>2029E</t>
        </is>
      </c>
      <c r="S52" s="201" t="inlineStr">
        <is>
          <t>2030E</t>
        </is>
      </c>
    </row>
    <row r="53" ht="15" customHeight="1" s="197">
      <c r="A53" s="221" t="inlineStr">
        <is>
          <t>MSFT</t>
        </is>
      </c>
      <c r="B53" s="225">
        <f>IFERROR(B5/B45,"")</f>
        <v/>
      </c>
      <c r="C53" s="225">
        <f>IFERROR(C5/C45,"")</f>
        <v/>
      </c>
      <c r="D53" s="225">
        <f>IFERROR(D5/D45,"")</f>
        <v/>
      </c>
      <c r="E53" s="225">
        <f>IFERROR(E5/E45,"")</f>
        <v/>
      </c>
      <c r="F53" s="225">
        <f>IFERROR(F5/F45,"")</f>
        <v/>
      </c>
      <c r="G53" s="225">
        <f>IFERROR(G5/G45,"")</f>
        <v/>
      </c>
      <c r="H53" s="225">
        <f>IFERROR(H5/H45,"")</f>
        <v/>
      </c>
      <c r="I53" s="225">
        <f>IFERROR(I5/I45,"")</f>
        <v/>
      </c>
      <c r="J53" s="225">
        <f>IFERROR(J5/J45,"")</f>
        <v/>
      </c>
      <c r="K53" s="225">
        <f>IFERROR(K5/K45,"")</f>
        <v/>
      </c>
      <c r="L53" s="225">
        <f>IFERROR(L5/L45,"")</f>
        <v/>
      </c>
      <c r="M53" s="225">
        <f>IFERROR(M5/M45,"")</f>
        <v/>
      </c>
      <c r="N53" s="225">
        <f>IFERROR(N5/N45,"")</f>
        <v/>
      </c>
      <c r="O53" s="225">
        <f>IFERROR(O5/O45,"")</f>
        <v/>
      </c>
      <c r="P53" s="225">
        <f>IFERROR(P5/P45,"")</f>
        <v/>
      </c>
      <c r="Q53" s="225">
        <f>IFERROR(Q5/Q45,"")</f>
        <v/>
      </c>
      <c r="R53" s="225">
        <f>IFERROR(R5/R45,"")</f>
        <v/>
      </c>
      <c r="S53" s="225">
        <f>IFERROR(S5/S45,"")</f>
        <v/>
      </c>
    </row>
    <row r="54" ht="15" customHeight="1" s="197">
      <c r="A54" s="221" t="inlineStr">
        <is>
          <t>AMZN</t>
        </is>
      </c>
      <c r="B54" s="225">
        <f>IFERROR(B6/B46,"")</f>
        <v/>
      </c>
      <c r="C54" s="225">
        <f>IFERROR(C6/C46,"")</f>
        <v/>
      </c>
      <c r="D54" s="225">
        <f>IFERROR(D6/D46,"")</f>
        <v/>
      </c>
      <c r="E54" s="225">
        <f>IFERROR(E6/E46,"")</f>
        <v/>
      </c>
      <c r="F54" s="225">
        <f>IFERROR(F6/F46,"")</f>
        <v/>
      </c>
      <c r="G54" s="225">
        <f>IFERROR(G6/G46,"")</f>
        <v/>
      </c>
      <c r="H54" s="225">
        <f>IFERROR(H6/H46,"")</f>
        <v/>
      </c>
      <c r="I54" s="225">
        <f>IFERROR(I6/I46,"")</f>
        <v/>
      </c>
      <c r="J54" s="225">
        <f>IFERROR(J6/J46,"")</f>
        <v/>
      </c>
      <c r="K54" s="225">
        <f>IFERROR(K6/K46,"")</f>
        <v/>
      </c>
      <c r="L54" s="225">
        <f>IFERROR(L6/L46,"")</f>
        <v/>
      </c>
      <c r="M54" s="225">
        <f>IFERROR(M6/M46,"")</f>
        <v/>
      </c>
      <c r="N54" s="225">
        <f>IFERROR(N6/N46,"")</f>
        <v/>
      </c>
      <c r="O54" s="225">
        <f>IFERROR(O6/O46,"")</f>
        <v/>
      </c>
      <c r="P54" s="225">
        <f>IFERROR(P6/P46,"")</f>
        <v/>
      </c>
      <c r="Q54" s="225">
        <f>IFERROR(Q6/Q46,"")</f>
        <v/>
      </c>
      <c r="R54" s="225">
        <f>IFERROR(R6/R46,"")</f>
        <v/>
      </c>
      <c r="S54" s="225">
        <f>IFERROR(S6/S46,"")</f>
        <v/>
      </c>
    </row>
    <row r="55" ht="15" customHeight="1" s="197">
      <c r="A55" s="221" t="inlineStr">
        <is>
          <t>GOOGL</t>
        </is>
      </c>
      <c r="B55" s="225">
        <f>IFERROR(B7/B47,"")</f>
        <v/>
      </c>
      <c r="C55" s="225">
        <f>IFERROR(C7/C47,"")</f>
        <v/>
      </c>
      <c r="D55" s="225">
        <f>IFERROR(D7/D47,"")</f>
        <v/>
      </c>
      <c r="E55" s="225">
        <f>IFERROR(E7/E47,"")</f>
        <v/>
      </c>
      <c r="F55" s="225">
        <f>IFERROR(F7/F47,"")</f>
        <v/>
      </c>
      <c r="G55" s="225">
        <f>IFERROR(G7/G47,"")</f>
        <v/>
      </c>
      <c r="H55" s="225">
        <f>IFERROR(H7/H47,"")</f>
        <v/>
      </c>
      <c r="I55" s="225">
        <f>IFERROR(I7/I47,"")</f>
        <v/>
      </c>
      <c r="J55" s="225">
        <f>IFERROR(J7/J47,"")</f>
        <v/>
      </c>
      <c r="K55" s="225">
        <f>IFERROR(K7/K47,"")</f>
        <v/>
      </c>
      <c r="L55" s="225">
        <f>IFERROR(L7/L47,"")</f>
        <v/>
      </c>
      <c r="M55" s="225">
        <f>IFERROR(M7/M47,"")</f>
        <v/>
      </c>
      <c r="N55" s="225">
        <f>IFERROR(N7/N47,"")</f>
        <v/>
      </c>
      <c r="O55" s="225">
        <f>IFERROR(O7/O47,"")</f>
        <v/>
      </c>
      <c r="P55" s="225">
        <f>IFERROR(P7/P47,"")</f>
        <v/>
      </c>
      <c r="Q55" s="225">
        <f>IFERROR(Q7/Q47,"")</f>
        <v/>
      </c>
      <c r="R55" s="225">
        <f>IFERROR(R7/R47,"")</f>
        <v/>
      </c>
      <c r="S55" s="225">
        <f>IFERROR(S7/S47,"")</f>
        <v/>
      </c>
    </row>
    <row r="56" ht="15" customHeight="1" s="197">
      <c r="A56" s="221" t="inlineStr">
        <is>
          <t>META</t>
        </is>
      </c>
      <c r="B56" s="225">
        <f>IFERROR(B8/B48,"")</f>
        <v/>
      </c>
      <c r="C56" s="225">
        <f>IFERROR(C8/C48,"")</f>
        <v/>
      </c>
      <c r="D56" s="225">
        <f>IFERROR(D8/D48,"")</f>
        <v/>
      </c>
      <c r="E56" s="225">
        <f>IFERROR(E8/E48,"")</f>
        <v/>
      </c>
      <c r="F56" s="225">
        <f>IFERROR(F8/F48,"")</f>
        <v/>
      </c>
      <c r="G56" s="225">
        <f>IFERROR(G8/G48,"")</f>
        <v/>
      </c>
      <c r="H56" s="225">
        <f>IFERROR(H8/H48,"")</f>
        <v/>
      </c>
      <c r="I56" s="225">
        <f>IFERROR(I8/I48,"")</f>
        <v/>
      </c>
      <c r="J56" s="225">
        <f>IFERROR(J8/J48,"")</f>
        <v/>
      </c>
      <c r="K56" s="225">
        <f>IFERROR(K8/K48,"")</f>
        <v/>
      </c>
      <c r="L56" s="225">
        <f>IFERROR(L8/L48,"")</f>
        <v/>
      </c>
      <c r="M56" s="225">
        <f>IFERROR(M8/M48,"")</f>
        <v/>
      </c>
      <c r="N56" s="225">
        <f>IFERROR(N8/N48,"")</f>
        <v/>
      </c>
      <c r="O56" s="225">
        <f>IFERROR(O8/O48,"")</f>
        <v/>
      </c>
      <c r="P56" s="225">
        <f>IFERROR(P8/P48,"")</f>
        <v/>
      </c>
      <c r="Q56" s="225">
        <f>IFERROR(Q8/Q48,"")</f>
        <v/>
      </c>
      <c r="R56" s="225">
        <f>IFERROR(R8/R48,"")</f>
        <v/>
      </c>
      <c r="S56" s="225">
        <f>IFERROR(S8/S48,"")</f>
        <v/>
      </c>
    </row>
    <row r="57" ht="15" customHeight="1" s="197">
      <c r="A57" s="221" t="inlineStr">
        <is>
          <t>ORCL</t>
        </is>
      </c>
      <c r="B57" s="225">
        <f>IFERROR(B9/B49,"")</f>
        <v/>
      </c>
      <c r="C57" s="225">
        <f>IFERROR(C9/C49,"")</f>
        <v/>
      </c>
      <c r="D57" s="225">
        <f>IFERROR(D9/D49,"")</f>
        <v/>
      </c>
      <c r="E57" s="225">
        <f>IFERROR(E9/E49,"")</f>
        <v/>
      </c>
      <c r="F57" s="225">
        <f>IFERROR(F9/F49,"")</f>
        <v/>
      </c>
      <c r="G57" s="225">
        <f>IFERROR(G9/G49,"")</f>
        <v/>
      </c>
      <c r="H57" s="225">
        <f>IFERROR(H9/H49,"")</f>
        <v/>
      </c>
      <c r="I57" s="225">
        <f>IFERROR(I9/I49,"")</f>
        <v/>
      </c>
      <c r="J57" s="225">
        <f>IFERROR(J9/J49,"")</f>
        <v/>
      </c>
      <c r="K57" s="225">
        <f>IFERROR(K9/K49,"")</f>
        <v/>
      </c>
      <c r="L57" s="225">
        <f>IFERROR(L9/L49,"")</f>
        <v/>
      </c>
      <c r="M57" s="225">
        <f>IFERROR(M9/M49,"")</f>
        <v/>
      </c>
      <c r="N57" s="225">
        <f>IFERROR(N9/N49,"")</f>
        <v/>
      </c>
      <c r="O57" s="225">
        <f>IFERROR(O9/O49,"")</f>
        <v/>
      </c>
      <c r="P57" s="225">
        <f>IFERROR(P9/P49,"")</f>
        <v/>
      </c>
      <c r="Q57" s="225">
        <f>IFERROR(Q9/Q49,"")</f>
        <v/>
      </c>
      <c r="R57" s="225">
        <f>IFERROR(R9/R49,"")</f>
        <v/>
      </c>
      <c r="S57" s="225">
        <f>IFERROR(S9/S49,"")</f>
        <v/>
      </c>
    </row>
    <row r="59" ht="15" customHeight="1" s="197">
      <c r="A59" s="219" t="inlineStr">
        <is>
          <t>D. Net Margin %</t>
        </is>
      </c>
    </row>
    <row r="60" ht="15" customHeight="1" s="197">
      <c r="A60" s="220" t="inlineStr">
        <is>
          <t>Company</t>
        </is>
      </c>
      <c r="B60" s="201" t="inlineStr">
        <is>
          <t>2013A</t>
        </is>
      </c>
      <c r="C60" s="201" t="inlineStr">
        <is>
          <t>2014A</t>
        </is>
      </c>
      <c r="D60" s="201" t="inlineStr">
        <is>
          <t>2015A</t>
        </is>
      </c>
      <c r="E60" s="201" t="inlineStr">
        <is>
          <t>2016A</t>
        </is>
      </c>
      <c r="F60" s="201" t="inlineStr">
        <is>
          <t>2017A</t>
        </is>
      </c>
      <c r="G60" s="201" t="inlineStr">
        <is>
          <t>2018A</t>
        </is>
      </c>
      <c r="H60" s="201" t="inlineStr">
        <is>
          <t>2019A</t>
        </is>
      </c>
      <c r="I60" s="201" t="inlineStr">
        <is>
          <t>2020A</t>
        </is>
      </c>
      <c r="J60" s="201" t="inlineStr">
        <is>
          <t>2021A</t>
        </is>
      </c>
      <c r="K60" s="201" t="inlineStr">
        <is>
          <t>2022A</t>
        </is>
      </c>
      <c r="L60" s="201" t="inlineStr">
        <is>
          <t>2023A</t>
        </is>
      </c>
      <c r="M60" s="201" t="inlineStr">
        <is>
          <t>2024A</t>
        </is>
      </c>
      <c r="N60" s="201" t="inlineStr">
        <is>
          <t>2025E</t>
        </is>
      </c>
      <c r="O60" s="201" t="inlineStr">
        <is>
          <t>2026E</t>
        </is>
      </c>
      <c r="P60" s="201" t="inlineStr">
        <is>
          <t>2027E</t>
        </is>
      </c>
      <c r="Q60" s="201" t="inlineStr">
        <is>
          <t>2028E</t>
        </is>
      </c>
      <c r="R60" s="201" t="inlineStr">
        <is>
          <t>2029E</t>
        </is>
      </c>
      <c r="S60" s="201" t="inlineStr">
        <is>
          <t>2030E</t>
        </is>
      </c>
    </row>
    <row r="61" ht="15" customHeight="1" s="197">
      <c r="A61" s="221" t="inlineStr">
        <is>
          <t>MSFT</t>
        </is>
      </c>
      <c r="B61" s="225">
        <f>IFERROR(B13/B45,"")</f>
        <v/>
      </c>
      <c r="C61" s="225">
        <f>IFERROR(C13/C45,"")</f>
        <v/>
      </c>
      <c r="D61" s="225">
        <f>IFERROR(D13/D45,"")</f>
        <v/>
      </c>
      <c r="E61" s="225">
        <f>IFERROR(E13/E45,"")</f>
        <v/>
      </c>
      <c r="F61" s="225">
        <f>IFERROR(F13/F45,"")</f>
        <v/>
      </c>
      <c r="G61" s="225">
        <f>IFERROR(G13/G45,"")</f>
        <v/>
      </c>
      <c r="H61" s="225">
        <f>IFERROR(H13/H45,"")</f>
        <v/>
      </c>
      <c r="I61" s="225">
        <f>IFERROR(I13/I45,"")</f>
        <v/>
      </c>
      <c r="J61" s="225">
        <f>IFERROR(J13/J45,"")</f>
        <v/>
      </c>
      <c r="K61" s="225">
        <f>IFERROR(K13/K45,"")</f>
        <v/>
      </c>
      <c r="L61" s="225">
        <f>IFERROR(L13/L45,"")</f>
        <v/>
      </c>
      <c r="M61" s="225">
        <f>IFERROR(M13/M45,"")</f>
        <v/>
      </c>
      <c r="N61" s="225">
        <f>IFERROR(N13/N45,"")</f>
        <v/>
      </c>
      <c r="O61" s="225">
        <f>IFERROR(O13/O45,"")</f>
        <v/>
      </c>
      <c r="P61" s="225">
        <f>IFERROR(P13/P45,"")</f>
        <v/>
      </c>
      <c r="Q61" s="225">
        <f>IFERROR(Q13/Q45,"")</f>
        <v/>
      </c>
      <c r="R61" s="225">
        <f>IFERROR(R13/R45,"")</f>
        <v/>
      </c>
      <c r="S61" s="225">
        <f>IFERROR(S13/S45,"")</f>
        <v/>
      </c>
    </row>
    <row r="62" ht="15" customHeight="1" s="197">
      <c r="A62" s="221" t="inlineStr">
        <is>
          <t>AMZN</t>
        </is>
      </c>
      <c r="B62" s="225">
        <f>IFERROR(B14/B46,"")</f>
        <v/>
      </c>
      <c r="C62" s="225">
        <f>IFERROR(C14/C46,"")</f>
        <v/>
      </c>
      <c r="D62" s="225">
        <f>IFERROR(D14/D46,"")</f>
        <v/>
      </c>
      <c r="E62" s="225">
        <f>IFERROR(E14/E46,"")</f>
        <v/>
      </c>
      <c r="F62" s="225">
        <f>IFERROR(F14/F46,"")</f>
        <v/>
      </c>
      <c r="G62" s="225">
        <f>IFERROR(G14/G46,"")</f>
        <v/>
      </c>
      <c r="H62" s="225">
        <f>IFERROR(H14/H46,"")</f>
        <v/>
      </c>
      <c r="I62" s="225">
        <f>IFERROR(I14/I46,"")</f>
        <v/>
      </c>
      <c r="J62" s="225">
        <f>IFERROR(J14/J46,"")</f>
        <v/>
      </c>
      <c r="K62" s="225">
        <f>IFERROR(K14/K46,"")</f>
        <v/>
      </c>
      <c r="L62" s="225">
        <f>IFERROR(L14/L46,"")</f>
        <v/>
      </c>
      <c r="M62" s="225">
        <f>IFERROR(M14/M46,"")</f>
        <v/>
      </c>
      <c r="N62" s="225">
        <f>IFERROR(N14/N46,"")</f>
        <v/>
      </c>
      <c r="O62" s="225">
        <f>IFERROR(O14/O46,"")</f>
        <v/>
      </c>
      <c r="P62" s="225">
        <f>IFERROR(P14/P46,"")</f>
        <v/>
      </c>
      <c r="Q62" s="225">
        <f>IFERROR(Q14/Q46,"")</f>
        <v/>
      </c>
      <c r="R62" s="225">
        <f>IFERROR(R14/R46,"")</f>
        <v/>
      </c>
      <c r="S62" s="225">
        <f>IFERROR(S14/S46,"")</f>
        <v/>
      </c>
    </row>
    <row r="63" ht="15" customHeight="1" s="197">
      <c r="A63" s="221" t="inlineStr">
        <is>
          <t>GOOGL</t>
        </is>
      </c>
      <c r="B63" s="225">
        <f>IFERROR(B15/B47,"")</f>
        <v/>
      </c>
      <c r="C63" s="225">
        <f>IFERROR(C15/C47,"")</f>
        <v/>
      </c>
      <c r="D63" s="225">
        <f>IFERROR(D15/D47,"")</f>
        <v/>
      </c>
      <c r="E63" s="225">
        <f>IFERROR(E15/E47,"")</f>
        <v/>
      </c>
      <c r="F63" s="225">
        <f>IFERROR(F15/F47,"")</f>
        <v/>
      </c>
      <c r="G63" s="225">
        <f>IFERROR(G15/G47,"")</f>
        <v/>
      </c>
      <c r="H63" s="225">
        <f>IFERROR(H15/H47,"")</f>
        <v/>
      </c>
      <c r="I63" s="225">
        <f>IFERROR(I15/I47,"")</f>
        <v/>
      </c>
      <c r="J63" s="225">
        <f>IFERROR(J15/J47,"")</f>
        <v/>
      </c>
      <c r="K63" s="225">
        <f>IFERROR(K15/K47,"")</f>
        <v/>
      </c>
      <c r="L63" s="225">
        <f>IFERROR(L15/L47,"")</f>
        <v/>
      </c>
      <c r="M63" s="225">
        <f>IFERROR(M15/M47,"")</f>
        <v/>
      </c>
      <c r="N63" s="225">
        <f>IFERROR(N15/N47,"")</f>
        <v/>
      </c>
      <c r="O63" s="225">
        <f>IFERROR(O15/O47,"")</f>
        <v/>
      </c>
      <c r="P63" s="225">
        <f>IFERROR(P15/P47,"")</f>
        <v/>
      </c>
      <c r="Q63" s="225">
        <f>IFERROR(Q15/Q47,"")</f>
        <v/>
      </c>
      <c r="R63" s="225">
        <f>IFERROR(R15/R47,"")</f>
        <v/>
      </c>
      <c r="S63" s="225">
        <f>IFERROR(S15/S47,"")</f>
        <v/>
      </c>
    </row>
    <row r="64" ht="15" customHeight="1" s="197">
      <c r="A64" s="221" t="inlineStr">
        <is>
          <t>META</t>
        </is>
      </c>
      <c r="B64" s="225">
        <f>IFERROR(B16/B48,"")</f>
        <v/>
      </c>
      <c r="C64" s="225">
        <f>IFERROR(C16/C48,"")</f>
        <v/>
      </c>
      <c r="D64" s="225">
        <f>IFERROR(D16/D48,"")</f>
        <v/>
      </c>
      <c r="E64" s="225">
        <f>IFERROR(E16/E48,"")</f>
        <v/>
      </c>
      <c r="F64" s="225">
        <f>IFERROR(F16/F48,"")</f>
        <v/>
      </c>
      <c r="G64" s="225">
        <f>IFERROR(G16/G48,"")</f>
        <v/>
      </c>
      <c r="H64" s="225">
        <f>IFERROR(H16/H48,"")</f>
        <v/>
      </c>
      <c r="I64" s="225">
        <f>IFERROR(I16/I48,"")</f>
        <v/>
      </c>
      <c r="J64" s="225">
        <f>IFERROR(J16/J48,"")</f>
        <v/>
      </c>
      <c r="K64" s="225">
        <f>IFERROR(K16/K48,"")</f>
        <v/>
      </c>
      <c r="L64" s="225">
        <f>IFERROR(L16/L48,"")</f>
        <v/>
      </c>
      <c r="M64" s="225">
        <f>IFERROR(M16/M48,"")</f>
        <v/>
      </c>
      <c r="N64" s="225">
        <f>IFERROR(N16/N48,"")</f>
        <v/>
      </c>
      <c r="O64" s="225">
        <f>IFERROR(O16/O48,"")</f>
        <v/>
      </c>
      <c r="P64" s="225">
        <f>IFERROR(P16/P48,"")</f>
        <v/>
      </c>
      <c r="Q64" s="225">
        <f>IFERROR(Q16/Q48,"")</f>
        <v/>
      </c>
      <c r="R64" s="225">
        <f>IFERROR(R16/R48,"")</f>
        <v/>
      </c>
      <c r="S64" s="225">
        <f>IFERROR(S16/S48,"")</f>
        <v/>
      </c>
    </row>
    <row r="65" ht="15" customHeight="1" s="197">
      <c r="A65" s="221" t="inlineStr">
        <is>
          <t>ORCL</t>
        </is>
      </c>
      <c r="B65" s="225">
        <f>IFERROR(B17/B49,"")</f>
        <v/>
      </c>
      <c r="C65" s="225">
        <f>IFERROR(C17/C49,"")</f>
        <v/>
      </c>
      <c r="D65" s="225">
        <f>IFERROR(D17/D49,"")</f>
        <v/>
      </c>
      <c r="E65" s="225">
        <f>IFERROR(E17/E49,"")</f>
        <v/>
      </c>
      <c r="F65" s="225">
        <f>IFERROR(F17/F49,"")</f>
        <v/>
      </c>
      <c r="G65" s="225">
        <f>IFERROR(G17/G49,"")</f>
        <v/>
      </c>
      <c r="H65" s="225">
        <f>IFERROR(H17/H49,"")</f>
        <v/>
      </c>
      <c r="I65" s="225">
        <f>IFERROR(I17/I49,"")</f>
        <v/>
      </c>
      <c r="J65" s="225">
        <f>IFERROR(J17/J49,"")</f>
        <v/>
      </c>
      <c r="K65" s="225">
        <f>IFERROR(K17/K49,"")</f>
        <v/>
      </c>
      <c r="L65" s="225">
        <f>IFERROR(L17/L49,"")</f>
        <v/>
      </c>
      <c r="M65" s="225">
        <f>IFERROR(M17/M49,"")</f>
        <v/>
      </c>
      <c r="N65" s="225">
        <f>IFERROR(N17/N49,"")</f>
        <v/>
      </c>
      <c r="O65" s="225">
        <f>IFERROR(O17/O49,"")</f>
        <v/>
      </c>
      <c r="P65" s="225">
        <f>IFERROR(P17/P49,"")</f>
        <v/>
      </c>
      <c r="Q65" s="225">
        <f>IFERROR(Q17/Q49,"")</f>
        <v/>
      </c>
      <c r="R65" s="225">
        <f>IFERROR(R17/R49,"")</f>
        <v/>
      </c>
      <c r="S65" s="225">
        <f>IFERROR(S17/S49,"")</f>
        <v/>
      </c>
    </row>
    <row r="67" ht="15" customHeight="1" s="197">
      <c r="A67" s="219" t="inlineStr">
        <is>
          <t>F. EPSYoY %</t>
        </is>
      </c>
    </row>
    <row r="68" ht="15" customHeight="1" s="197">
      <c r="A68" s="220" t="inlineStr">
        <is>
          <t>Company</t>
        </is>
      </c>
      <c r="B68" s="201" t="inlineStr">
        <is>
          <t>2013A</t>
        </is>
      </c>
      <c r="C68" s="201" t="inlineStr">
        <is>
          <t>2014A</t>
        </is>
      </c>
      <c r="D68" s="201" t="inlineStr">
        <is>
          <t>2015A</t>
        </is>
      </c>
      <c r="E68" s="201" t="inlineStr">
        <is>
          <t>2016A</t>
        </is>
      </c>
      <c r="F68" s="201" t="inlineStr">
        <is>
          <t>2017A</t>
        </is>
      </c>
      <c r="G68" s="201" t="inlineStr">
        <is>
          <t>2018A</t>
        </is>
      </c>
      <c r="H68" s="201" t="inlineStr">
        <is>
          <t>2019A</t>
        </is>
      </c>
      <c r="I68" s="201" t="inlineStr">
        <is>
          <t>2020A</t>
        </is>
      </c>
      <c r="J68" s="201" t="inlineStr">
        <is>
          <t>2021A</t>
        </is>
      </c>
      <c r="K68" s="201" t="inlineStr">
        <is>
          <t>2022A</t>
        </is>
      </c>
      <c r="L68" s="201" t="inlineStr">
        <is>
          <t>2023A</t>
        </is>
      </c>
      <c r="M68" s="201" t="inlineStr">
        <is>
          <t>2024A</t>
        </is>
      </c>
      <c r="N68" s="201" t="inlineStr">
        <is>
          <t>2025E</t>
        </is>
      </c>
      <c r="O68" s="201" t="inlineStr">
        <is>
          <t>2026E</t>
        </is>
      </c>
      <c r="P68" s="201" t="inlineStr">
        <is>
          <t>2027E</t>
        </is>
      </c>
      <c r="Q68" s="201" t="inlineStr">
        <is>
          <t>2028E</t>
        </is>
      </c>
      <c r="R68" s="201" t="inlineStr">
        <is>
          <t>2029E</t>
        </is>
      </c>
      <c r="S68" s="201" t="inlineStr">
        <is>
          <t>2030E</t>
        </is>
      </c>
    </row>
    <row r="69" ht="15" customHeight="1" s="197">
      <c r="A69" s="221" t="inlineStr">
        <is>
          <t>MSFT</t>
        </is>
      </c>
      <c r="B69" s="224" t="n"/>
      <c r="C69" s="225">
        <f>IFERROR(C21/B21-1,"")</f>
        <v/>
      </c>
      <c r="D69" s="225">
        <f>IFERROR(D21/C21-1,"")</f>
        <v/>
      </c>
      <c r="E69" s="225">
        <f>IFERROR(E21/D21-1,"")</f>
        <v/>
      </c>
      <c r="F69" s="225">
        <f>IFERROR(F21/E21-1,"")</f>
        <v/>
      </c>
      <c r="G69" s="225">
        <f>IFERROR(G21/F21-1,"")</f>
        <v/>
      </c>
      <c r="H69" s="225">
        <f>IFERROR(H21/G21-1,"")</f>
        <v/>
      </c>
      <c r="I69" s="225">
        <f>IFERROR(I21/H21-1,"")</f>
        <v/>
      </c>
      <c r="J69" s="225">
        <f>IFERROR(J21/I21-1,"")</f>
        <v/>
      </c>
      <c r="K69" s="225">
        <f>IFERROR(K21/J21-1,"")</f>
        <v/>
      </c>
      <c r="L69" s="225">
        <f>IFERROR(L21/K21-1,"")</f>
        <v/>
      </c>
      <c r="M69" s="225">
        <f>IFERROR(M21/L21-1,"")</f>
        <v/>
      </c>
      <c r="N69" s="225">
        <f>IFERROR(N21/M21-1,"")</f>
        <v/>
      </c>
      <c r="O69" s="225">
        <f>IFERROR(O21/N21-1,"")</f>
        <v/>
      </c>
      <c r="P69" s="225">
        <f>IFERROR(P21/O21-1,"")</f>
        <v/>
      </c>
      <c r="Q69" s="225">
        <f>IFERROR(Q21/P21-1,"")</f>
        <v/>
      </c>
      <c r="R69" s="225">
        <f>IFERROR(R21/Q21-1,"")</f>
        <v/>
      </c>
      <c r="S69" s="225">
        <f>IFERROR(S21/R21-1,"")</f>
        <v/>
      </c>
    </row>
    <row r="70" ht="15" customHeight="1" s="197">
      <c r="A70" s="221" t="inlineStr">
        <is>
          <t>AMZN</t>
        </is>
      </c>
      <c r="B70" s="224" t="n"/>
      <c r="C70" s="225">
        <f>IFERROR(C22/B22-1,"")</f>
        <v/>
      </c>
      <c r="D70" s="225">
        <f>IFERROR(D22/C22-1,"")</f>
        <v/>
      </c>
      <c r="E70" s="225">
        <f>IFERROR(E22/D22-1,"")</f>
        <v/>
      </c>
      <c r="F70" s="225">
        <f>IFERROR(F22/E22-1,"")</f>
        <v/>
      </c>
      <c r="G70" s="225">
        <f>IFERROR(G22/F22-1,"")</f>
        <v/>
      </c>
      <c r="H70" s="225">
        <f>IFERROR(H22/G22-1,"")</f>
        <v/>
      </c>
      <c r="I70" s="225">
        <f>IFERROR(I22/H22-1,"")</f>
        <v/>
      </c>
      <c r="J70" s="225">
        <f>IFERROR(J22/I22-1,"")</f>
        <v/>
      </c>
      <c r="K70" s="225">
        <f>IFERROR(K22/J22-1,"")</f>
        <v/>
      </c>
      <c r="L70" s="225">
        <f>IFERROR(L22/K22-1,"")</f>
        <v/>
      </c>
      <c r="M70" s="225">
        <f>IFERROR(M22/L22-1,"")</f>
        <v/>
      </c>
      <c r="N70" s="225">
        <f>IFERROR(N22/M22-1,"")</f>
        <v/>
      </c>
      <c r="O70" s="225">
        <f>IFERROR(O22/N22-1,"")</f>
        <v/>
      </c>
      <c r="P70" s="225">
        <f>IFERROR(P22/O22-1,"")</f>
        <v/>
      </c>
      <c r="Q70" s="225">
        <f>IFERROR(Q22/P22-1,"")</f>
        <v/>
      </c>
      <c r="R70" s="225">
        <f>IFERROR(R22/Q22-1,"")</f>
        <v/>
      </c>
      <c r="S70" s="225">
        <f>IFERROR(S22/R22-1,"")</f>
        <v/>
      </c>
    </row>
    <row r="71" ht="15" customHeight="1" s="197">
      <c r="A71" s="221" t="inlineStr">
        <is>
          <t>GOOGL</t>
        </is>
      </c>
      <c r="B71" s="224" t="n"/>
      <c r="C71" s="225">
        <f>IFERROR(C23/B23-1,"")</f>
        <v/>
      </c>
      <c r="D71" s="225">
        <f>IFERROR(D23/C23-1,"")</f>
        <v/>
      </c>
      <c r="E71" s="225">
        <f>IFERROR(E23/D23-1,"")</f>
        <v/>
      </c>
      <c r="F71" s="225">
        <f>IFERROR(F23/E23-1,"")</f>
        <v/>
      </c>
      <c r="G71" s="225">
        <f>IFERROR(G23/F23-1,"")</f>
        <v/>
      </c>
      <c r="H71" s="225">
        <f>IFERROR(H23/G23-1,"")</f>
        <v/>
      </c>
      <c r="I71" s="225">
        <f>IFERROR(I23/H23-1,"")</f>
        <v/>
      </c>
      <c r="J71" s="225">
        <f>IFERROR(J23/I23-1,"")</f>
        <v/>
      </c>
      <c r="K71" s="225">
        <f>IFERROR(K23/J23-1,"")</f>
        <v/>
      </c>
      <c r="L71" s="225">
        <f>IFERROR(L23/K23-1,"")</f>
        <v/>
      </c>
      <c r="M71" s="225">
        <f>IFERROR(M23/L23-1,"")</f>
        <v/>
      </c>
      <c r="N71" s="225">
        <f>IFERROR(N23/M23-1,"")</f>
        <v/>
      </c>
      <c r="O71" s="225">
        <f>IFERROR(O23/N23-1,"")</f>
        <v/>
      </c>
      <c r="P71" s="225">
        <f>IFERROR(P23/O23-1,"")</f>
        <v/>
      </c>
      <c r="Q71" s="225">
        <f>IFERROR(Q23/P23-1,"")</f>
        <v/>
      </c>
      <c r="R71" s="225">
        <f>IFERROR(R23/Q23-1,"")</f>
        <v/>
      </c>
      <c r="S71" s="225">
        <f>IFERROR(S23/R23-1,"")</f>
        <v/>
      </c>
    </row>
    <row r="72" ht="15" customHeight="1" s="197">
      <c r="A72" s="221" t="inlineStr">
        <is>
          <t>META</t>
        </is>
      </c>
      <c r="B72" s="224" t="n"/>
      <c r="C72" s="225">
        <f>IFERROR(C24/B24-1,"")</f>
        <v/>
      </c>
      <c r="D72" s="225">
        <f>IFERROR(D24/C24-1,"")</f>
        <v/>
      </c>
      <c r="E72" s="225">
        <f>IFERROR(E24/D24-1,"")</f>
        <v/>
      </c>
      <c r="F72" s="225">
        <f>IFERROR(F24/E24-1,"")</f>
        <v/>
      </c>
      <c r="G72" s="225">
        <f>IFERROR(G24/F24-1,"")</f>
        <v/>
      </c>
      <c r="H72" s="225">
        <f>IFERROR(H24/G24-1,"")</f>
        <v/>
      </c>
      <c r="I72" s="225">
        <f>IFERROR(I24/H24-1,"")</f>
        <v/>
      </c>
      <c r="J72" s="225">
        <f>IFERROR(J24/I24-1,"")</f>
        <v/>
      </c>
      <c r="K72" s="225">
        <f>IFERROR(K24/J24-1,"")</f>
        <v/>
      </c>
      <c r="L72" s="225">
        <f>IFERROR(L24/K24-1,"")</f>
        <v/>
      </c>
      <c r="M72" s="225">
        <f>IFERROR(M24/L24-1,"")</f>
        <v/>
      </c>
      <c r="N72" s="225">
        <f>IFERROR(N24/M24-1,"")</f>
        <v/>
      </c>
      <c r="O72" s="225">
        <f>IFERROR(O24/N24-1,"")</f>
        <v/>
      </c>
      <c r="P72" s="225">
        <f>IFERROR(P24/O24-1,"")</f>
        <v/>
      </c>
      <c r="Q72" s="225">
        <f>IFERROR(Q24/P24-1,"")</f>
        <v/>
      </c>
      <c r="R72" s="225">
        <f>IFERROR(R24/Q24-1,"")</f>
        <v/>
      </c>
      <c r="S72" s="225">
        <f>IFERROR(S24/R24-1,"")</f>
        <v/>
      </c>
    </row>
    <row r="73" ht="15" customHeight="1" s="197">
      <c r="A73" s="221" t="inlineStr">
        <is>
          <t>ORCL</t>
        </is>
      </c>
      <c r="B73" s="224" t="n"/>
      <c r="C73" s="225">
        <f>IFERROR(C25/B25-1,"")</f>
        <v/>
      </c>
      <c r="D73" s="225">
        <f>IFERROR(D25/C25-1,"")</f>
        <v/>
      </c>
      <c r="E73" s="225">
        <f>IFERROR(E25/D25-1,"")</f>
        <v/>
      </c>
      <c r="F73" s="225">
        <f>IFERROR(F25/E25-1,"")</f>
        <v/>
      </c>
      <c r="G73" s="225">
        <f>IFERROR(G25/F25-1,"")</f>
        <v/>
      </c>
      <c r="H73" s="225">
        <f>IFERROR(H25/G25-1,"")</f>
        <v/>
      </c>
      <c r="I73" s="225">
        <f>IFERROR(I25/H25-1,"")</f>
        <v/>
      </c>
      <c r="J73" s="225">
        <f>IFERROR(J25/I25-1,"")</f>
        <v/>
      </c>
      <c r="K73" s="225">
        <f>IFERROR(K25/J25-1,"")</f>
        <v/>
      </c>
      <c r="L73" s="225">
        <f>IFERROR(L25/K25-1,"")</f>
        <v/>
      </c>
      <c r="M73" s="225">
        <f>IFERROR(M25/L25-1,"")</f>
        <v/>
      </c>
      <c r="N73" s="225">
        <f>IFERROR(N25/M25-1,"")</f>
        <v/>
      </c>
      <c r="O73" s="225">
        <f>IFERROR(O25/N25-1,"")</f>
        <v/>
      </c>
      <c r="P73" s="225">
        <f>IFERROR(P25/O25-1,"")</f>
        <v/>
      </c>
      <c r="Q73" s="225">
        <f>IFERROR(Q25/P25-1,"")</f>
        <v/>
      </c>
      <c r="R73" s="225">
        <f>IFERROR(R25/Q25-1,"")</f>
        <v/>
      </c>
      <c r="S73" s="225">
        <f>IFERROR(S25/R25-1,"")</f>
        <v/>
      </c>
    </row>
  </sheetData>
  <mergeCells count="10">
    <mergeCell ref="A43:S43"/>
    <mergeCell ref="A19:S19"/>
    <mergeCell ref="A11:S11"/>
    <mergeCell ref="A51:S51"/>
    <mergeCell ref="A1:S1"/>
    <mergeCell ref="A27:S27"/>
    <mergeCell ref="A67:S67"/>
    <mergeCell ref="A3:S3"/>
    <mergeCell ref="A35:S35"/>
    <mergeCell ref="A59:S59"/>
  </mergeCells>
  <conditionalFormatting sqref="B53:S57">
    <cfRule type="colorScale" priority="2">
      <colorScale>
        <cfvo type="num" val="-0.2"/>
        <cfvo type="num" val="0.1"/>
        <cfvo type="num" val="0.35"/>
        <color rgb="FFF8696B"/>
        <color rgb="FFFFEB84"/>
        <color rgb="FF63BE7B"/>
      </colorScale>
    </cfRule>
  </conditionalFormatting>
  <conditionalFormatting sqref="B61:S65">
    <cfRule type="colorScale" priority="3">
      <colorScale>
        <cfvo type="num" val="-0.2"/>
        <cfvo type="num" val="0.1"/>
        <cfvo type="num" val="0.35"/>
        <color rgb="FFF8696B"/>
        <color rgb="FFFFEB84"/>
        <color rgb="FF63BE7B"/>
      </colorScale>
    </cfRule>
  </conditionalFormatting>
  <conditionalFormatting sqref="B69:S73">
    <cfRule type="colorScale" priority="4">
      <colorScale>
        <cfvo type="num" val="-0.2"/>
        <cfvo type="num" val="0.1"/>
        <cfvo type="num" val="0.35"/>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P10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196" min="1" max="1"/>
    <col width="11" customWidth="1" style="196" min="2" max="17"/>
  </cols>
  <sheetData>
    <row r="1" ht="25.5" customHeight="1" s="197">
      <c r="A1" s="198" t="inlineStr">
        <is>
          <t>D&amp;AAnalysis: Based on MSFT Actual PP&amp;E Breakdown's Proxy</t>
        </is>
      </c>
    </row>
    <row r="3" ht="15" customHeight="1" s="197">
      <c r="A3" s="219" t="inlineStr">
        <is>
          <t>A. MSFT Actual PP&amp;E/Capex Breakdown (Source: 's Capex sheet — ✅ Hard Data)</t>
        </is>
      </c>
    </row>
    <row r="4" ht="15" customHeight="1" s="197">
      <c r="A4" s="228" t="inlineStr">
        <is>
          <t>MSFT Capex Sheet actual PP&amp;E analysis. Company-level asset breakdown.</t>
        </is>
      </c>
    </row>
    <row r="5" ht="15" customHeight="1" s="197">
      <c r="A5" s="220" t="inlineStr">
        <is>
          <t>Metric (MSFT FY)</t>
        </is>
      </c>
      <c r="B5" s="201" t="inlineStr">
        <is>
          <t>FY2020A</t>
        </is>
      </c>
      <c r="C5" s="201" t="inlineStr">
        <is>
          <t>FY2021A</t>
        </is>
      </c>
      <c r="D5" s="201" t="inlineStr">
        <is>
          <t>FY2022A</t>
        </is>
      </c>
      <c r="E5" s="201" t="inlineStr">
        <is>
          <t>FY2023A</t>
        </is>
      </c>
      <c r="F5" s="201" t="inlineStr">
        <is>
          <t>FY2024A</t>
        </is>
      </c>
      <c r="G5" s="201" t="inlineStr">
        <is>
          <t>FY2025A</t>
        </is>
      </c>
      <c r="H5" s="201" t="inlineStr">
        <is>
          <t>FY2026E</t>
        </is>
      </c>
      <c r="I5" s="201" t="inlineStr">
        <is>
          <t>FY2027E</t>
        </is>
      </c>
      <c r="J5" s="201" t="inlineStr">
        <is>
          <t>FY2028E</t>
        </is>
      </c>
      <c r="K5" s="201" t="inlineStr">
        <is>
          <t>FY2029E</t>
        </is>
      </c>
      <c r="L5" s="201" t="inlineStr">
        <is>
          <t>FY2030E</t>
        </is>
      </c>
    </row>
    <row r="6" ht="15" customHeight="1" s="197">
      <c r="A6" s="229" t="inlineStr">
        <is>
          <t>IT Equipment Capex ($mm)</t>
        </is>
      </c>
      <c r="B6" s="205" t="n">
        <v>7438</v>
      </c>
      <c r="C6" s="205" t="n">
        <v>9989</v>
      </c>
      <c r="D6" s="205" t="n">
        <v>9381</v>
      </c>
      <c r="E6" s="205" t="n">
        <v>14330</v>
      </c>
      <c r="F6" s="205" t="n">
        <v>18819</v>
      </c>
      <c r="G6" s="205" t="n">
        <v>41432</v>
      </c>
      <c r="H6" s="205" t="n">
        <v>85947</v>
      </c>
      <c r="I6" s="205" t="n">
        <v>144612</v>
      </c>
      <c r="J6" s="205" t="n">
        <v>166321</v>
      </c>
      <c r="K6" s="205" t="n">
        <v>174122</v>
      </c>
      <c r="L6" s="205" t="n">
        <v>176677</v>
      </c>
    </row>
    <row r="7" ht="15" customHeight="1" s="197">
      <c r="A7" s="230" t="inlineStr">
        <is>
          <t>Buildings Capex ($mm)</t>
        </is>
      </c>
      <c r="B7" s="205" t="n">
        <v>4377</v>
      </c>
      <c r="C7" s="205" t="n">
        <v>6197</v>
      </c>
      <c r="D7" s="205" t="n">
        <v>7805</v>
      </c>
      <c r="E7" s="205" t="n">
        <v>10301</v>
      </c>
      <c r="F7" s="205" t="n">
        <v>13768</v>
      </c>
      <c r="G7" s="205" t="n">
        <v>36747</v>
      </c>
      <c r="H7" s="205" t="n">
        <v>50201</v>
      </c>
      <c r="I7" s="205" t="n">
        <v>83886</v>
      </c>
      <c r="J7" s="205" t="n">
        <v>100380</v>
      </c>
      <c r="K7" s="205" t="n">
        <v>105090</v>
      </c>
      <c r="L7" s="205" t="n">
        <v>106632</v>
      </c>
    </row>
    <row r="8" ht="15" customHeight="1" s="197">
      <c r="A8" s="230" t="inlineStr">
        <is>
          <t>Finance Leases Capex ($mm)</t>
        </is>
      </c>
      <c r="B8" s="205" t="n">
        <v>3330</v>
      </c>
      <c r="C8" s="205" t="n">
        <v>3736</v>
      </c>
      <c r="D8" s="205" t="n">
        <v>3281</v>
      </c>
      <c r="E8" s="205" t="n">
        <v>3150</v>
      </c>
      <c r="F8" s="205" t="n">
        <v>11710</v>
      </c>
      <c r="G8" s="205" t="n">
        <v>21628</v>
      </c>
      <c r="H8" s="205" t="n">
        <v>32878</v>
      </c>
      <c r="I8" s="205" t="n">
        <v>42085</v>
      </c>
      <c r="J8" s="205" t="n">
        <v>37876</v>
      </c>
      <c r="K8" s="205" t="n">
        <v>30301</v>
      </c>
      <c r="L8" s="205" t="n">
        <v>21211</v>
      </c>
    </row>
    <row r="9" ht="15" customHeight="1" s="197">
      <c r="A9" s="230" t="inlineStr">
        <is>
          <t>Capex ($mm)</t>
        </is>
      </c>
      <c r="B9" s="205" t="n">
        <v>396</v>
      </c>
      <c r="C9" s="205" t="n">
        <v>2380</v>
      </c>
      <c r="D9" s="205" t="n">
        <v>2525</v>
      </c>
      <c r="E9" s="205" t="n">
        <v>2053</v>
      </c>
      <c r="F9" s="205" t="n">
        <v>3823</v>
      </c>
      <c r="G9" s="205" t="n">
        <v>10020</v>
      </c>
      <c r="H9" s="205" t="n">
        <v>9745</v>
      </c>
      <c r="I9" s="205" t="n">
        <v>16765</v>
      </c>
      <c r="J9" s="205" t="n">
        <v>20059</v>
      </c>
      <c r="K9" s="205" t="n">
        <v>20999</v>
      </c>
      <c r="L9" s="205" t="n">
        <v>21308</v>
      </c>
    </row>
    <row r="10" ht="15" customHeight="1" s="197">
      <c r="A10" s="230" t="inlineStr">
        <is>
          <t>Total Capex ($mm)</t>
        </is>
      </c>
      <c r="B10" s="205" t="n">
        <v>19000</v>
      </c>
      <c r="C10" s="205" t="n">
        <v>24200</v>
      </c>
      <c r="D10" s="205" t="n">
        <v>29200</v>
      </c>
      <c r="E10" s="205" t="n">
        <v>31900</v>
      </c>
      <c r="F10" s="205" t="n">
        <v>55700</v>
      </c>
      <c r="G10" s="205" t="n">
        <v>88200</v>
      </c>
      <c r="H10" s="205" t="n">
        <v>145871</v>
      </c>
      <c r="I10" s="205" t="n">
        <v>245263</v>
      </c>
      <c r="J10" s="205" t="n">
        <v>286760</v>
      </c>
      <c r="K10" s="205" t="n">
        <v>300211</v>
      </c>
      <c r="L10" s="205" t="n">
        <v>304616</v>
      </c>
    </row>
    <row r="11" ht="15" customHeight="1" s="197">
      <c r="A11" s="229" t="inlineStr">
        <is>
          <t>IT Equipment % of Capex</t>
        </is>
      </c>
      <c r="B11" s="231" t="n">
        <v>0.39</v>
      </c>
      <c r="C11" s="231" t="n">
        <v>0.41</v>
      </c>
      <c r="D11" s="231" t="n">
        <v>0.32</v>
      </c>
      <c r="E11" s="231" t="n">
        <v>0.45</v>
      </c>
      <c r="F11" s="231" t="n">
        <v>0.34</v>
      </c>
      <c r="G11" s="231" t="n">
        <v>0.47</v>
      </c>
      <c r="H11" s="231" t="n">
        <v>0.59</v>
      </c>
      <c r="I11" s="231" t="n">
        <v>0.59</v>
      </c>
      <c r="J11" s="231" t="n">
        <v>0.58</v>
      </c>
      <c r="K11" s="231" t="n">
        <v>0.58</v>
      </c>
      <c r="L11" s="231" t="n">
        <v>0.58</v>
      </c>
    </row>
    <row r="12" ht="15" customHeight="1" s="197">
      <c r="A12" s="229" t="inlineStr">
        <is>
          <t>IT Equipment D&amp;A ($mm)</t>
        </is>
      </c>
      <c r="B12" s="210" t="n"/>
      <c r="C12" s="210" t="n"/>
      <c r="D12" s="210" t="n"/>
      <c r="E12" s="205" t="n">
        <v>2231</v>
      </c>
      <c r="F12" s="205" t="n">
        <v>10063</v>
      </c>
      <c r="G12" s="205" t="n">
        <v>14563</v>
      </c>
      <c r="H12" s="205" t="n">
        <v>23911</v>
      </c>
      <c r="I12" s="205" t="n">
        <v>43743</v>
      </c>
      <c r="J12" s="205" t="n">
        <v>68286</v>
      </c>
      <c r="K12" s="205" t="n">
        <v>94877</v>
      </c>
      <c r="L12" s="205" t="n">
        <v>121252</v>
      </c>
    </row>
    <row r="13" ht="15" customHeight="1" s="197">
      <c r="A13" s="230" t="inlineStr">
        <is>
          <t>Buildings D&amp;A ($mm)</t>
        </is>
      </c>
      <c r="B13" s="210" t="n"/>
      <c r="C13" s="210" t="n"/>
      <c r="D13" s="210" t="n"/>
      <c r="E13" s="205" t="n">
        <v>680</v>
      </c>
      <c r="F13" s="205" t="n">
        <v>3304</v>
      </c>
      <c r="G13" s="205" t="n">
        <v>5132</v>
      </c>
      <c r="H13" s="205" t="n">
        <v>8149</v>
      </c>
      <c r="I13" s="205" t="n">
        <v>12605</v>
      </c>
      <c r="J13" s="205" t="n">
        <v>18775</v>
      </c>
      <c r="K13" s="205" t="n">
        <v>25426</v>
      </c>
      <c r="L13" s="205" t="n">
        <v>32434</v>
      </c>
    </row>
    <row r="14" ht="15" customHeight="1" s="197">
      <c r="A14" s="230" t="inlineStr">
        <is>
          <t>Total D&amp;A ($mm)</t>
        </is>
      </c>
      <c r="B14" s="205" t="n">
        <v>10700</v>
      </c>
      <c r="C14" s="205" t="n">
        <v>9300</v>
      </c>
      <c r="D14" s="205" t="n">
        <v>12600</v>
      </c>
      <c r="E14" s="205" t="n">
        <v>11000</v>
      </c>
      <c r="F14" s="205" t="n">
        <v>15200</v>
      </c>
      <c r="G14" s="205" t="n">
        <v>22000</v>
      </c>
      <c r="H14" s="205" t="n">
        <v>34839</v>
      </c>
      <c r="I14" s="205" t="n">
        <v>59542</v>
      </c>
      <c r="J14" s="205" t="n">
        <v>92995</v>
      </c>
      <c r="K14" s="205" t="n">
        <v>129654</v>
      </c>
      <c r="L14" s="205" t="n">
        <v>165840</v>
      </c>
    </row>
    <row r="15" ht="15" customHeight="1" s="197">
      <c r="A15" s="229" t="inlineStr">
        <is>
          <t>IT D&amp;A % of TotalD&amp;A</t>
        </is>
      </c>
      <c r="B15" s="210" t="n"/>
      <c r="C15" s="210" t="n"/>
      <c r="D15" s="210" t="n"/>
      <c r="E15" s="231" t="n">
        <v>0.2</v>
      </c>
      <c r="F15" s="231" t="n">
        <v>0.66</v>
      </c>
      <c r="G15" s="231" t="n">
        <v>0.66</v>
      </c>
      <c r="H15" s="231" t="n">
        <v>0.6899999999999999</v>
      </c>
      <c r="I15" s="231" t="n">
        <v>0.73</v>
      </c>
      <c r="J15" s="231" t="n">
        <v>0.73</v>
      </c>
      <c r="K15" s="231" t="n">
        <v>0.73</v>
      </c>
      <c r="L15" s="231" t="n">
        <v>0.73</v>
      </c>
    </row>
    <row r="16" ht="15" customHeight="1" s="197">
      <c r="A16" s="232" t="inlineStr">
        <is>
          <t>IT EquipmentUseful Life</t>
        </is>
      </c>
      <c r="B16" s="233" t="n">
        <v>6</v>
      </c>
      <c r="C16" s="233" t="n">
        <v>6</v>
      </c>
      <c r="D16" s="233" t="n">
        <v>6</v>
      </c>
      <c r="E16" s="233" t="n">
        <v>6</v>
      </c>
      <c r="F16" s="233" t="n">
        <v>6</v>
      </c>
      <c r="G16" s="233" t="n">
        <v>6</v>
      </c>
      <c r="H16" s="233" t="n">
        <v>6</v>
      </c>
      <c r="I16" s="233" t="n">
        <v>6</v>
      </c>
      <c r="J16" s="233" t="n">
        <v>6</v>
      </c>
      <c r="K16" s="233" t="n">
        <v>6</v>
      </c>
      <c r="L16" s="233" t="n">
        <v>6</v>
      </c>
    </row>
    <row r="17" ht="15" customHeight="1" s="197">
      <c r="A17" s="234" t="inlineStr">
        <is>
          <t>BuildingsUseful Life</t>
        </is>
      </c>
      <c r="B17" s="233" t="n">
        <v>15</v>
      </c>
      <c r="C17" s="233" t="n">
        <v>15</v>
      </c>
      <c r="D17" s="233" t="n">
        <v>15</v>
      </c>
      <c r="E17" s="233" t="n">
        <v>15</v>
      </c>
      <c r="F17" s="233" t="n">
        <v>15</v>
      </c>
      <c r="G17" s="233" t="n">
        <v>15</v>
      </c>
      <c r="H17" s="233" t="n">
        <v>15</v>
      </c>
      <c r="I17" s="233" t="n">
        <v>15</v>
      </c>
      <c r="J17" s="233" t="n">
        <v>15</v>
      </c>
      <c r="K17" s="233" t="n">
        <v>15</v>
      </c>
      <c r="L17" s="233" t="n">
        <v>15</v>
      </c>
    </row>
    <row r="19" ht="30" customHeight="1" s="197">
      <c r="A19" s="235" t="inlineStr">
        <is>
          <t>📌 Key Finding: IT Equipment pre-AI 's ~35% jumped to AI 's 59%. IT contributes 66-73% 'sTotalD&amp;A (because IT 6Year vs Buildings 15Year). This is Burry thesis attack surface.</t>
        </is>
      </c>
    </row>
    <row r="21" ht="15" customHeight="1" s="197">
      <c r="A21" s="219" t="inlineStr">
        <is>
          <t>B. IT EquipmentShare ofEstimation: MSFT Hard Data →  4  Proxy (⚠️ Estimate (directionally correct but unverifiable))</t>
        </is>
      </c>
    </row>
    <row r="22" ht="39.75" customHeight="1" s="197">
      <c r="A22" s="236" t="inlineStr">
        <is>
          <t>Company</t>
        </is>
      </c>
      <c r="B22" s="237" t="inlineStr">
        <is>
          <t>IT EquipmentShare of
Capex</t>
        </is>
      </c>
      <c r="C22" s="236" t="inlineStr">
        <is>
          <t>Estimation Basis
(Confidence)</t>
        </is>
      </c>
      <c r="D22" s="237" t="inlineStr">
        <is>
          <t>IT Equipment
Useful Life</t>
        </is>
      </c>
      <c r="E22" s="236" t="inlineStr">
        <is>
          <t>Buildings+
Share ofCapex%</t>
        </is>
      </c>
      <c r="F22" s="236" t="inlineStr">
        <is>
          <t>Buildings
Useful Life</t>
        </is>
      </c>
      <c r="G22" s="236" t="inlineStr">
        <is>
          <t>(/)%</t>
        </is>
      </c>
      <c r="H22" s="236" t="inlineStr">
        <is>
          <t>Useful Life</t>
        </is>
      </c>
    </row>
    <row r="23" ht="36" customHeight="1" s="197">
      <c r="A23" s="238" t="inlineStr">
        <is>
          <t>MSFT</t>
        </is>
      </c>
      <c r="B23" s="239" t="n">
        <v>0.59</v>
      </c>
      <c r="C23" s="240" t="inlineStr">
        <is>
          <t>✅ Hard Data:  Capex sheet Row 90 = 50.1% gross PP&amp;E; capex share 59%</t>
        </is>
      </c>
      <c r="D23" s="241" t="n">
        <v>6</v>
      </c>
      <c r="E23" s="239" t="n">
        <v>0.36</v>
      </c>
      <c r="F23" s="242" t="n">
        <v>15</v>
      </c>
      <c r="G23" s="239" t="n">
        <v>0.05</v>
      </c>
      <c r="H23" s="242" t="n">
        <v>10</v>
      </c>
    </row>
    <row r="24" ht="36" customHeight="1" s="197">
      <c r="A24" s="238" t="inlineStr">
        <is>
          <t>AMZN</t>
        </is>
      </c>
      <c r="B24" s="239" t="n">
        <v>0.42</v>
      </c>
      <c r="C24" s="240" t="inlineStr">
        <is>
          <t>⚠️ : 10-K Equipment $185B //; AWS ~40-45% (Behind the Balance SheetAnalysis)</t>
        </is>
      </c>
      <c r="D24" s="241" t="n">
        <v>5</v>
      </c>
      <c r="E24" s="239" t="n">
        <v>0.35</v>
      </c>
      <c r="F24" s="242" t="n">
        <v>18</v>
      </c>
      <c r="G24" s="239" t="n">
        <v>0.23</v>
      </c>
      <c r="H24" s="242" t="n">
        <v>8</v>
      </c>
    </row>
    <row r="25" ht="36" customHeight="1" s="197">
      <c r="A25" s="238" t="inlineStr">
        <is>
          <t>GOOGL</t>
        </is>
      </c>
      <c r="B25" s="239" t="n">
        <v>0.57</v>
      </c>
      <c r="C25" s="240" t="inlineStr">
        <is>
          <t>⚠️ : MBI Deep Dives IT assets  ~45% of PP&amp;E; capex share (TPUIT)</t>
        </is>
      </c>
      <c r="D25" s="241" t="n">
        <v>6</v>
      </c>
      <c r="E25" s="239" t="n">
        <v>0.35</v>
      </c>
      <c r="F25" s="242" t="n">
        <v>20</v>
      </c>
      <c r="G25" s="239" t="n">
        <v>0.08</v>
      </c>
      <c r="H25" s="242" t="n">
        <v>10</v>
      </c>
    </row>
    <row r="26" ht="36" customHeight="1" s="197">
      <c r="A26" s="238" t="inlineStr">
        <is>
          <t>META</t>
        </is>
      </c>
      <c r="B26" s="239" t="n">
        <v>0.62</v>
      </c>
      <c r="C26" s="240" t="inlineStr">
        <is>
          <t>⚠️ : Company, /; 1.3M GPU; server+networkPP&amp;E (MBI)</t>
        </is>
      </c>
      <c r="D26" s="241" t="n">
        <v>5.5</v>
      </c>
      <c r="E26" s="239" t="n">
        <v>0.33</v>
      </c>
      <c r="F26" s="242" t="n">
        <v>22</v>
      </c>
      <c r="G26" s="239" t="n">
        <v>0.05</v>
      </c>
      <c r="H26" s="242" t="n">
        <v>10</v>
      </c>
    </row>
    <row r="27" ht="36" customHeight="1" s="197">
      <c r="A27" s="238" t="inlineStr">
        <is>
          <t>ORCL</t>
        </is>
      </c>
      <c r="B27" s="239" t="n">
        <v>0.5</v>
      </c>
      <c r="C27" s="240" t="inlineStr">
        <is>
          <t>⚠️ : OCI,  buildings; But+GPU; ITShare of</t>
        </is>
      </c>
      <c r="D27" s="241" t="n">
        <v>5.5</v>
      </c>
      <c r="E27" s="239" t="n">
        <v>0.4</v>
      </c>
      <c r="F27" s="242" t="n">
        <v>20</v>
      </c>
      <c r="G27" s="239" t="n">
        <v>0.1</v>
      </c>
      <c r="H27" s="242" t="n">
        <v>10</v>
      </c>
    </row>
    <row r="30" ht="15" customHeight="1" s="197">
      <c r="A30" s="219" t="inlineStr">
        <is>
          <t>C. 2026E / 2027E Base Data (From Database Sheet)</t>
        </is>
      </c>
    </row>
    <row r="31" ht="36" customHeight="1" s="197">
      <c r="A31" s="236" t="inlineStr">
        <is>
          <t>Company</t>
        </is>
      </c>
      <c r="B31" s="237" t="inlineStr">
        <is>
          <t>2026E Capex
($mm)</t>
        </is>
      </c>
      <c r="C31" s="237" t="inlineStr">
        <is>
          <t>2026E D&amp;A
($mm)</t>
        </is>
      </c>
      <c r="D31" s="237" t="inlineStr">
        <is>
          <t>2026E NI
($mm)</t>
        </is>
      </c>
      <c r="E31" s="237" t="inlineStr">
        <is>
          <t>2026E EPS
($)</t>
        </is>
      </c>
      <c r="F31" s="237" t="inlineStr">
        <is>
          <t>Shares
(mm)</t>
        </is>
      </c>
      <c r="G31" s="237" t="inlineStr">
        <is>
          <t>Tax Rate
(Editable)</t>
        </is>
      </c>
      <c r="H31" s="237" t="inlineStr">
        <is>
          <t>Depr Base
= Capex×wtd life</t>
        </is>
      </c>
      <c r="I31" s="237" t="inlineStr">
        <is>
          <t>2027E Capex
($mm)</t>
        </is>
      </c>
      <c r="J31" s="237" t="inlineStr">
        <is>
          <t>2027E D&amp;A
($mm)</t>
        </is>
      </c>
      <c r="K31" s="237" t="inlineStr">
        <is>
          <t>2027E NI
($mm)</t>
        </is>
      </c>
      <c r="L31" s="237" t="inlineStr">
        <is>
          <t>2027E EPS
($)</t>
        </is>
      </c>
      <c r="M31" s="237" t="inlineStr">
        <is>
          <t>2027E Shares
(mm)</t>
        </is>
      </c>
      <c r="N31" s="237" t="inlineStr">
        <is>
          <t>2027E Base
= D&amp;A×wtdLife</t>
        </is>
      </c>
    </row>
    <row r="32" ht="15" customHeight="1" s="197">
      <c r="A32" s="238" t="inlineStr">
        <is>
          <t>MSFT</t>
        </is>
      </c>
      <c r="B32" s="243">
        <f>'0. Database'!P12</f>
        <v/>
      </c>
      <c r="C32" s="243">
        <f>'0. Database'!P11</f>
        <v/>
      </c>
      <c r="D32" s="243">
        <f>'0. Database'!P7</f>
        <v/>
      </c>
      <c r="E32" s="244">
        <f>'0. Database'!P8</f>
        <v/>
      </c>
      <c r="F32" s="243">
        <f>'0. Database'!P9</f>
        <v/>
      </c>
      <c r="G32" s="245" t="n">
        <v>0.18</v>
      </c>
      <c r="H32" s="246">
        <f>$C$32*($B$23*$D$23+$E$23*$F$23+$G$23*$H$23)</f>
        <v/>
      </c>
      <c r="I32" s="247">
        <f>'0. Database'!Q12</f>
        <v/>
      </c>
      <c r="J32" s="247">
        <f>'0. Database'!Q11</f>
        <v/>
      </c>
      <c r="K32" s="247">
        <f>'0. Database'!Q7</f>
        <v/>
      </c>
      <c r="L32" s="248">
        <f>'0. Database'!Q8</f>
        <v/>
      </c>
      <c r="N32" s="249" t="n"/>
    </row>
    <row r="33" ht="15" customHeight="1" s="197">
      <c r="A33" s="238" t="inlineStr">
        <is>
          <t>AMZN</t>
        </is>
      </c>
      <c r="B33" s="243">
        <f>'0. Database'!P28</f>
        <v/>
      </c>
      <c r="C33" s="243">
        <f>'0. Database'!P27</f>
        <v/>
      </c>
      <c r="D33" s="243">
        <f>'0. Database'!P23</f>
        <v/>
      </c>
      <c r="E33" s="244">
        <f>'0. Database'!P24</f>
        <v/>
      </c>
      <c r="F33" s="243">
        <f>'0. Database'!P25</f>
        <v/>
      </c>
      <c r="G33" s="245" t="n">
        <v>0.2</v>
      </c>
      <c r="H33" s="246">
        <f>$C$33*($B$24*$D$24+$E$24*$F$24+$G$24*$H$24)</f>
        <v/>
      </c>
      <c r="I33" s="247">
        <f>'0. Database'!Q28</f>
        <v/>
      </c>
      <c r="J33" s="247">
        <f>'0. Database'!Q27</f>
        <v/>
      </c>
      <c r="K33" s="247">
        <f>'0. Database'!Q23</f>
        <v/>
      </c>
      <c r="L33" s="248">
        <f>'0. Database'!Q24</f>
        <v/>
      </c>
      <c r="N33" s="249" t="n"/>
    </row>
    <row r="34" ht="15" customHeight="1" s="197">
      <c r="A34" s="238" t="inlineStr">
        <is>
          <t>GOOGL</t>
        </is>
      </c>
      <c r="B34" s="243">
        <f>'0. Database'!P43</f>
        <v/>
      </c>
      <c r="C34" s="243">
        <f>'0. Database'!P42</f>
        <v/>
      </c>
      <c r="D34" s="243">
        <f>'0. Database'!P38</f>
        <v/>
      </c>
      <c r="E34" s="244">
        <f>'0. Database'!P39</f>
        <v/>
      </c>
      <c r="F34" s="243">
        <f>'0. Database'!P40</f>
        <v/>
      </c>
      <c r="G34" s="245" t="n">
        <v>0.16</v>
      </c>
      <c r="H34" s="246">
        <f>$C$34*($B$25*$D$25+$E$25*$F$25+$G$25*$H$25)</f>
        <v/>
      </c>
      <c r="I34" s="247">
        <f>'0. Database'!Q43</f>
        <v/>
      </c>
      <c r="J34" s="247">
        <f>'0. Database'!Q42</f>
        <v/>
      </c>
      <c r="K34" s="247">
        <f>'0. Database'!Q38</f>
        <v/>
      </c>
      <c r="L34" s="248">
        <f>'0. Database'!Q39</f>
        <v/>
      </c>
      <c r="N34" s="249" t="n"/>
    </row>
    <row r="35" ht="15" customHeight="1" s="197">
      <c r="A35" s="238" t="inlineStr">
        <is>
          <t>META</t>
        </is>
      </c>
      <c r="B35" s="243">
        <f>'0. Database'!P60</f>
        <v/>
      </c>
      <c r="C35" s="243">
        <f>'0. Database'!P59</f>
        <v/>
      </c>
      <c r="D35" s="243">
        <f>'0. Database'!P55</f>
        <v/>
      </c>
      <c r="E35" s="244">
        <f>'0. Database'!P56</f>
        <v/>
      </c>
      <c r="F35" s="243">
        <f>'0. Database'!P57</f>
        <v/>
      </c>
      <c r="G35" s="245" t="n">
        <v>0.13</v>
      </c>
      <c r="H35" s="246">
        <f>$C$35*($B$26*$D$26+$E$26*$F$26+$G$26*$H$26)</f>
        <v/>
      </c>
      <c r="I35" s="247">
        <f>'0. Database'!Q60</f>
        <v/>
      </c>
      <c r="J35" s="247">
        <f>'0. Database'!Q59</f>
        <v/>
      </c>
      <c r="K35" s="247">
        <f>'0. Database'!Q55</f>
        <v/>
      </c>
      <c r="L35" s="248">
        <f>'0. Database'!Q56</f>
        <v/>
      </c>
      <c r="N35" s="249" t="n"/>
    </row>
    <row r="36" ht="15" customHeight="1" s="197">
      <c r="A36" s="238" t="inlineStr">
        <is>
          <t>ORCL</t>
        </is>
      </c>
      <c r="B36" s="243">
        <f>'0. Database'!P78</f>
        <v/>
      </c>
      <c r="C36" s="243">
        <f>'0. Database'!P77</f>
        <v/>
      </c>
      <c r="D36" s="243">
        <f>'0. Database'!P73</f>
        <v/>
      </c>
      <c r="E36" s="244">
        <f>'0. Database'!P74</f>
        <v/>
      </c>
      <c r="F36" s="243">
        <f>'0. Database'!P75</f>
        <v/>
      </c>
      <c r="G36" s="245" t="n">
        <v>0.2</v>
      </c>
      <c r="H36" s="246">
        <f>$C$36*($B$27*$D$27+$E$27*$F$27+$G$27*$H$27)</f>
        <v/>
      </c>
      <c r="I36" s="247">
        <f>'0. Database'!Q78</f>
        <v/>
      </c>
      <c r="J36" s="247">
        <f>'0. Database'!Q77</f>
        <v/>
      </c>
      <c r="K36" s="247">
        <f>'0. Database'!Q73</f>
        <v/>
      </c>
      <c r="L36" s="248">
        <f>'0. Database'!Q74</f>
        <v/>
      </c>
      <c r="N36" s="249" t="n"/>
    </row>
    <row r="39" ht="15" customHeight="1" s="197">
      <c r="A39" s="219" t="inlineStr">
        <is>
          <t>D. Core Sensitivity: Compress Only IT Equipment (Buildings/) — Straight-Line</t>
        </is>
      </c>
    </row>
    <row r="40" ht="15" customHeight="1" s="197">
      <c r="A40" s="228" t="inlineStr">
        <is>
          <t>Logic: D&amp;A = ITD&amp;A + Buildings + . ITBurry.</t>
        </is>
      </c>
    </row>
    <row r="41" ht="15" customHeight="1" s="197">
      <c r="A41" s="250" t="inlineStr">
        <is>
          <t>IT Equipment = 6 Year (Buildings/)</t>
        </is>
      </c>
      <c r="B41" s="251" t="n"/>
      <c r="C41" s="251" t="n"/>
      <c r="D41" s="251" t="n"/>
      <c r="E41" s="251" t="n"/>
      <c r="F41" s="251" t="n"/>
      <c r="G41" s="251" t="n"/>
      <c r="H41" s="251" t="n"/>
      <c r="I41" s="251" t="n"/>
      <c r="J41" s="251" t="n"/>
      <c r="K41" s="251" t="n"/>
      <c r="L41" s="251" t="n"/>
    </row>
    <row r="42" ht="31.5" customHeight="1" s="197">
      <c r="A42" s="236" t="inlineStr">
        <is>
          <t>Company</t>
        </is>
      </c>
      <c r="B42" s="237" t="inlineStr">
        <is>
          <t>ITD&amp;A
($mm)</t>
        </is>
      </c>
      <c r="C42" s="236" t="inlineStr">
        <is>
          <t>BuildingsD&amp;A
(,$mm)</t>
        </is>
      </c>
      <c r="D42" s="236" t="inlineStr">
        <is>
          <t>D&amp;A
(,$mm)</t>
        </is>
      </c>
      <c r="E42" s="236" t="inlineStr">
        <is>
          <t>New Total D&amp;A
($mm)</t>
        </is>
      </c>
      <c r="F42" s="236" t="inlineStr">
        <is>
          <t>Current D&amp;A
($mm)</t>
        </is>
      </c>
      <c r="G42" s="237" t="inlineStr">
        <is>
          <t>ΔD&amp;A
($mm)</t>
        </is>
      </c>
      <c r="H42" s="237" t="inlineStr">
        <is>
          <t>Δ
($mm)</t>
        </is>
      </c>
      <c r="I42" s="236" t="inlineStr">
        <is>
          <t>Adj NI
($mm)</t>
        </is>
      </c>
      <c r="J42" s="236" t="inlineStr">
        <is>
          <t>Adj EPS
($)</t>
        </is>
      </c>
      <c r="K42" s="237" t="inlineStr">
        <is>
          <t>EPS Change%</t>
        </is>
      </c>
    </row>
    <row r="43" ht="15" customHeight="1" s="197">
      <c r="A43" s="252" t="inlineStr">
        <is>
          <t>MSFT</t>
        </is>
      </c>
      <c r="B43" s="246">
        <f>$H$32*$B$23/6</f>
        <v/>
      </c>
      <c r="C43" s="246">
        <f>$H$32*$E$23/$F$23</f>
        <v/>
      </c>
      <c r="D43" s="246">
        <f>$H$32*$G$23/$H$23</f>
        <v/>
      </c>
      <c r="E43" s="253">
        <f>$B$43+$C$43+$D$43</f>
        <v/>
      </c>
      <c r="F43" s="243">
        <f>$C$32</f>
        <v/>
      </c>
      <c r="G43" s="254">
        <f>$E$43-$C$32</f>
        <v/>
      </c>
      <c r="H43" s="254">
        <f>$G$43*(1-$G$32)</f>
        <v/>
      </c>
      <c r="I43" s="254">
        <f>$D$32-$H$43</f>
        <v/>
      </c>
      <c r="J43" s="255">
        <f>$I$43/$F$32</f>
        <v/>
      </c>
      <c r="K43" s="256">
        <f>IFERROR($J$43/$E$32-1,"")</f>
        <v/>
      </c>
    </row>
    <row r="44" ht="15" customHeight="1" s="197">
      <c r="A44" s="252" t="inlineStr">
        <is>
          <t>AMZN</t>
        </is>
      </c>
      <c r="B44" s="246">
        <f>$H$33*$B$24/6</f>
        <v/>
      </c>
      <c r="C44" s="246">
        <f>$H$33*$E$24/$F$24</f>
        <v/>
      </c>
      <c r="D44" s="246">
        <f>$H$33*$G$24/$H$24</f>
        <v/>
      </c>
      <c r="E44" s="253">
        <f>$B$44+$C$44+$D$44</f>
        <v/>
      </c>
      <c r="F44" s="243">
        <f>$C$33</f>
        <v/>
      </c>
      <c r="G44" s="254">
        <f>$E$44-$C$33</f>
        <v/>
      </c>
      <c r="H44" s="254">
        <f>$G$44*(1-$G$33)</f>
        <v/>
      </c>
      <c r="I44" s="254">
        <f>$D$33-$H$44</f>
        <v/>
      </c>
      <c r="J44" s="255">
        <f>$I$44/$F$33</f>
        <v/>
      </c>
      <c r="K44" s="256">
        <f>IFERROR($J$44/$E$33-1,"")</f>
        <v/>
      </c>
    </row>
    <row r="45" ht="15" customHeight="1" s="197">
      <c r="A45" s="252" t="inlineStr">
        <is>
          <t>GOOGL</t>
        </is>
      </c>
      <c r="B45" s="246">
        <f>$H$34*$B$25/6</f>
        <v/>
      </c>
      <c r="C45" s="246">
        <f>$H$34*$E$25/$F$25</f>
        <v/>
      </c>
      <c r="D45" s="246">
        <f>$H$34*$G$25/$H$25</f>
        <v/>
      </c>
      <c r="E45" s="253">
        <f>$B$45+$C$45+$D$45</f>
        <v/>
      </c>
      <c r="F45" s="243">
        <f>$C$34</f>
        <v/>
      </c>
      <c r="G45" s="254">
        <f>$E$45-$C$34</f>
        <v/>
      </c>
      <c r="H45" s="254">
        <f>$G$45*(1-$G$34)</f>
        <v/>
      </c>
      <c r="I45" s="254">
        <f>$D$34-$H$45</f>
        <v/>
      </c>
      <c r="J45" s="255">
        <f>$I$45/$F$34</f>
        <v/>
      </c>
      <c r="K45" s="256">
        <f>IFERROR($J$45/$E$34-1,"")</f>
        <v/>
      </c>
    </row>
    <row r="46" ht="15" customHeight="1" s="197">
      <c r="A46" s="252" t="inlineStr">
        <is>
          <t>META</t>
        </is>
      </c>
      <c r="B46" s="246">
        <f>$H$35*$B$26/6</f>
        <v/>
      </c>
      <c r="C46" s="246">
        <f>$H$35*$E$26/$F$26</f>
        <v/>
      </c>
      <c r="D46" s="246">
        <f>$H$35*$G$26/$H$26</f>
        <v/>
      </c>
      <c r="E46" s="253">
        <f>$B$46+$C$46+$D$46</f>
        <v/>
      </c>
      <c r="F46" s="243">
        <f>$C$35</f>
        <v/>
      </c>
      <c r="G46" s="254">
        <f>$E$46-$C$35</f>
        <v/>
      </c>
      <c r="H46" s="254">
        <f>$G$46*(1-$G$35)</f>
        <v/>
      </c>
      <c r="I46" s="254">
        <f>$D$35-$H$46</f>
        <v/>
      </c>
      <c r="J46" s="255">
        <f>$I$46/$F$35</f>
        <v/>
      </c>
      <c r="K46" s="256">
        <f>IFERROR($J$46/$E$35-1,"")</f>
        <v/>
      </c>
    </row>
    <row r="47" ht="15" customHeight="1" s="197">
      <c r="A47" s="252" t="inlineStr">
        <is>
          <t>ORCL</t>
        </is>
      </c>
      <c r="B47" s="246">
        <f>$H$36*$B$27/6</f>
        <v/>
      </c>
      <c r="C47" s="246">
        <f>$H$36*$E$27/$F$27</f>
        <v/>
      </c>
      <c r="D47" s="246">
        <f>$H$36*$G$27/$H$27</f>
        <v/>
      </c>
      <c r="E47" s="253">
        <f>$B$47+$C$47+$D$47</f>
        <v/>
      </c>
      <c r="F47" s="243">
        <f>$C$36</f>
        <v/>
      </c>
      <c r="G47" s="254">
        <f>$E$47-$C$36</f>
        <v/>
      </c>
      <c r="H47" s="254">
        <f>$G$47*(1-$G$36)</f>
        <v/>
      </c>
      <c r="I47" s="254">
        <f>$D$36-$H$47</f>
        <v/>
      </c>
      <c r="J47" s="255">
        <f>$I$47/$F$36</f>
        <v/>
      </c>
      <c r="K47" s="256">
        <f>IFERROR($J$47/$E$36-1,"")</f>
        <v/>
      </c>
    </row>
    <row r="49" ht="15" customHeight="1" s="197">
      <c r="A49" s="250" t="inlineStr">
        <is>
          <t>IT Equipment = 5 Year (Buildings/)</t>
        </is>
      </c>
      <c r="B49" s="251" t="n"/>
      <c r="C49" s="251" t="n"/>
      <c r="D49" s="251" t="n"/>
      <c r="E49" s="251" t="n"/>
      <c r="F49" s="251" t="n"/>
      <c r="G49" s="251" t="n"/>
      <c r="H49" s="251" t="n"/>
      <c r="I49" s="251" t="n"/>
      <c r="J49" s="251" t="n"/>
      <c r="K49" s="251" t="n"/>
      <c r="L49" s="251" t="n"/>
    </row>
    <row r="50" ht="31.5" customHeight="1" s="197">
      <c r="A50" s="236" t="inlineStr">
        <is>
          <t>Company</t>
        </is>
      </c>
      <c r="B50" s="237" t="inlineStr">
        <is>
          <t>ITD&amp;A
($mm)</t>
        </is>
      </c>
      <c r="C50" s="236" t="inlineStr">
        <is>
          <t>BuildingsD&amp;A
(,$mm)</t>
        </is>
      </c>
      <c r="D50" s="236" t="inlineStr">
        <is>
          <t>D&amp;A
(,$mm)</t>
        </is>
      </c>
      <c r="E50" s="236" t="inlineStr">
        <is>
          <t>New Total D&amp;A
($mm)</t>
        </is>
      </c>
      <c r="F50" s="236" t="inlineStr">
        <is>
          <t>Current D&amp;A
($mm)</t>
        </is>
      </c>
      <c r="G50" s="237" t="inlineStr">
        <is>
          <t>ΔD&amp;A
($mm)</t>
        </is>
      </c>
      <c r="H50" s="237" t="inlineStr">
        <is>
          <t>Δ
($mm)</t>
        </is>
      </c>
      <c r="I50" s="236" t="inlineStr">
        <is>
          <t>Adj NI
($mm)</t>
        </is>
      </c>
      <c r="J50" s="236" t="inlineStr">
        <is>
          <t>Adj EPS
($)</t>
        </is>
      </c>
      <c r="K50" s="237" t="inlineStr">
        <is>
          <t>EPS Change%</t>
        </is>
      </c>
    </row>
    <row r="51" ht="15" customHeight="1" s="197">
      <c r="A51" s="252" t="inlineStr">
        <is>
          <t>MSFT</t>
        </is>
      </c>
      <c r="B51" s="246">
        <f>$H$32*$B$23/5</f>
        <v/>
      </c>
      <c r="C51" s="246">
        <f>$H$32*$E$23/$F$23</f>
        <v/>
      </c>
      <c r="D51" s="246">
        <f>$H$32*$G$23/$H$23</f>
        <v/>
      </c>
      <c r="E51" s="253">
        <f>$B$51+$C$51+$D$51</f>
        <v/>
      </c>
      <c r="F51" s="243">
        <f>$C$32</f>
        <v/>
      </c>
      <c r="G51" s="254">
        <f>$E$51-$C$32</f>
        <v/>
      </c>
      <c r="H51" s="254">
        <f>$G$51*(1-$G$32)</f>
        <v/>
      </c>
      <c r="I51" s="254">
        <f>$D$32-$H$51</f>
        <v/>
      </c>
      <c r="J51" s="255">
        <f>$I$51/$F$32</f>
        <v/>
      </c>
      <c r="K51" s="256">
        <f>IFERROR($J$51/$E$32-1,"")</f>
        <v/>
      </c>
    </row>
    <row r="52" ht="15" customHeight="1" s="197">
      <c r="A52" s="252" t="inlineStr">
        <is>
          <t>AMZN</t>
        </is>
      </c>
      <c r="B52" s="246">
        <f>$H$33*$B$24/5</f>
        <v/>
      </c>
      <c r="C52" s="246">
        <f>$H$33*$E$24/$F$24</f>
        <v/>
      </c>
      <c r="D52" s="246">
        <f>$H$33*$G$24/$H$24</f>
        <v/>
      </c>
      <c r="E52" s="253">
        <f>$B$52+$C$52+$D$52</f>
        <v/>
      </c>
      <c r="F52" s="243">
        <f>$C$33</f>
        <v/>
      </c>
      <c r="G52" s="254">
        <f>$E$52-$C$33</f>
        <v/>
      </c>
      <c r="H52" s="254">
        <f>$G$52*(1-$G$33)</f>
        <v/>
      </c>
      <c r="I52" s="254">
        <f>$D$33-$H$52</f>
        <v/>
      </c>
      <c r="J52" s="255">
        <f>$I$52/$F$33</f>
        <v/>
      </c>
      <c r="K52" s="256">
        <f>IFERROR($J$52/$E$33-1,"")</f>
        <v/>
      </c>
    </row>
    <row r="53" ht="15" customHeight="1" s="197">
      <c r="A53" s="252" t="inlineStr">
        <is>
          <t>GOOGL</t>
        </is>
      </c>
      <c r="B53" s="246">
        <f>$H$34*$B$25/5</f>
        <v/>
      </c>
      <c r="C53" s="246">
        <f>$H$34*$E$25/$F$25</f>
        <v/>
      </c>
      <c r="D53" s="246">
        <f>$H$34*$G$25/$H$25</f>
        <v/>
      </c>
      <c r="E53" s="253">
        <f>$B$53+$C$53+$D$53</f>
        <v/>
      </c>
      <c r="F53" s="243">
        <f>$C$34</f>
        <v/>
      </c>
      <c r="G53" s="254">
        <f>$E$53-$C$34</f>
        <v/>
      </c>
      <c r="H53" s="254">
        <f>$G$53*(1-$G$34)</f>
        <v/>
      </c>
      <c r="I53" s="254">
        <f>$D$34-$H$53</f>
        <v/>
      </c>
      <c r="J53" s="255">
        <f>$I$53/$F$34</f>
        <v/>
      </c>
      <c r="K53" s="256">
        <f>IFERROR($J$53/$E$34-1,"")</f>
        <v/>
      </c>
    </row>
    <row r="54" ht="15" customHeight="1" s="197">
      <c r="A54" s="252" t="inlineStr">
        <is>
          <t>META</t>
        </is>
      </c>
      <c r="B54" s="246">
        <f>$H$35*$B$26/5</f>
        <v/>
      </c>
      <c r="C54" s="246">
        <f>$H$35*$E$26/$F$26</f>
        <v/>
      </c>
      <c r="D54" s="246">
        <f>$H$35*$G$26/$H$26</f>
        <v/>
      </c>
      <c r="E54" s="253">
        <f>$B$54+$C$54+$D$54</f>
        <v/>
      </c>
      <c r="F54" s="243">
        <f>$C$35</f>
        <v/>
      </c>
      <c r="G54" s="254">
        <f>$E$54-$C$35</f>
        <v/>
      </c>
      <c r="H54" s="254">
        <f>$G$54*(1-$G$35)</f>
        <v/>
      </c>
      <c r="I54" s="254">
        <f>$D$35-$H$54</f>
        <v/>
      </c>
      <c r="J54" s="255">
        <f>$I$54/$F$35</f>
        <v/>
      </c>
      <c r="K54" s="256">
        <f>IFERROR($J$54/$E$35-1,"")</f>
        <v/>
      </c>
    </row>
    <row r="55" ht="15" customHeight="1" s="197">
      <c r="A55" s="252" t="inlineStr">
        <is>
          <t>ORCL</t>
        </is>
      </c>
      <c r="B55" s="246">
        <f>$H$36*$B$27/5</f>
        <v/>
      </c>
      <c r="C55" s="246">
        <f>$H$36*$E$27/$F$27</f>
        <v/>
      </c>
      <c r="D55" s="246">
        <f>$H$36*$G$27/$H$27</f>
        <v/>
      </c>
      <c r="E55" s="253">
        <f>$B$55+$C$55+$D$55</f>
        <v/>
      </c>
      <c r="F55" s="243">
        <f>$C$36</f>
        <v/>
      </c>
      <c r="G55" s="254">
        <f>$E$55-$C$36</f>
        <v/>
      </c>
      <c r="H55" s="254">
        <f>$G$55*(1-$G$36)</f>
        <v/>
      </c>
      <c r="I55" s="254">
        <f>$D$36-$H$55</f>
        <v/>
      </c>
      <c r="J55" s="255">
        <f>$I$55/$F$36</f>
        <v/>
      </c>
      <c r="K55" s="256">
        <f>IFERROR($J$55/$E$36-1,"")</f>
        <v/>
      </c>
    </row>
    <row r="57" ht="15" customHeight="1" s="197">
      <c r="A57" s="257" t="inlineStr">
        <is>
          <t>IT Equipment = 4 Year (Buildings/)</t>
        </is>
      </c>
      <c r="B57" s="251" t="n"/>
      <c r="C57" s="251" t="n"/>
      <c r="D57" s="251" t="n"/>
      <c r="E57" s="251" t="n"/>
      <c r="F57" s="251" t="n"/>
      <c r="G57" s="251" t="n"/>
      <c r="H57" s="251" t="n"/>
      <c r="I57" s="251" t="n"/>
      <c r="J57" s="251" t="n"/>
      <c r="K57" s="251" t="n"/>
      <c r="L57" s="251" t="n"/>
    </row>
    <row r="58" ht="31.5" customHeight="1" s="197">
      <c r="A58" s="236" t="inlineStr">
        <is>
          <t>Company</t>
        </is>
      </c>
      <c r="B58" s="237" t="inlineStr">
        <is>
          <t>ITD&amp;A
($mm)</t>
        </is>
      </c>
      <c r="C58" s="236" t="inlineStr">
        <is>
          <t>BuildingsD&amp;A
(,$mm)</t>
        </is>
      </c>
      <c r="D58" s="236" t="inlineStr">
        <is>
          <t>D&amp;A
(,$mm)</t>
        </is>
      </c>
      <c r="E58" s="236" t="inlineStr">
        <is>
          <t>New Total D&amp;A
($mm)</t>
        </is>
      </c>
      <c r="F58" s="236" t="inlineStr">
        <is>
          <t>Current D&amp;A
($mm)</t>
        </is>
      </c>
      <c r="G58" s="237" t="inlineStr">
        <is>
          <t>ΔD&amp;A
($mm)</t>
        </is>
      </c>
      <c r="H58" s="237" t="inlineStr">
        <is>
          <t>Δ
($mm)</t>
        </is>
      </c>
      <c r="I58" s="236" t="inlineStr">
        <is>
          <t>Adj NI
($mm)</t>
        </is>
      </c>
      <c r="J58" s="236" t="inlineStr">
        <is>
          <t>Adj EPS
($)</t>
        </is>
      </c>
      <c r="K58" s="237" t="inlineStr">
        <is>
          <t>EPS Change%</t>
        </is>
      </c>
    </row>
    <row r="59" ht="15" customHeight="1" s="197">
      <c r="A59" s="252" t="inlineStr">
        <is>
          <t>MSFT</t>
        </is>
      </c>
      <c r="B59" s="246">
        <f>$H$32*$B$23/4</f>
        <v/>
      </c>
      <c r="C59" s="246">
        <f>$H$32*$E$23/$F$23</f>
        <v/>
      </c>
      <c r="D59" s="246">
        <f>$H$32*$G$23/$H$23</f>
        <v/>
      </c>
      <c r="E59" s="253">
        <f>$B$59+$C$59+$D$59</f>
        <v/>
      </c>
      <c r="F59" s="243">
        <f>$C$32</f>
        <v/>
      </c>
      <c r="G59" s="254">
        <f>$E$59-$C$32</f>
        <v/>
      </c>
      <c r="H59" s="254">
        <f>$G$59*(1-$G$32)</f>
        <v/>
      </c>
      <c r="I59" s="254">
        <f>$D$32-$H$59</f>
        <v/>
      </c>
      <c r="J59" s="255">
        <f>$I$59/$F$32</f>
        <v/>
      </c>
      <c r="K59" s="256">
        <f>IFERROR($J$59/$E$32-1,"")</f>
        <v/>
      </c>
    </row>
    <row r="60" ht="15" customHeight="1" s="197">
      <c r="A60" s="252" t="inlineStr">
        <is>
          <t>AMZN</t>
        </is>
      </c>
      <c r="B60" s="246">
        <f>$H$33*$B$24/4</f>
        <v/>
      </c>
      <c r="C60" s="246">
        <f>$H$33*$E$24/$F$24</f>
        <v/>
      </c>
      <c r="D60" s="246">
        <f>$H$33*$G$24/$H$24</f>
        <v/>
      </c>
      <c r="E60" s="253">
        <f>$B$60+$C$60+$D$60</f>
        <v/>
      </c>
      <c r="F60" s="243">
        <f>$C$33</f>
        <v/>
      </c>
      <c r="G60" s="254">
        <f>$E$60-$C$33</f>
        <v/>
      </c>
      <c r="H60" s="254">
        <f>$G$60*(1-$G$33)</f>
        <v/>
      </c>
      <c r="I60" s="254">
        <f>$D$33-$H$60</f>
        <v/>
      </c>
      <c r="J60" s="255">
        <f>$I$60/$F$33</f>
        <v/>
      </c>
      <c r="K60" s="256">
        <f>IFERROR($J$60/$E$33-1,"")</f>
        <v/>
      </c>
    </row>
    <row r="61" ht="15" customHeight="1" s="197">
      <c r="A61" s="252" t="inlineStr">
        <is>
          <t>GOOGL</t>
        </is>
      </c>
      <c r="B61" s="246">
        <f>$H$34*$B$25/4</f>
        <v/>
      </c>
      <c r="C61" s="246">
        <f>$H$34*$E$25/$F$25</f>
        <v/>
      </c>
      <c r="D61" s="246">
        <f>$H$34*$G$25/$H$25</f>
        <v/>
      </c>
      <c r="E61" s="253">
        <f>$B$61+$C$61+$D$61</f>
        <v/>
      </c>
      <c r="F61" s="243">
        <f>$C$34</f>
        <v/>
      </c>
      <c r="G61" s="254">
        <f>$E$61-$C$34</f>
        <v/>
      </c>
      <c r="H61" s="254">
        <f>$G$61*(1-$G$34)</f>
        <v/>
      </c>
      <c r="I61" s="254">
        <f>$D$34-$H$61</f>
        <v/>
      </c>
      <c r="J61" s="255">
        <f>$I$61/$F$34</f>
        <v/>
      </c>
      <c r="K61" s="256">
        <f>IFERROR($J$61/$E$34-1,"")</f>
        <v/>
      </c>
    </row>
    <row r="62" ht="15" customHeight="1" s="197">
      <c r="A62" s="252" t="inlineStr">
        <is>
          <t>META</t>
        </is>
      </c>
      <c r="B62" s="246">
        <f>$H$35*$B$26/4</f>
        <v/>
      </c>
      <c r="C62" s="246">
        <f>$H$35*$E$26/$F$26</f>
        <v/>
      </c>
      <c r="D62" s="246">
        <f>$H$35*$G$26/$H$26</f>
        <v/>
      </c>
      <c r="E62" s="253">
        <f>$B$62+$C$62+$D$62</f>
        <v/>
      </c>
      <c r="F62" s="243">
        <f>$C$35</f>
        <v/>
      </c>
      <c r="G62" s="254">
        <f>$E$62-$C$35</f>
        <v/>
      </c>
      <c r="H62" s="254">
        <f>$G$62*(1-$G$35)</f>
        <v/>
      </c>
      <c r="I62" s="254">
        <f>$D$35-$H$62</f>
        <v/>
      </c>
      <c r="J62" s="255">
        <f>$I$62/$F$35</f>
        <v/>
      </c>
      <c r="K62" s="256">
        <f>IFERROR($J$62/$E$35-1,"")</f>
        <v/>
      </c>
    </row>
    <row r="63" ht="15" customHeight="1" s="197">
      <c r="A63" s="252" t="inlineStr">
        <is>
          <t>ORCL</t>
        </is>
      </c>
      <c r="B63" s="246">
        <f>$H$36*$B$27/4</f>
        <v/>
      </c>
      <c r="C63" s="246">
        <f>$H$36*$E$27/$F$27</f>
        <v/>
      </c>
      <c r="D63" s="246">
        <f>$H$36*$G$27/$H$27</f>
        <v/>
      </c>
      <c r="E63" s="253">
        <f>$B$63+$C$63+$D$63</f>
        <v/>
      </c>
      <c r="F63" s="243">
        <f>$C$36</f>
        <v/>
      </c>
      <c r="G63" s="254">
        <f>$E$63-$C$36</f>
        <v/>
      </c>
      <c r="H63" s="254">
        <f>$G$63*(1-$G$36)</f>
        <v/>
      </c>
      <c r="I63" s="254">
        <f>$D$36-$H$63</f>
        <v/>
      </c>
      <c r="J63" s="255">
        <f>$I$63/$F$36</f>
        <v/>
      </c>
      <c r="K63" s="256">
        <f>IFERROR($J$63/$E$36-1,"")</f>
        <v/>
      </c>
    </row>
    <row r="65" ht="15" customHeight="1" s="197">
      <c r="A65" s="258" t="inlineStr">
        <is>
          <t>IT Equipment = 3 Year (Buildings/)</t>
        </is>
      </c>
      <c r="B65" s="251" t="n"/>
      <c r="C65" s="251" t="n"/>
      <c r="D65" s="251" t="n"/>
      <c r="E65" s="251" t="n"/>
      <c r="F65" s="251" t="n"/>
      <c r="G65" s="251" t="n"/>
      <c r="H65" s="251" t="n"/>
      <c r="I65" s="251" t="n"/>
      <c r="J65" s="251" t="n"/>
      <c r="K65" s="251" t="n"/>
      <c r="L65" s="251" t="n"/>
    </row>
    <row r="66" ht="31.5" customHeight="1" s="197">
      <c r="A66" s="236" t="inlineStr">
        <is>
          <t>Company</t>
        </is>
      </c>
      <c r="B66" s="237" t="inlineStr">
        <is>
          <t>ITD&amp;A
($mm)</t>
        </is>
      </c>
      <c r="C66" s="236" t="inlineStr">
        <is>
          <t>BuildingsD&amp;A
(,$mm)</t>
        </is>
      </c>
      <c r="D66" s="236" t="inlineStr">
        <is>
          <t>D&amp;A
(,$mm)</t>
        </is>
      </c>
      <c r="E66" s="236" t="inlineStr">
        <is>
          <t>New Total D&amp;A
($mm)</t>
        </is>
      </c>
      <c r="F66" s="236" t="inlineStr">
        <is>
          <t>Current D&amp;A
($mm)</t>
        </is>
      </c>
      <c r="G66" s="237" t="inlineStr">
        <is>
          <t>ΔD&amp;A
($mm)</t>
        </is>
      </c>
      <c r="H66" s="237" t="inlineStr">
        <is>
          <t>Δ
($mm)</t>
        </is>
      </c>
      <c r="I66" s="236" t="inlineStr">
        <is>
          <t>Adj NI
($mm)</t>
        </is>
      </c>
      <c r="J66" s="236" t="inlineStr">
        <is>
          <t>Adj EPS
($)</t>
        </is>
      </c>
      <c r="K66" s="237" t="inlineStr">
        <is>
          <t>EPS Change%</t>
        </is>
      </c>
    </row>
    <row r="67" ht="15" customHeight="1" s="197">
      <c r="A67" s="252" t="inlineStr">
        <is>
          <t>MSFT</t>
        </is>
      </c>
      <c r="B67" s="246">
        <f>$H$32*$B$23/3</f>
        <v/>
      </c>
      <c r="C67" s="246">
        <f>$H$32*$E$23/$F$23</f>
        <v/>
      </c>
      <c r="D67" s="246">
        <f>$H$32*$G$23/$H$23</f>
        <v/>
      </c>
      <c r="E67" s="253">
        <f>$B$67+$C$67+$D$67</f>
        <v/>
      </c>
      <c r="F67" s="243">
        <f>$C$32</f>
        <v/>
      </c>
      <c r="G67" s="254">
        <f>$E$67-$C$32</f>
        <v/>
      </c>
      <c r="H67" s="254">
        <f>$G$67*(1-$G$32)</f>
        <v/>
      </c>
      <c r="I67" s="254">
        <f>$D$32-$H$67</f>
        <v/>
      </c>
      <c r="J67" s="255">
        <f>$I$67/$F$32</f>
        <v/>
      </c>
      <c r="K67" s="256">
        <f>IFERROR($J$67/$E$32-1,"")</f>
        <v/>
      </c>
    </row>
    <row r="68" ht="15" customHeight="1" s="197">
      <c r="A68" s="252" t="inlineStr">
        <is>
          <t>AMZN</t>
        </is>
      </c>
      <c r="B68" s="246">
        <f>$H$33*$B$24/3</f>
        <v/>
      </c>
      <c r="C68" s="246">
        <f>$H$33*$E$24/$F$24</f>
        <v/>
      </c>
      <c r="D68" s="246">
        <f>$H$33*$G$24/$H$24</f>
        <v/>
      </c>
      <c r="E68" s="253">
        <f>$B$68+$C$68+$D$68</f>
        <v/>
      </c>
      <c r="F68" s="243">
        <f>$C$33</f>
        <v/>
      </c>
      <c r="G68" s="254">
        <f>$E$68-$C$33</f>
        <v/>
      </c>
      <c r="H68" s="254">
        <f>$G$68*(1-$G$33)</f>
        <v/>
      </c>
      <c r="I68" s="254">
        <f>$D$33-$H$68</f>
        <v/>
      </c>
      <c r="J68" s="255">
        <f>$I$68/$F$33</f>
        <v/>
      </c>
      <c r="K68" s="256">
        <f>IFERROR($J$68/$E$33-1,"")</f>
        <v/>
      </c>
    </row>
    <row r="69" ht="15" customHeight="1" s="197">
      <c r="A69" s="252" t="inlineStr">
        <is>
          <t>GOOGL</t>
        </is>
      </c>
      <c r="B69" s="246">
        <f>$H$34*$B$25/3</f>
        <v/>
      </c>
      <c r="C69" s="246">
        <f>$H$34*$E$25/$F$25</f>
        <v/>
      </c>
      <c r="D69" s="246">
        <f>$H$34*$G$25/$H$25</f>
        <v/>
      </c>
      <c r="E69" s="253">
        <f>$B$69+$C$69+$D$69</f>
        <v/>
      </c>
      <c r="F69" s="243">
        <f>$C$34</f>
        <v/>
      </c>
      <c r="G69" s="254">
        <f>$E$69-$C$34</f>
        <v/>
      </c>
      <c r="H69" s="254">
        <f>$G$69*(1-$G$34)</f>
        <v/>
      </c>
      <c r="I69" s="254">
        <f>$D$34-$H$69</f>
        <v/>
      </c>
      <c r="J69" s="255">
        <f>$I$69/$F$34</f>
        <v/>
      </c>
      <c r="K69" s="256">
        <f>IFERROR($J$69/$E$34-1,"")</f>
        <v/>
      </c>
    </row>
    <row r="70" ht="15" customHeight="1" s="197">
      <c r="A70" s="252" t="inlineStr">
        <is>
          <t>META</t>
        </is>
      </c>
      <c r="B70" s="246">
        <f>$H$35*$B$26/3</f>
        <v/>
      </c>
      <c r="C70" s="246">
        <f>$H$35*$E$26/$F$26</f>
        <v/>
      </c>
      <c r="D70" s="246">
        <f>$H$35*$G$26/$H$26</f>
        <v/>
      </c>
      <c r="E70" s="253">
        <f>$B$70+$C$70+$D$70</f>
        <v/>
      </c>
      <c r="F70" s="243">
        <f>$C$35</f>
        <v/>
      </c>
      <c r="G70" s="254">
        <f>$E$70-$C$35</f>
        <v/>
      </c>
      <c r="H70" s="254">
        <f>$G$70*(1-$G$35)</f>
        <v/>
      </c>
      <c r="I70" s="254">
        <f>$D$35-$H$70</f>
        <v/>
      </c>
      <c r="J70" s="255">
        <f>$I$70/$F$35</f>
        <v/>
      </c>
      <c r="K70" s="256">
        <f>IFERROR($J$70/$E$35-1,"")</f>
        <v/>
      </c>
    </row>
    <row r="71" ht="15" customHeight="1" s="197">
      <c r="A71" s="252" t="inlineStr">
        <is>
          <t>ORCL</t>
        </is>
      </c>
      <c r="B71" s="246">
        <f>$H$36*$B$27/3</f>
        <v/>
      </c>
      <c r="C71" s="246">
        <f>$H$36*$E$27/$F$27</f>
        <v/>
      </c>
      <c r="D71" s="246">
        <f>$H$36*$G$27/$H$27</f>
        <v/>
      </c>
      <c r="E71" s="253">
        <f>$B$71+$C$71+$D$71</f>
        <v/>
      </c>
      <c r="F71" s="243">
        <f>$C$36</f>
        <v/>
      </c>
      <c r="G71" s="254">
        <f>$E$71-$C$36</f>
        <v/>
      </c>
      <c r="H71" s="254">
        <f>$G$71*(1-$G$36)</f>
        <v/>
      </c>
      <c r="I71" s="254">
        <f>$D$36-$H$71</f>
        <v/>
      </c>
      <c r="J71" s="255">
        <f>$I$71/$F$36</f>
        <v/>
      </c>
      <c r="K71" s="256">
        <f>IFERROR($J$71/$E$36-1,"")</f>
        <v/>
      </c>
    </row>
    <row r="73" ht="15" customHeight="1" s="197">
      <c r="A73" s="258" t="inlineStr">
        <is>
          <t>IT Equipment = 2 Year (Buildings/)</t>
        </is>
      </c>
      <c r="B73" s="251" t="n"/>
      <c r="C73" s="251" t="n"/>
      <c r="D73" s="251" t="n"/>
      <c r="E73" s="251" t="n"/>
      <c r="F73" s="251" t="n"/>
      <c r="G73" s="251" t="n"/>
      <c r="H73" s="251" t="n"/>
      <c r="I73" s="251" t="n"/>
      <c r="J73" s="251" t="n"/>
      <c r="K73" s="251" t="n"/>
      <c r="L73" s="251" t="n"/>
    </row>
    <row r="74" ht="31.5" customHeight="1" s="197">
      <c r="A74" s="236" t="inlineStr">
        <is>
          <t>Company</t>
        </is>
      </c>
      <c r="B74" s="237" t="inlineStr">
        <is>
          <t>ITD&amp;A
($mm)</t>
        </is>
      </c>
      <c r="C74" s="236" t="inlineStr">
        <is>
          <t>BuildingsD&amp;A
(,$mm)</t>
        </is>
      </c>
      <c r="D74" s="236" t="inlineStr">
        <is>
          <t>D&amp;A
(,$mm)</t>
        </is>
      </c>
      <c r="E74" s="236" t="inlineStr">
        <is>
          <t>New Total D&amp;A
($mm)</t>
        </is>
      </c>
      <c r="F74" s="236" t="inlineStr">
        <is>
          <t>Current D&amp;A
($mm)</t>
        </is>
      </c>
      <c r="G74" s="237" t="inlineStr">
        <is>
          <t>ΔD&amp;A
($mm)</t>
        </is>
      </c>
      <c r="H74" s="237" t="inlineStr">
        <is>
          <t>Δ
($mm)</t>
        </is>
      </c>
      <c r="I74" s="236" t="inlineStr">
        <is>
          <t>Adj NI
($mm)</t>
        </is>
      </c>
      <c r="J74" s="236" t="inlineStr">
        <is>
          <t>Adj EPS
($)</t>
        </is>
      </c>
      <c r="K74" s="237" t="inlineStr">
        <is>
          <t>EPS Change%</t>
        </is>
      </c>
    </row>
    <row r="75" ht="15" customHeight="1" s="197">
      <c r="A75" s="252" t="inlineStr">
        <is>
          <t>MSFT</t>
        </is>
      </c>
      <c r="B75" s="246">
        <f>$H$32*$B$23/2</f>
        <v/>
      </c>
      <c r="C75" s="246">
        <f>$H$32*$E$23/$F$23</f>
        <v/>
      </c>
      <c r="D75" s="246">
        <f>$H$32*$G$23/$H$23</f>
        <v/>
      </c>
      <c r="E75" s="253">
        <f>$B$75+$C$75+$D$75</f>
        <v/>
      </c>
      <c r="F75" s="243">
        <f>$C$32</f>
        <v/>
      </c>
      <c r="G75" s="254">
        <f>$E$75-$C$32</f>
        <v/>
      </c>
      <c r="H75" s="254">
        <f>$G$75*(1-$G$32)</f>
        <v/>
      </c>
      <c r="I75" s="254">
        <f>$D$32-$H$75</f>
        <v/>
      </c>
      <c r="J75" s="255">
        <f>$I$75/$F$32</f>
        <v/>
      </c>
      <c r="K75" s="256">
        <f>IFERROR($J$75/$E$32-1,"")</f>
        <v/>
      </c>
    </row>
    <row r="76" ht="15" customHeight="1" s="197">
      <c r="A76" s="252" t="inlineStr">
        <is>
          <t>AMZN</t>
        </is>
      </c>
      <c r="B76" s="246">
        <f>$H$33*$B$24/2</f>
        <v/>
      </c>
      <c r="C76" s="246">
        <f>$H$33*$E$24/$F$24</f>
        <v/>
      </c>
      <c r="D76" s="246">
        <f>$H$33*$G$24/$H$24</f>
        <v/>
      </c>
      <c r="E76" s="253">
        <f>$B$76+$C$76+$D$76</f>
        <v/>
      </c>
      <c r="F76" s="243">
        <f>$C$33</f>
        <v/>
      </c>
      <c r="G76" s="254">
        <f>$E$76-$C$33</f>
        <v/>
      </c>
      <c r="H76" s="254">
        <f>$G$76*(1-$G$33)</f>
        <v/>
      </c>
      <c r="I76" s="254">
        <f>$D$33-$H$76</f>
        <v/>
      </c>
      <c r="J76" s="255">
        <f>$I$76/$F$33</f>
        <v/>
      </c>
      <c r="K76" s="256">
        <f>IFERROR($J$76/$E$33-1,"")</f>
        <v/>
      </c>
    </row>
    <row r="77" ht="15" customHeight="1" s="197">
      <c r="A77" s="252" t="inlineStr">
        <is>
          <t>GOOGL</t>
        </is>
      </c>
      <c r="B77" s="246">
        <f>$H$34*$B$25/2</f>
        <v/>
      </c>
      <c r="C77" s="246">
        <f>$H$34*$E$25/$F$25</f>
        <v/>
      </c>
      <c r="D77" s="246">
        <f>$H$34*$G$25/$H$25</f>
        <v/>
      </c>
      <c r="E77" s="253">
        <f>$B$77+$C$77+$D$77</f>
        <v/>
      </c>
      <c r="F77" s="243">
        <f>$C$34</f>
        <v/>
      </c>
      <c r="G77" s="254">
        <f>$E$77-$C$34</f>
        <v/>
      </c>
      <c r="H77" s="254">
        <f>$G$77*(1-$G$34)</f>
        <v/>
      </c>
      <c r="I77" s="254">
        <f>$D$34-$H$77</f>
        <v/>
      </c>
      <c r="J77" s="255">
        <f>$I$77/$F$34</f>
        <v/>
      </c>
      <c r="K77" s="256">
        <f>IFERROR($J$77/$E$34-1,"")</f>
        <v/>
      </c>
    </row>
    <row r="78" ht="15" customHeight="1" s="197">
      <c r="A78" s="252" t="inlineStr">
        <is>
          <t>META</t>
        </is>
      </c>
      <c r="B78" s="246">
        <f>$H$35*$B$26/2</f>
        <v/>
      </c>
      <c r="C78" s="246">
        <f>$H$35*$E$26/$F$26</f>
        <v/>
      </c>
      <c r="D78" s="246">
        <f>$H$35*$G$26/$H$26</f>
        <v/>
      </c>
      <c r="E78" s="253">
        <f>$B$78+$C$78+$D$78</f>
        <v/>
      </c>
      <c r="F78" s="243">
        <f>$C$35</f>
        <v/>
      </c>
      <c r="G78" s="254">
        <f>$E$78-$C$35</f>
        <v/>
      </c>
      <c r="H78" s="254">
        <f>$G$78*(1-$G$35)</f>
        <v/>
      </c>
      <c r="I78" s="254">
        <f>$D$35-$H$78</f>
        <v/>
      </c>
      <c r="J78" s="255">
        <f>$I$78/$F$35</f>
        <v/>
      </c>
      <c r="K78" s="256">
        <f>IFERROR($J$78/$E$35-1,"")</f>
        <v/>
      </c>
    </row>
    <row r="79" ht="15" customHeight="1" s="197">
      <c r="A79" s="252" t="inlineStr">
        <is>
          <t>ORCL</t>
        </is>
      </c>
      <c r="B79" s="246">
        <f>$H$36*$B$27/2</f>
        <v/>
      </c>
      <c r="C79" s="246">
        <f>$H$36*$E$27/$F$27</f>
        <v/>
      </c>
      <c r="D79" s="246">
        <f>$H$36*$G$27/$H$27</f>
        <v/>
      </c>
      <c r="E79" s="253">
        <f>$B$79+$C$79+$D$79</f>
        <v/>
      </c>
      <c r="F79" s="243">
        <f>$C$36</f>
        <v/>
      </c>
      <c r="G79" s="254">
        <f>$E$79-$C$36</f>
        <v/>
      </c>
      <c r="H79" s="254">
        <f>$G$79*(1-$G$36)</f>
        <v/>
      </c>
      <c r="I79" s="254">
        <f>$D$36-$H$79</f>
        <v/>
      </c>
      <c r="J79" s="255">
        <f>$I$79/$F$36</f>
        <v/>
      </c>
      <c r="K79" s="256">
        <f>IFERROR($J$79/$E$36-1,"")</f>
        <v/>
      </c>
    </row>
    <row r="82" ht="15" customHeight="1" s="197">
      <c r="A82" s="219" t="inlineStr">
        <is>
          <t>E. Summary: 2026E EPS  (%) — Compress OnlyIT Equipment vs Burry'sFull Compression Comparison</t>
        </is>
      </c>
    </row>
    <row r="83" ht="15" customHeight="1" s="197">
      <c r="A83" s="228" t="inlineStr">
        <is>
          <t>★ Adjusted Method = IT Equipment, Buildings/. BurryFull Compression = D&amp;A ().</t>
        </is>
      </c>
    </row>
    <row r="84" ht="48" customHeight="1" s="197">
      <c r="A84" s="236" t="inlineStr">
        <is>
          <t>Company</t>
        </is>
      </c>
      <c r="B84" s="237" t="inlineStr">
        <is>
          <t>ITShare of
(Source)</t>
        </is>
      </c>
      <c r="C84" s="236" t="inlineStr">
        <is>
          <t>Current</t>
        </is>
      </c>
      <c r="D84" s="236" t="inlineStr">
        <is>
          <t>★Adjusted Method
IT→4yr
EPS Δ%</t>
        </is>
      </c>
      <c r="E84" s="236" t="inlineStr">
        <is>
          <t>★Adjusted Method
IT→3yr
EPS Δ%</t>
        </is>
      </c>
      <c r="F84" s="237" t="inlineStr">
        <is>
          <t>Burry
→4yr
EPS Δ%</t>
        </is>
      </c>
      <c r="G84" s="237" t="inlineStr">
        <is>
          <t>Burry
→3yr
EPS Δ%</t>
        </is>
      </c>
      <c r="H84" s="236" t="inlineStr">
        <is>
          <t>Adjusted Method
(vs)</t>
        </is>
      </c>
      <c r="I84" s="236" t="inlineStr">
        <is>
          <t>Conclusion</t>
        </is>
      </c>
      <c r="J84" s="237" t="inlineStr">
        <is>
          <t>2027E
IT→4yr
EPS Δ%</t>
        </is>
      </c>
      <c r="K84" s="237" t="inlineStr">
        <is>
          <t>2027E
IT→3yr
EPS Δ%</t>
        </is>
      </c>
    </row>
    <row r="85" ht="36" customHeight="1" s="197">
      <c r="A85" s="238" t="inlineStr">
        <is>
          <t>MSFT</t>
        </is>
      </c>
      <c r="B85" s="259">
        <f>$B$23</f>
        <v/>
      </c>
      <c r="C85" s="260">
        <f>$B$23*$D$23+$E$23*$F$23+$G$23*$H$23</f>
        <v/>
      </c>
      <c r="D85" s="261">
        <f>IFERROR(($D$32-($H$32*$B$23/4+$H$32*$E$23/$F$23+$H$32*$G$23/$H$23-$C$32)*(1-$G$32))/$F$32/$E$32-1,"")</f>
        <v/>
      </c>
      <c r="E85" s="261">
        <f>IFERROR(($D$32-($H$32*$B$23/3+$H$32*$E$23/$F$23+$H$32*$G$23/$H$23-$C$32)*(1-$G$32))/$F$32/$E$32-1,"")</f>
        <v/>
      </c>
      <c r="F85" s="262">
        <f>IFERROR(($D$32-($C$32*($B$23*$D$23+$E$23*$F$23+$G$23*$H$23)/4-$C$32)*(1-$G$32))/$F$32/$E$32-1,"")</f>
        <v/>
      </c>
      <c r="G85" s="262">
        <f>IFERROR(($D$32-($C$32*($B$23*$D$23+$E$23*$F$23+$G$23*$H$23)/3-$C$32)*(1-$G$32))/$F$32/$E$32-1,"")</f>
        <v/>
      </c>
      <c r="H85" s="259">
        <f>IFERROR(E85/G85,"")</f>
        <v/>
      </c>
      <c r="I85" s="240" t="inlineStr">
        <is>
          <t>. ITShare ofHard Data. 4.9yr.</t>
        </is>
      </c>
    </row>
    <row r="86" ht="36" customHeight="1" s="197">
      <c r="A86" s="238" t="inlineStr">
        <is>
          <t>AMZN</t>
        </is>
      </c>
      <c r="B86" s="259">
        <f>$B$24</f>
        <v/>
      </c>
      <c r="C86" s="260">
        <f>$B$24*$D$24+$E$24*$F$24+$G$24*$H$24</f>
        <v/>
      </c>
      <c r="D86" s="261">
        <f>IFERROR(($D$33-($H$33*$B$24/4+$H$33*$E$24/$F$24+$H$33*$G$24/$H$24-$C$33)*(1-$G$33))/$F$33/$E$33-1,"")</f>
        <v/>
      </c>
      <c r="E86" s="261">
        <f>IFERROR(($D$33-($H$33*$B$24/3+$H$33*$E$24/$F$24+$H$33*$G$24/$H$24-$C$33)*(1-$G$33))/$F$33/$E$33-1,"")</f>
        <v/>
      </c>
      <c r="F86" s="262">
        <f>IFERROR(($D$33-($C$33*($B$24*$D$24+$E$24*$F$24+$G$24*$H$24)/4-$C$33)*(1-$G$33))/$F$33/$E$33-1,"")</f>
        <v/>
      </c>
      <c r="G86" s="262">
        <f>IFERROR(($D$33-($C$33*($B$24*$D$24+$E$24*$F$24+$G$24*$H$24)/3-$C$33)*(1-$G$33))/$F$33/$E$33-1,"")</f>
        <v/>
      </c>
      <c r="H86" s="259">
        <f>IFERROR(E86/G86,"")</f>
        <v/>
      </c>
      <c r="I86" s="240" t="inlineStr">
        <is>
          <t>. ButD&amp;A, .</t>
        </is>
      </c>
    </row>
    <row r="87" ht="36" customHeight="1" s="197">
      <c r="A87" s="238" t="inlineStr">
        <is>
          <t>GOOGL</t>
        </is>
      </c>
      <c r="B87" s="259">
        <f>$B$25</f>
        <v/>
      </c>
      <c r="C87" s="260">
        <f>$B$25*$D$25+$E$25*$F$25+$G$25*$H$25</f>
        <v/>
      </c>
      <c r="D87" s="261">
        <f>IFERROR(($D$34-($H$34*$B$25/4+$H$34*$E$25/$F$25+$H$34*$G$25/$H$25-$C$34)*(1-$G$34))/$F$34/$E$34-1,"")</f>
        <v/>
      </c>
      <c r="E87" s="261">
        <f>IFERROR(($D$34-($H$34*$B$25/3+$H$34*$E$25/$F$25+$H$34*$G$25/$H$25-$C$34)*(1-$G$34))/$F$34/$E$34-1,"")</f>
        <v/>
      </c>
      <c r="F87" s="262">
        <f>IFERROR(($D$34-($C$34*($B$25*$D$25+$E$25*$F$25+$G$25*$H$25)/4-$C$34)*(1-$G$34))/$F$34/$E$34-1,"")</f>
        <v/>
      </c>
      <c r="G87" s="262">
        <f>IFERROR(($D$34-($C$34*($B$25*$D$25+$E$25*$F$25+$G$25*$H$25)/3-$C$34)*(1-$G$34))/$F$34/$E$34-1,"")</f>
        <v/>
      </c>
      <c r="H87" s="259">
        <f>IFERROR(E87/G87,"")</f>
        <v/>
      </c>
      <c r="I87" s="240" t="inlineStr">
        <is>
          <t>TPU. ITShare of.</t>
        </is>
      </c>
    </row>
    <row r="88" ht="36" customHeight="1" s="197">
      <c r="A88" s="238" t="inlineStr">
        <is>
          <t>META</t>
        </is>
      </c>
      <c r="B88" s="259">
        <f>$B$26</f>
        <v/>
      </c>
      <c r="C88" s="260">
        <f>$B$26*$D$26+$E$26*$F$26+$G$26*$H$26</f>
        <v/>
      </c>
      <c r="D88" s="261">
        <f>IFERROR(($D$35-($H$35*$B$26/4+$H$35*$E$26/$F$26+$H$35*$G$26/$H$26-$C$35)*(1-$G$35))/$F$35/$E$35-1,"")</f>
        <v/>
      </c>
      <c r="E88" s="261">
        <f>IFERROR(($D$35-($H$35*$B$26/3+$H$35*$E$26/$F$26+$H$35*$G$26/$H$26-$C$35)*(1-$G$35))/$F$35/$E$35-1,"")</f>
        <v/>
      </c>
      <c r="F88" s="262">
        <f>IFERROR(($D$35-($C$35*($B$26*$D$26+$E$26*$F$26+$G$26*$H$26)/4-$C$35)*(1-$G$35))/$F$35/$E$35-1,"")</f>
        <v/>
      </c>
      <c r="G88" s="262">
        <f>IFERROR(($D$35-($C$35*($B$26*$D$26+$E$26*$F$26+$G$26*$H$26)/3-$C$35)*(1-$G$35))/$F$35/$E$35-1,"")</f>
        <v/>
      </c>
      <c r="H88" s="259">
        <f>IFERROR(E88/G88,"")</f>
        <v/>
      </c>
      <c r="I88" s="263" t="inlineStr">
        <is>
          <t>GPU'sDCCompany. .</t>
        </is>
      </c>
    </row>
    <row r="89" ht="36" customHeight="1" s="197">
      <c r="A89" s="238" t="inlineStr">
        <is>
          <t>ORCL</t>
        </is>
      </c>
      <c r="B89" s="259">
        <f>$B$27</f>
        <v/>
      </c>
      <c r="C89" s="260">
        <f>$B$27*$D$27+$E$27*$F$27+$G$27*$H$27</f>
        <v/>
      </c>
      <c r="D89" s="261">
        <f>IFERROR(($D$36-($H$36*$B$27/4+$H$36*$E$27/$F$27+$H$36*$G$27/$H$27-$C$36)*(1-$G$36))/$F$36/$E$36-1,"")</f>
        <v/>
      </c>
      <c r="E89" s="261">
        <f>IFERROR(($D$36-($H$36*$B$27/3+$H$36*$E$27/$F$27+$H$36*$G$27/$H$27-$C$36)*(1-$G$36))/$F$36/$E$36-1,"")</f>
        <v/>
      </c>
      <c r="F89" s="262">
        <f>IFERROR(($D$36-($C$36*($B$27*$D$27+$E$27*$F$27+$G$27*$H$27)/4-$C$36)*(1-$G$36))/$F$36/$E$36-1,"")</f>
        <v/>
      </c>
      <c r="G89" s="262">
        <f>IFERROR(($D$36-($C$36*($B$27*$D$27+$E$27*$F$27+$G$27*$H$27)/3-$C$36)*(1-$G$36))/$F$36/$E$36-1,"")</f>
        <v/>
      </c>
      <c r="H89" s="259">
        <f>IFERROR(E89/G89,"")</f>
        <v/>
      </c>
      <c r="I89" s="263" t="inlineStr">
        <is>
          <t>OCI, building. ButNI, .</t>
        </is>
      </c>
    </row>
    <row r="92" ht="15" customHeight="1" s="197">
      <c r="A92" s="264" t="inlineStr">
        <is>
          <t>Confidence</t>
        </is>
      </c>
    </row>
    <row r="93" ht="19.5" customHeight="1" s="197">
      <c r="A93" s="265" t="inlineStr">
        <is>
          <t>✅ MSFT IT EquipmentShare of (59% capex, 44.5% PP&amp;E): From your model Capex sheet Row 74/90/114 — Fully verifiable</t>
        </is>
      </c>
      <c r="B93" s="251" t="n"/>
      <c r="C93" s="251" t="n"/>
      <c r="D93" s="251" t="n"/>
      <c r="E93" s="251" t="n"/>
      <c r="F93" s="251" t="n"/>
      <c r="G93" s="251" t="n"/>
      <c r="H93" s="251" t="n"/>
      <c r="I93" s="251" t="n"/>
      <c r="J93" s="251" t="n"/>
      <c r="K93" s="251" t="n"/>
      <c r="L93" s="251" t="n"/>
    </row>
    <row r="94" ht="19.5" customHeight="1" s="197">
      <c r="A94" s="265" t="inlineStr">
        <is>
          <t>✅ MSFT Useful Life (IT 6yr, Buildings 15yr):  Capex sheet Row 121-125 — Fully verifiable</t>
        </is>
      </c>
      <c r="B94" s="251" t="n"/>
      <c r="C94" s="251" t="n"/>
      <c r="D94" s="251" t="n"/>
      <c r="E94" s="251" t="n"/>
      <c r="F94" s="251" t="n"/>
      <c r="G94" s="251" t="n"/>
      <c r="H94" s="251" t="n"/>
      <c r="I94" s="251" t="n"/>
      <c r="J94" s="251" t="n"/>
      <c r="K94" s="251" t="n"/>
      <c r="L94" s="251" t="n"/>
    </row>
    <row r="95" ht="19.5" customHeight="1" s="197">
      <c r="A95" s="265" t="inlineStr">
        <is>
          <t>✅ 5's D&amp;A, NI, EPS, Shares, Capex:  — Fully verifiable</t>
        </is>
      </c>
      <c r="B95" s="251" t="n"/>
      <c r="C95" s="251" t="n"/>
      <c r="D95" s="251" t="n"/>
      <c r="E95" s="251" t="n"/>
      <c r="F95" s="251" t="n"/>
      <c r="G95" s="251" t="n"/>
      <c r="H95" s="251" t="n"/>
      <c r="I95" s="251" t="n"/>
      <c r="J95" s="251" t="n"/>
      <c r="K95" s="251" t="n"/>
      <c r="L95" s="251" t="n"/>
    </row>
    <row r="96" ht="19.5" customHeight="1" s="197">
      <c r="A96" s="266" t="inlineStr">
        <is>
          <t>⚠️ AMZN/GOOGL/META/ORCL IT EquipmentShare of: Based on MSFT proxy + Industry Reports (MBI, Epoch AI, Behind the Balance Sheet) — Directionally correct but estimate</t>
        </is>
      </c>
      <c r="B96" s="251" t="n"/>
      <c r="C96" s="251" t="n"/>
      <c r="D96" s="251" t="n"/>
      <c r="E96" s="251" t="n"/>
      <c r="F96" s="251" t="n"/>
      <c r="G96" s="251" t="n"/>
      <c r="H96" s="251" t="n"/>
      <c r="I96" s="251" t="n"/>
      <c r="J96" s="251" t="n"/>
      <c r="K96" s="251" t="n"/>
      <c r="L96" s="251" t="n"/>
    </row>
    <row r="97" ht="19.5" customHeight="1" s="197">
      <c r="A97" s="266" t="inlineStr">
        <is>
          <t>⚠️ IT Equipment 'AI GPU' Share of: Company's 10-K does not disclose this — Unknowable</t>
        </is>
      </c>
      <c r="B97" s="251" t="n"/>
      <c r="C97" s="251" t="n"/>
      <c r="D97" s="251" t="n"/>
      <c r="E97" s="251" t="n"/>
      <c r="F97" s="251" t="n"/>
      <c r="G97" s="251" t="n"/>
      <c r="H97" s="251" t="n"/>
      <c r="I97" s="251" t="n"/>
      <c r="J97" s="251" t="n"/>
      <c r="K97" s="251" t="n"/>
      <c r="L97" s="251" t="n"/>
    </row>
    <row r="98" ht="19.5" customHeight="1" s="197">
      <c r="A98" s="267" t="inlineStr">
        <is>
          <t>❌ DDB : GAAPno hyperscaler useshyperscalerDDBD&amp;AIT Equipment — Stress Test, Does not represent realistic possibility</t>
        </is>
      </c>
      <c r="B98" s="251" t="n"/>
      <c r="C98" s="251" t="n"/>
      <c r="D98" s="251" t="n"/>
      <c r="E98" s="251" t="n"/>
      <c r="F98" s="251" t="n"/>
      <c r="G98" s="251" t="n"/>
      <c r="H98" s="251" t="n"/>
      <c r="I98" s="251" t="n"/>
      <c r="J98" s="251" t="n"/>
      <c r="K98" s="251" t="n"/>
      <c r="L98" s="251" t="n"/>
    </row>
    <row r="101" ht="15" customHeight="1" s="197">
      <c r="A101" s="219" t="inlineStr">
        <is>
          <t>H. 2027E D&amp;A (, IT Equipment, Buildings)</t>
        </is>
      </c>
    </row>
    <row r="102" ht="15" customHeight="1" s="197">
      <c r="A102" s="268" t="inlineStr">
        <is>
          <t>2027E D&amp;A(), D&amp;A. 'sITShare of.</t>
        </is>
      </c>
    </row>
    <row r="103" ht="31.5" customHeight="1" s="197">
      <c r="A103" s="236" t="inlineStr">
        <is>
          <t>Company</t>
        </is>
      </c>
      <c r="B103" s="237" t="inlineStr">
        <is>
          <t>2027E D&amp;A</t>
        </is>
      </c>
      <c r="C103" s="237" t="inlineStr">
        <is>
          <t>2027E NI</t>
        </is>
      </c>
      <c r="D103" s="237" t="inlineStr">
        <is>
          <t>2027E EPS</t>
        </is>
      </c>
      <c r="E103" s="237" t="inlineStr">
        <is>
          <t>Shares</t>
        </is>
      </c>
      <c r="F103" s="237" t="inlineStr">
        <is>
          <t>Tax</t>
        </is>
      </c>
      <c r="G103" s="237" t="inlineStr">
        <is>
          <t>ITShare of</t>
        </is>
      </c>
      <c r="H103" s="236" t="inlineStr">
        <is>
          <t>BuildingsShare of</t>
        </is>
      </c>
      <c r="I103" s="236" t="inlineStr">
        <is>
          <t>Share of</t>
        </is>
      </c>
      <c r="J103" s="237" t="inlineStr">
        <is>
          <t>★IT→4yr EPS Δ%</t>
        </is>
      </c>
      <c r="K103" s="237" t="inlineStr">
        <is>
          <t>★IT→3yr EPS Δ%</t>
        </is>
      </c>
    </row>
    <row r="104" ht="15" customHeight="1" s="197">
      <c r="A104" s="252" t="inlineStr">
        <is>
          <t>MSFT</t>
        </is>
      </c>
      <c r="B104" s="243">
        <f>'0. Database'!Q11</f>
        <v/>
      </c>
      <c r="C104" s="243">
        <f>'0. Database'!Q7</f>
        <v/>
      </c>
      <c r="D104" s="244">
        <f>'0. Database'!Q8</f>
        <v/>
      </c>
      <c r="E104" s="269" t="n"/>
      <c r="F104" s="239" t="n">
        <v>0.18</v>
      </c>
      <c r="G104" s="239" t="n">
        <v>0.59</v>
      </c>
      <c r="H104" s="239" t="n">
        <v>0.36</v>
      </c>
      <c r="I104" s="239" t="n">
        <v>0.05</v>
      </c>
      <c r="J104" s="261">
        <f>IFERROR(($C$104-(($B$104*($G$104*6+$H$104*15+$I$104*10))*$G$104/4+($B$104*($G$104*6+$H$104*15+$I$104*10))*$H$104/15+($B$104*($G$104*6+$H$104*15+$I$104*10))*$I$104/10-$B$104)*(1-$F$104))/$E$104/$D$104-1,"")</f>
        <v/>
      </c>
      <c r="K104" s="261">
        <f>IFERROR(($C$104-(($B$104*($G$104*6+$H$104*15+$I$104*10))*$G$104/3+($B$104*($G$104*6+$H$104*15+$I$104*10))*$H$104/15+($B$104*($G$104*6+$H$104*15+$I$104*10))*$I$104/10-$B$104)*(1-$F$104))/$E$104/$D$104-1,"")</f>
        <v/>
      </c>
    </row>
    <row r="105" ht="15" customHeight="1" s="197">
      <c r="A105" s="252" t="inlineStr">
        <is>
          <t>AMZN</t>
        </is>
      </c>
      <c r="B105" s="243">
        <f>'0. Database'!Q27</f>
        <v/>
      </c>
      <c r="C105" s="243">
        <f>'0. Database'!Q23</f>
        <v/>
      </c>
      <c r="D105" s="244">
        <f>'0. Database'!Q24</f>
        <v/>
      </c>
      <c r="E105" s="269" t="n"/>
      <c r="F105" s="239" t="n">
        <v>0.2</v>
      </c>
      <c r="G105" s="239" t="n">
        <v>0.42</v>
      </c>
      <c r="H105" s="239" t="n">
        <v>0.35</v>
      </c>
      <c r="I105" s="239" t="n">
        <v>0.23</v>
      </c>
      <c r="J105" s="261">
        <f>IFERROR(($C$105-(($B$105*($G$105*5.5+$H$105*18+$I$105*8))*$G$105/4+($B$105*($G$105*5.5+$H$105*18+$I$105*8))*$H$105/18+($B$105*($G$105*5.5+$H$105*18+$I$105*8))*$I$105/8-$B$105)*(1-$F$105))/$E$105/$D$105-1,"")</f>
        <v/>
      </c>
      <c r="K105" s="261">
        <f>IFERROR(($C$105-(($B$105*($G$105*5.5+$H$105*18+$I$105*8))*$G$105/3+($B$105*($G$105*5.5+$H$105*18+$I$105*8))*$H$105/18+($B$105*($G$105*5.5+$H$105*18+$I$105*8))*$I$105/8-$B$105)*(1-$F$105))/$E$105/$D$105-1,"")</f>
        <v/>
      </c>
    </row>
    <row r="106" ht="15" customHeight="1" s="197">
      <c r="A106" s="252" t="inlineStr">
        <is>
          <t>GOOGL</t>
        </is>
      </c>
      <c r="B106" s="243">
        <f>'0. Database'!Q42</f>
        <v/>
      </c>
      <c r="C106" s="243">
        <f>'0. Database'!Q38</f>
        <v/>
      </c>
      <c r="D106" s="244">
        <f>'0. Database'!Q39</f>
        <v/>
      </c>
      <c r="E106" s="269" t="n"/>
      <c r="F106" s="239" t="n">
        <v>0.16</v>
      </c>
      <c r="G106" s="239" t="n">
        <v>0.57</v>
      </c>
      <c r="H106" s="239" t="n">
        <v>0.35</v>
      </c>
      <c r="I106" s="239" t="n">
        <v>0.08</v>
      </c>
      <c r="J106" s="261">
        <f>IFERROR(($C$106-(($B$106*($G$106*6+$H$106*20+$I$106*10))*$G$106/4+($B$106*($G$106*6+$H$106*20+$I$106*10))*$H$106/20+($B$106*($G$106*6+$H$106*20+$I$106*10))*$I$106/10-$B$106)*(1-$F$106))/$E$106/$D$106-1,"")</f>
        <v/>
      </c>
      <c r="K106" s="261">
        <f>IFERROR(($C$106-(($B$106*($G$106*6+$H$106*20+$I$106*10))*$G$106/3+($B$106*($G$106*6+$H$106*20+$I$106*10))*$H$106/20+($B$106*($G$106*6+$H$106*20+$I$106*10))*$I$106/10-$B$106)*(1-$F$106))/$E$106/$D$106-1,"")</f>
        <v/>
      </c>
    </row>
    <row r="107" ht="15" customHeight="1" s="197">
      <c r="A107" s="252" t="inlineStr">
        <is>
          <t>META</t>
        </is>
      </c>
      <c r="B107" s="243">
        <f>'0. Database'!Q59</f>
        <v/>
      </c>
      <c r="C107" s="243">
        <f>'0. Database'!Q55</f>
        <v/>
      </c>
      <c r="D107" s="244">
        <f>'0. Database'!Q56</f>
        <v/>
      </c>
      <c r="E107" s="269" t="n"/>
      <c r="F107" s="239" t="n">
        <v>0.13</v>
      </c>
      <c r="G107" s="239" t="n">
        <v>0.62</v>
      </c>
      <c r="H107" s="239" t="n">
        <v>0.33</v>
      </c>
      <c r="I107" s="239" t="n">
        <v>0.05</v>
      </c>
      <c r="J107" s="261">
        <f>IFERROR(($C$107-(($B$107*($G$107*5.5+$H$107*22+$I$107*10))*$G$107/4+($B$107*($G$107*5.5+$H$107*22+$I$107*10))*$H$107/22+($B$107*($G$107*5.5+$H$107*22+$I$107*10))*$I$107/10-$B$107)*(1-$F$107))/$E$107/$D$107-1,"")</f>
        <v/>
      </c>
      <c r="K107" s="261">
        <f>IFERROR(($C$107-(($B$107*($G$107*5.5+$H$107*22+$I$107*10))*$G$107/3+($B$107*($G$107*5.5+$H$107*22+$I$107*10))*$H$107/22+($B$107*($G$107*5.5+$H$107*22+$I$107*10))*$I$107/10-$B$107)*(1-$F$107))/$E$107/$D$107-1,"")</f>
        <v/>
      </c>
    </row>
    <row r="108" ht="15" customHeight="1" s="197">
      <c r="A108" s="252" t="inlineStr">
        <is>
          <t>ORCL</t>
        </is>
      </c>
      <c r="B108" s="243">
        <f>'0. Database'!Q77</f>
        <v/>
      </c>
      <c r="C108" s="243">
        <f>'0. Database'!Q73</f>
        <v/>
      </c>
      <c r="D108" s="244">
        <f>'0. Database'!Q74</f>
        <v/>
      </c>
      <c r="E108" s="269" t="n"/>
      <c r="F108" s="239" t="n">
        <v>0.2</v>
      </c>
      <c r="G108" s="239" t="n">
        <v>0.5</v>
      </c>
      <c r="H108" s="239" t="n">
        <v>0.4</v>
      </c>
      <c r="I108" s="239" t="n">
        <v>0.1</v>
      </c>
      <c r="J108" s="261">
        <f>IFERROR(($C$108-(($B$108*($G$108*5.5+$H$108*20+$I$108*10))*$G$108/4+($B$108*($G$108*5.5+$H$108*20+$I$108*10))*$H$108/20+($B$108*($G$108*5.5+$H$108*20+$I$108*10))*$I$108/10-$B$108)*(1-$F$108))/$E$108/$D$108-1,"")</f>
        <v/>
      </c>
      <c r="K108" s="261">
        <f>IFERROR(($C$108-(($B$108*($G$108*5.5+$H$108*20+$I$108*10))*$G$108/3+($B$108*($G$108*5.5+$H$108*20+$I$108*10))*$H$108/20+($B$108*($G$108*5.5+$H$108*20+$I$108*10))*$I$108/10-$B$108)*(1-$F$108))/$E$108/$D$108-1,"")</f>
        <v/>
      </c>
    </row>
  </sheetData>
  <mergeCells count="24">
    <mergeCell ref="A41:L41"/>
    <mergeCell ref="A4:P4"/>
    <mergeCell ref="A19:P19"/>
    <mergeCell ref="A57:L57"/>
    <mergeCell ref="A95:L95"/>
    <mergeCell ref="A101:L101"/>
    <mergeCell ref="A97:L97"/>
    <mergeCell ref="A96:L96"/>
    <mergeCell ref="A1:P1"/>
    <mergeCell ref="A93:L93"/>
    <mergeCell ref="A102:L102"/>
    <mergeCell ref="A40:L40"/>
    <mergeCell ref="A39:L39"/>
    <mergeCell ref="A83:L83"/>
    <mergeCell ref="A92:L92"/>
    <mergeCell ref="A30:L30"/>
    <mergeCell ref="A73:L73"/>
    <mergeCell ref="A82:L82"/>
    <mergeCell ref="A98:L98"/>
    <mergeCell ref="A49:L49"/>
    <mergeCell ref="A94:L94"/>
    <mergeCell ref="A3:P3"/>
    <mergeCell ref="A21:P21"/>
    <mergeCell ref="A65:L65"/>
  </mergeCells>
  <conditionalFormatting sqref="K43:K47">
    <cfRule type="colorScale" priority="2">
      <colorScale>
        <cfvo type="num" val="-0.4"/>
        <cfvo type="num" val="-0.1"/>
        <cfvo type="num" val="0.05"/>
        <color rgb="FFF8696B"/>
        <color rgb="FFFFEB84"/>
        <color rgb="FF63BE7B"/>
      </colorScale>
    </cfRule>
  </conditionalFormatting>
  <conditionalFormatting sqref="K51:K55">
    <cfRule type="colorScale" priority="3">
      <colorScale>
        <cfvo type="num" val="-0.4"/>
        <cfvo type="num" val="-0.1"/>
        <cfvo type="num" val="0.05"/>
        <color rgb="FFF8696B"/>
        <color rgb="FFFFEB84"/>
        <color rgb="FF63BE7B"/>
      </colorScale>
    </cfRule>
  </conditionalFormatting>
  <conditionalFormatting sqref="K59:K63">
    <cfRule type="colorScale" priority="4">
      <colorScale>
        <cfvo type="num" val="-0.4"/>
        <cfvo type="num" val="-0.1"/>
        <cfvo type="num" val="0.05"/>
        <color rgb="FFF8696B"/>
        <color rgb="FFFFEB84"/>
        <color rgb="FF63BE7B"/>
      </colorScale>
    </cfRule>
  </conditionalFormatting>
  <conditionalFormatting sqref="K67:K71">
    <cfRule type="colorScale" priority="5">
      <colorScale>
        <cfvo type="num" val="-0.4"/>
        <cfvo type="num" val="-0.1"/>
        <cfvo type="num" val="0.05"/>
        <color rgb="FFF8696B"/>
        <color rgb="FFFFEB84"/>
        <color rgb="FF63BE7B"/>
      </colorScale>
    </cfRule>
  </conditionalFormatting>
  <conditionalFormatting sqref="K75:K79">
    <cfRule type="colorScale" priority="6">
      <colorScale>
        <cfvo type="num" val="-0.4"/>
        <cfvo type="num" val="-0.1"/>
        <cfvo type="num" val="0.05"/>
        <color rgb="FFF8696B"/>
        <color rgb="FFFFEB84"/>
        <color rgb="FF63BE7B"/>
      </colorScale>
    </cfRule>
  </conditionalFormatting>
  <conditionalFormatting sqref="D85:D89">
    <cfRule type="colorScale" priority="7">
      <colorScale>
        <cfvo type="num" val="-0.4"/>
        <cfvo type="num" val="-0.1"/>
        <cfvo type="num" val="0"/>
        <color rgb="FFF8696B"/>
        <color rgb="FFFFEB84"/>
        <color rgb="FF63BE7B"/>
      </colorScale>
    </cfRule>
  </conditionalFormatting>
  <conditionalFormatting sqref="E85:E89">
    <cfRule type="colorScale" priority="8">
      <colorScale>
        <cfvo type="num" val="-0.4"/>
        <cfvo type="num" val="-0.1"/>
        <cfvo type="num" val="0"/>
        <color rgb="FFF8696B"/>
        <color rgb="FFFFEB84"/>
        <color rgb="FF63BE7B"/>
      </colorScale>
    </cfRule>
  </conditionalFormatting>
  <conditionalFormatting sqref="F85:F89">
    <cfRule type="colorScale" priority="9">
      <colorScale>
        <cfvo type="num" val="-0.4"/>
        <cfvo type="num" val="-0.1"/>
        <cfvo type="num" val="0"/>
        <color rgb="FFF8696B"/>
        <color rgb="FFFFEB84"/>
        <color rgb="FF63BE7B"/>
      </colorScale>
    </cfRule>
  </conditionalFormatting>
  <conditionalFormatting sqref="G85:G89">
    <cfRule type="colorScale" priority="10">
      <colorScale>
        <cfvo type="num" val="-0.4"/>
        <cfvo type="num" val="-0.1"/>
        <cfvo type="num" val="0"/>
        <color rgb="FFF8696B"/>
        <color rgb="FFFFEB84"/>
        <color rgb="FF63BE7B"/>
      </colorScale>
    </cfRule>
  </conditionalFormatting>
  <conditionalFormatting sqref="J104:K108">
    <cfRule type="colorScale" priority="11">
      <colorScale>
        <cfvo type="num" val="-0.5"/>
        <cfvo type="num" val="-0.15"/>
        <cfvo type="num" val="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N87"/>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196" min="1" max="1"/>
    <col width="10.51" customWidth="1" style="196" min="2" max="17"/>
  </cols>
  <sheetData>
    <row r="1" ht="25.5" customHeight="1" s="197">
      <c r="A1" s="198" t="inlineStr">
        <is>
          <t>S&amp;P 500: AI vs Non-AI EPSBreakdown + Dual P/E Valuation</t>
        </is>
      </c>
    </row>
    <row r="3" ht="15" customHeight="1" s="197">
      <c r="A3" s="219" t="inlineStr">
        <is>
          <t>A. S&amp;P 500 Actual Operating EPS + sell-side Cash Spending Framework</t>
        </is>
      </c>
    </row>
    <row r="4" ht="15" customHeight="1" s="197">
      <c r="A4" s="268" t="inlineStr">
        <is>
          <t>EPS: FactSet actual (2018-2024), sell-side/consensus estimates (2025+). Capex/Buybacks: sell-side data (May 7 2026 report). Yellow = editable.</t>
        </is>
      </c>
    </row>
    <row r="5" ht="15" customHeight="1" s="197">
      <c r="A5" s="220" t="inlineStr">
        <is>
          <t>Metric</t>
        </is>
      </c>
      <c r="B5" s="201" t="inlineStr">
        <is>
          <t>2018A</t>
        </is>
      </c>
      <c r="C5" s="201" t="inlineStr">
        <is>
          <t>2019A</t>
        </is>
      </c>
      <c r="D5" s="201" t="inlineStr">
        <is>
          <t>2020A</t>
        </is>
      </c>
      <c r="E5" s="201" t="inlineStr">
        <is>
          <t>2021A</t>
        </is>
      </c>
      <c r="F5" s="201" t="inlineStr">
        <is>
          <t>2022A</t>
        </is>
      </c>
      <c r="G5" s="201" t="inlineStr">
        <is>
          <t>2023A</t>
        </is>
      </c>
      <c r="H5" s="201" t="inlineStr">
        <is>
          <t>2024A</t>
        </is>
      </c>
      <c r="I5" s="201" t="inlineStr">
        <is>
          <t>2025A</t>
        </is>
      </c>
      <c r="J5" s="201" t="inlineStr">
        <is>
          <t>2026E</t>
        </is>
      </c>
      <c r="K5" s="201" t="inlineStr">
        <is>
          <t>2027E</t>
        </is>
      </c>
      <c r="L5" s="201" t="inlineStr">
        <is>
          <t>2028E</t>
        </is>
      </c>
      <c r="M5" s="201" t="inlineStr">
        <is>
          <t>2029E</t>
        </is>
      </c>
      <c r="N5" s="201" t="inlineStr">
        <is>
          <t>2030E</t>
        </is>
      </c>
    </row>
    <row r="6" ht="15" customHeight="1" s="197">
      <c r="A6" s="230" t="inlineStr">
        <is>
          <t>S&amp;P 500 Operating EPS ($)</t>
        </is>
      </c>
      <c r="B6" s="270" t="n">
        <v>162</v>
      </c>
      <c r="C6" s="270" t="n">
        <v>164</v>
      </c>
      <c r="D6" s="270" t="n">
        <v>140</v>
      </c>
      <c r="E6" s="270" t="n">
        <v>209</v>
      </c>
      <c r="F6" s="270" t="n">
        <v>219</v>
      </c>
      <c r="G6" s="270" t="n">
        <v>221</v>
      </c>
      <c r="H6" s="270" t="n">
        <v>246</v>
      </c>
      <c r="I6" s="270" t="n">
        <v>275</v>
      </c>
      <c r="J6" s="270" t="n">
        <v>309</v>
      </c>
      <c r="K6" s="270" t="n">
        <v>342</v>
      </c>
      <c r="L6" s="270" t="n">
        <v>370</v>
      </c>
      <c r="M6" s="270" t="n">
        <v>396</v>
      </c>
      <c r="N6" s="270" t="n">
        <v>420</v>
      </c>
    </row>
    <row r="7" ht="15" customHeight="1" s="197">
      <c r="A7" s="230" t="inlineStr">
        <is>
          <t>S&amp;P 500Capex ($B) — sell-side data</t>
        </is>
      </c>
      <c r="B7" s="205" t="n">
        <v>644</v>
      </c>
      <c r="C7" s="205" t="n">
        <v>697</v>
      </c>
      <c r="D7" s="205" t="n">
        <v>591</v>
      </c>
      <c r="E7" s="205" t="n">
        <v>739</v>
      </c>
      <c r="F7" s="205" t="n">
        <v>892</v>
      </c>
      <c r="G7" s="205" t="n">
        <v>958</v>
      </c>
      <c r="H7" s="205" t="n">
        <v>1077</v>
      </c>
      <c r="I7" s="205" t="n">
        <v>1296</v>
      </c>
      <c r="J7" s="205" t="n">
        <v>1724</v>
      </c>
      <c r="K7" s="205" t="n">
        <v>2103</v>
      </c>
      <c r="L7" s="205" t="n">
        <v>2400</v>
      </c>
      <c r="M7" s="205" t="n">
        <v>2600</v>
      </c>
      <c r="N7" s="205" t="n">
        <v>2750</v>
      </c>
    </row>
    <row r="8" ht="15" customHeight="1" s="197">
      <c r="A8" s="230" t="inlineStr">
        <is>
          <t>AICapex ($B) — 5 cos</t>
        </is>
      </c>
      <c r="B8" s="205" t="n">
        <v>50</v>
      </c>
      <c r="C8" s="205" t="n">
        <v>55</v>
      </c>
      <c r="D8" s="205" t="n">
        <v>60</v>
      </c>
      <c r="E8" s="205" t="n">
        <v>86</v>
      </c>
      <c r="F8" s="205" t="n">
        <v>158</v>
      </c>
      <c r="G8" s="205" t="n">
        <v>154</v>
      </c>
      <c r="H8" s="205" t="n">
        <v>237</v>
      </c>
      <c r="I8" s="205" t="n">
        <v>412</v>
      </c>
      <c r="J8" s="205" t="n">
        <v>755</v>
      </c>
      <c r="K8" s="205" t="n">
        <v>892</v>
      </c>
      <c r="L8" s="205" t="n">
        <v>950</v>
      </c>
      <c r="M8" s="205" t="n">
        <v>980</v>
      </c>
      <c r="N8" s="205" t="n">
        <v>1000</v>
      </c>
    </row>
    <row r="9" ht="15" customHeight="1" s="197">
      <c r="A9" s="229" t="inlineStr">
        <is>
          <t>S&amp;P 500 Buybacks ($B) — sell-side data</t>
        </is>
      </c>
      <c r="B9" s="205" t="n">
        <v>770</v>
      </c>
      <c r="C9" s="205" t="n">
        <v>729</v>
      </c>
      <c r="D9" s="205" t="n">
        <v>520</v>
      </c>
      <c r="E9" s="205" t="n">
        <v>919</v>
      </c>
      <c r="F9" s="205" t="n">
        <v>950</v>
      </c>
      <c r="G9" s="205" t="n">
        <v>823</v>
      </c>
      <c r="H9" s="205" t="n">
        <v>982</v>
      </c>
      <c r="I9" s="205" t="n">
        <v>1066</v>
      </c>
      <c r="J9" s="205" t="n">
        <v>1098</v>
      </c>
      <c r="K9" s="205" t="n">
        <v>1153</v>
      </c>
      <c r="L9" s="205" t="n">
        <v>1200</v>
      </c>
      <c r="M9" s="205" t="n">
        <v>1250</v>
      </c>
      <c r="N9" s="205" t="n">
        <v>1300</v>
      </c>
    </row>
    <row r="10" ht="15" customHeight="1" s="197">
      <c r="A10" s="234" t="inlineStr">
        <is>
          <t>Share ofCapex%</t>
        </is>
      </c>
      <c r="B10" s="231" t="n">
        <v>50</v>
      </c>
      <c r="C10" s="231" t="n">
        <v>55</v>
      </c>
      <c r="D10" s="231" t="n">
        <v>60</v>
      </c>
      <c r="E10" s="231" t="n">
        <v>86</v>
      </c>
      <c r="F10" s="231" t="n">
        <v>158</v>
      </c>
      <c r="G10" s="231" t="n">
        <v>154</v>
      </c>
      <c r="H10" s="231" t="n">
        <v>237</v>
      </c>
      <c r="I10" s="231" t="n">
        <v>412</v>
      </c>
      <c r="J10" s="231" t="n">
        <v>755</v>
      </c>
      <c r="K10" s="231" t="n">
        <v>892</v>
      </c>
      <c r="L10" s="231" t="n">
        <v>950</v>
      </c>
      <c r="M10" s="231" t="n">
        <v>980</v>
      </c>
      <c r="N10" s="231" t="n">
        <v>1000</v>
      </c>
    </row>
    <row r="12" ht="15" customHeight="1" s="197">
      <c r="A12" s="219" t="inlineStr">
        <is>
          <t>B. AI-Driven EPS Estimation: Hyperscaler Capex → Supply Chain Profit → S&amp;P 500 EPS</t>
        </is>
      </c>
    </row>
    <row r="13" ht="15" customHeight="1" s="197">
      <c r="A13" s="268" t="inlineStr">
        <is>
          <t>Logic: Hyperscaler capex = revenue for NVDA/AVGO/MU/ANET/etc. Their net margin × capex = AI-driven NI. Divide by S&amp;P 500 share count ≈ AI EPS.</t>
        </is>
      </c>
    </row>
    <row r="14" ht="15" customHeight="1" s="197">
      <c r="A14" s="220" t="inlineStr">
        <is>
          <t>Metric</t>
        </is>
      </c>
      <c r="B14" s="201" t="inlineStr">
        <is>
          <t>2018A</t>
        </is>
      </c>
      <c r="C14" s="201" t="inlineStr">
        <is>
          <t>2019A</t>
        </is>
      </c>
      <c r="D14" s="201" t="inlineStr">
        <is>
          <t>2020A</t>
        </is>
      </c>
      <c r="E14" s="201" t="inlineStr">
        <is>
          <t>2021A</t>
        </is>
      </c>
      <c r="F14" s="201" t="inlineStr">
        <is>
          <t>2022A</t>
        </is>
      </c>
      <c r="G14" s="201" t="inlineStr">
        <is>
          <t>2023A</t>
        </is>
      </c>
      <c r="H14" s="201" t="inlineStr">
        <is>
          <t>2024A</t>
        </is>
      </c>
      <c r="I14" s="201" t="inlineStr">
        <is>
          <t>2025A</t>
        </is>
      </c>
      <c r="J14" s="201" t="inlineStr">
        <is>
          <t>2026E</t>
        </is>
      </c>
      <c r="K14" s="201" t="inlineStr">
        <is>
          <t>2027E</t>
        </is>
      </c>
      <c r="L14" s="201" t="inlineStr">
        <is>
          <t>2028E</t>
        </is>
      </c>
      <c r="M14" s="201" t="inlineStr">
        <is>
          <t>2029E</t>
        </is>
      </c>
      <c r="N14" s="201" t="inlineStr">
        <is>
          <t>2030E</t>
        </is>
      </c>
    </row>
    <row r="15" ht="21.75" customHeight="1" s="197">
      <c r="A15" s="271" t="inlineStr">
        <is>
          <t>% of Hyp Capex → S&amp;P 500 co revenue (editable)</t>
        </is>
      </c>
      <c r="B15" s="239" t="n">
        <v>0.55</v>
      </c>
      <c r="C15" s="239" t="n">
        <v>0.55</v>
      </c>
      <c r="D15" s="239" t="n">
        <v>0.55</v>
      </c>
      <c r="E15" s="239" t="n">
        <v>0.55</v>
      </c>
      <c r="F15" s="239" t="n">
        <v>0.55</v>
      </c>
      <c r="G15" s="239" t="n">
        <v>0.55</v>
      </c>
      <c r="H15" s="239" t="n">
        <v>0.55</v>
      </c>
      <c r="I15" s="239" t="n">
        <v>0.6</v>
      </c>
      <c r="J15" s="239" t="n">
        <v>0.65</v>
      </c>
      <c r="K15" s="239" t="n">
        <v>0.65</v>
      </c>
      <c r="L15" s="239" t="n">
        <v>0.65</v>
      </c>
      <c r="M15" s="239" t="n">
        <v>0.63</v>
      </c>
      <c r="N15" s="239" t="n">
        <v>0.6</v>
      </c>
    </row>
    <row r="16" ht="21.75" customHeight="1" s="197">
      <c r="A16" s="271" t="inlineStr">
        <is>
          <t>Wtd avg net margin of AI supply chain (editable)</t>
        </is>
      </c>
      <c r="B16" s="239" t="n">
        <v>0.2</v>
      </c>
      <c r="C16" s="239" t="n">
        <v>0.2</v>
      </c>
      <c r="D16" s="239" t="n">
        <v>0.2</v>
      </c>
      <c r="E16" s="239" t="n">
        <v>0.22</v>
      </c>
      <c r="F16" s="239" t="n">
        <v>0.25</v>
      </c>
      <c r="G16" s="239" t="n">
        <v>0.3</v>
      </c>
      <c r="H16" s="239" t="n">
        <v>0.35</v>
      </c>
      <c r="I16" s="239" t="n">
        <v>0.4</v>
      </c>
      <c r="J16" s="239" t="n">
        <v>0.45</v>
      </c>
      <c r="K16" s="239" t="n">
        <v>0.42</v>
      </c>
      <c r="L16" s="239" t="n">
        <v>0.38</v>
      </c>
      <c r="M16" s="239" t="n">
        <v>0.35</v>
      </c>
      <c r="N16" s="239" t="n">
        <v>0.33</v>
      </c>
    </row>
    <row r="17" ht="15" customHeight="1" s="197">
      <c r="A17" s="232" t="inlineStr">
        <is>
          <t>AI Revenue to S&amp;P 500 cos ($B)</t>
        </is>
      </c>
      <c r="B17" s="272">
        <f>B8*B15</f>
        <v/>
      </c>
      <c r="C17" s="272">
        <f>C8*C15</f>
        <v/>
      </c>
      <c r="D17" s="272">
        <f>D8*D15</f>
        <v/>
      </c>
      <c r="E17" s="272">
        <f>E8*E15</f>
        <v/>
      </c>
      <c r="F17" s="272">
        <f>F8*F15</f>
        <v/>
      </c>
      <c r="G17" s="272">
        <f>G8*G15</f>
        <v/>
      </c>
      <c r="H17" s="272">
        <f>H8*H15</f>
        <v/>
      </c>
      <c r="I17" s="272">
        <f>I8*I15</f>
        <v/>
      </c>
      <c r="J17" s="272">
        <f>J8*J15</f>
        <v/>
      </c>
      <c r="K17" s="272">
        <f>K8*K15</f>
        <v/>
      </c>
      <c r="L17" s="272">
        <f>L8*L15</f>
        <v/>
      </c>
      <c r="M17" s="272">
        <f>M8*M15</f>
        <v/>
      </c>
      <c r="N17" s="272">
        <f>N8*N15</f>
        <v/>
      </c>
    </row>
    <row r="18" ht="15" customHeight="1" s="197">
      <c r="A18" s="232" t="inlineStr">
        <is>
          <t>AI Net Income to S&amp;P 500 cos ($B)</t>
        </is>
      </c>
      <c r="B18" s="272">
        <f>B17*B16</f>
        <v/>
      </c>
      <c r="C18" s="272">
        <f>C17*C16</f>
        <v/>
      </c>
      <c r="D18" s="272">
        <f>D17*D16</f>
        <v/>
      </c>
      <c r="E18" s="272">
        <f>E17*E16</f>
        <v/>
      </c>
      <c r="F18" s="272">
        <f>F17*F16</f>
        <v/>
      </c>
      <c r="G18" s="272">
        <f>G17*G16</f>
        <v/>
      </c>
      <c r="H18" s="272">
        <f>H17*H16</f>
        <v/>
      </c>
      <c r="I18" s="272">
        <f>I17*I16</f>
        <v/>
      </c>
      <c r="J18" s="272">
        <f>J17*J16</f>
        <v/>
      </c>
      <c r="K18" s="272">
        <f>K17*K16</f>
        <v/>
      </c>
      <c r="L18" s="272">
        <f>L17*L16</f>
        <v/>
      </c>
      <c r="M18" s="272">
        <f>M17*M16</f>
        <v/>
      </c>
      <c r="N18" s="272">
        <f>N17*N16</f>
        <v/>
      </c>
    </row>
    <row r="19" ht="15" customHeight="1" s="197">
      <c r="A19" s="234" t="inlineStr">
        <is>
          <t>S&amp;P 500TotalNet Income ($B) ≈ EPS × 7.7B shares</t>
        </is>
      </c>
      <c r="B19" s="272">
        <f>B6*7.7</f>
        <v/>
      </c>
      <c r="C19" s="272">
        <f>C6*7.7</f>
        <v/>
      </c>
      <c r="D19" s="272">
        <f>D6*7.7</f>
        <v/>
      </c>
      <c r="E19" s="272">
        <f>E6*7.7</f>
        <v/>
      </c>
      <c r="F19" s="272">
        <f>F6*7.7</f>
        <v/>
      </c>
      <c r="G19" s="272">
        <f>G6*7.7</f>
        <v/>
      </c>
      <c r="H19" s="272">
        <f>H6*7.7</f>
        <v/>
      </c>
      <c r="I19" s="272">
        <f>I6*7.7</f>
        <v/>
      </c>
      <c r="J19" s="272">
        <f>J6*7.7</f>
        <v/>
      </c>
      <c r="K19" s="272">
        <f>K6*7.7</f>
        <v/>
      </c>
      <c r="L19" s="272">
        <f>L6*7.7</f>
        <v/>
      </c>
      <c r="M19" s="272">
        <f>M6*7.7</f>
        <v/>
      </c>
      <c r="N19" s="272">
        <f>N6*7.7</f>
        <v/>
      </c>
    </row>
    <row r="20" ht="15" customHeight="1" s="197">
      <c r="A20" s="273" t="inlineStr">
        <is>
          <t>AI-Driven EPS ($) = AI NI / 7.7B shares</t>
        </is>
      </c>
      <c r="B20" s="274">
        <f>B18/7.7</f>
        <v/>
      </c>
      <c r="C20" s="274">
        <f>C18/7.7</f>
        <v/>
      </c>
      <c r="D20" s="274">
        <f>D18/7.7</f>
        <v/>
      </c>
      <c r="E20" s="274">
        <f>E18/7.7</f>
        <v/>
      </c>
      <c r="F20" s="274">
        <f>F18/7.7</f>
        <v/>
      </c>
      <c r="G20" s="274">
        <f>G18/7.7</f>
        <v/>
      </c>
      <c r="H20" s="274">
        <f>H18/7.7</f>
        <v/>
      </c>
      <c r="I20" s="274">
        <f>I18/7.7</f>
        <v/>
      </c>
      <c r="J20" s="274">
        <f>J18/7.7</f>
        <v/>
      </c>
      <c r="K20" s="274">
        <f>K18/7.7</f>
        <v/>
      </c>
      <c r="L20" s="274">
        <f>L18/7.7</f>
        <v/>
      </c>
      <c r="M20" s="274">
        <f>M18/7.7</f>
        <v/>
      </c>
      <c r="N20" s="274">
        <f>N18/7.7</f>
        <v/>
      </c>
    </row>
    <row r="21" ht="15" customHeight="1" s="197">
      <c r="A21" s="275" t="inlineStr">
        <is>
          <t>Non-AI EPS ($) = Total - AI</t>
        </is>
      </c>
      <c r="B21" s="276">
        <f>B6-B20</f>
        <v/>
      </c>
      <c r="C21" s="276">
        <f>C6-C20</f>
        <v/>
      </c>
      <c r="D21" s="276">
        <f>D6-D20</f>
        <v/>
      </c>
      <c r="E21" s="276">
        <f>E6-E20</f>
        <v/>
      </c>
      <c r="F21" s="276">
        <f>F6-F20</f>
        <v/>
      </c>
      <c r="G21" s="276">
        <f>G6-G20</f>
        <v/>
      </c>
      <c r="H21" s="276">
        <f>H6-H20</f>
        <v/>
      </c>
      <c r="I21" s="276">
        <f>I6-I20</f>
        <v/>
      </c>
      <c r="J21" s="276">
        <f>J6-J20</f>
        <v/>
      </c>
      <c r="K21" s="276">
        <f>K6-K20</f>
        <v/>
      </c>
      <c r="L21" s="276">
        <f>L6-L20</f>
        <v/>
      </c>
      <c r="M21" s="276">
        <f>M6-M20</f>
        <v/>
      </c>
      <c r="N21" s="276">
        <f>N6-N20</f>
        <v/>
      </c>
    </row>
    <row r="22" ht="15" customHeight="1" s="197">
      <c r="A22" s="232" t="inlineStr">
        <is>
          <t>AI % of Total EPS</t>
        </is>
      </c>
      <c r="B22" s="277">
        <f>IFERROR(B20/B6,"")</f>
        <v/>
      </c>
      <c r="C22" s="277">
        <f>IFERROR(C20/C6,"")</f>
        <v/>
      </c>
      <c r="D22" s="277">
        <f>IFERROR(D20/D6,"")</f>
        <v/>
      </c>
      <c r="E22" s="277">
        <f>IFERROR(E20/E6,"")</f>
        <v/>
      </c>
      <c r="F22" s="277">
        <f>IFERROR(F20/F6,"")</f>
        <v/>
      </c>
      <c r="G22" s="277">
        <f>IFERROR(G20/G6,"")</f>
        <v/>
      </c>
      <c r="H22" s="277">
        <f>IFERROR(H20/H6,"")</f>
        <v/>
      </c>
      <c r="I22" s="277">
        <f>IFERROR(I20/I6,"")</f>
        <v/>
      </c>
      <c r="J22" s="277">
        <f>IFERROR(J20/J6,"")</f>
        <v/>
      </c>
      <c r="K22" s="277">
        <f>IFERROR(K20/K6,"")</f>
        <v/>
      </c>
      <c r="L22" s="277">
        <f>IFERROR(L20/L6,"")</f>
        <v/>
      </c>
      <c r="M22" s="277">
        <f>IFERROR(M20/M6,"")</f>
        <v/>
      </c>
      <c r="N22" s="277">
        <f>IFERROR(N20/N6,"")</f>
        <v/>
      </c>
    </row>
    <row r="23" ht="15" customHeight="1" s="197">
      <c r="A23" s="232" t="inlineStr">
        <is>
          <t>AI EPS YoY %</t>
        </is>
      </c>
      <c r="B23" s="249" t="n"/>
      <c r="C23" s="226">
        <f>IFERROR(C20/B20-1,"")</f>
        <v/>
      </c>
      <c r="D23" s="226">
        <f>IFERROR(D20/C20-1,"")</f>
        <v/>
      </c>
      <c r="E23" s="226">
        <f>IFERROR(E20/D20-1,"")</f>
        <v/>
      </c>
      <c r="F23" s="226">
        <f>IFERROR(F20/E20-1,"")</f>
        <v/>
      </c>
      <c r="G23" s="226">
        <f>IFERROR(G20/F20-1,"")</f>
        <v/>
      </c>
      <c r="H23" s="226">
        <f>IFERROR(H20/G20-1,"")</f>
        <v/>
      </c>
      <c r="I23" s="226">
        <f>IFERROR(I20/H20-1,"")</f>
        <v/>
      </c>
      <c r="J23" s="226">
        <f>IFERROR(J20/I20-1,"")</f>
        <v/>
      </c>
      <c r="K23" s="226">
        <f>IFERROR(K20/J20-1,"")</f>
        <v/>
      </c>
      <c r="L23" s="226">
        <f>IFERROR(L20/K20-1,"")</f>
        <v/>
      </c>
      <c r="M23" s="226">
        <f>IFERROR(M20/L20-1,"")</f>
        <v/>
      </c>
      <c r="N23" s="226">
        <f>IFERROR(N20/M20-1,"")</f>
        <v/>
      </c>
    </row>
    <row r="25" ht="15" customHeight="1" s="197">
      <c r="A25" s="219" t="inlineStr">
        <is>
          <t>C. Dual P/E Valuation — Separate Multiples for AI vs Non-AI EPS</t>
        </is>
      </c>
    </row>
    <row r="26" ht="15" customHeight="1" s="197">
      <c r="A26" s="278" t="inlineStr">
        <is>
          <t>AI P/E (editable) — hist avg ~18x</t>
        </is>
      </c>
      <c r="B26" s="279" t="n">
        <v>18</v>
      </c>
    </row>
    <row r="27" ht="15" customHeight="1" s="197">
      <c r="A27" s="280" t="inlineStr">
        <is>
          <t>AI P/E (editable) — NVDA ~30-40x fwd</t>
        </is>
      </c>
      <c r="B27" s="279" t="n">
        <v>35</v>
      </c>
    </row>
    <row r="29" ht="15" customHeight="1" s="197">
      <c r="A29" s="201" t="inlineStr">
        <is>
          <t>Valuation Component</t>
        </is>
      </c>
      <c r="B29" s="201" t="inlineStr">
        <is>
          <t>2024A</t>
        </is>
      </c>
      <c r="C29" s="201" t="inlineStr">
        <is>
          <t>2025A</t>
        </is>
      </c>
      <c r="D29" s="201" t="inlineStr">
        <is>
          <t>2026E</t>
        </is>
      </c>
      <c r="E29" s="201" t="inlineStr">
        <is>
          <t>2027E</t>
        </is>
      </c>
      <c r="F29" s="201" t="inlineStr">
        <is>
          <t>2028E</t>
        </is>
      </c>
      <c r="G29" s="201" t="inlineStr">
        <is>
          <t>2029E</t>
        </is>
      </c>
      <c r="H29" s="201" t="inlineStr">
        <is>
          <t>2030E</t>
        </is>
      </c>
    </row>
    <row r="30" ht="15" customHeight="1" s="197">
      <c r="A30" s="281" t="inlineStr">
        <is>
          <t>AI = Non-AI EPS × P/E</t>
        </is>
      </c>
      <c r="B30" s="272">
        <f>H21*$B$26</f>
        <v/>
      </c>
      <c r="C30" s="272">
        <f>I21*$B$26</f>
        <v/>
      </c>
      <c r="D30" s="272">
        <f>J21*$B$26</f>
        <v/>
      </c>
      <c r="E30" s="272">
        <f>K21*$B$26</f>
        <v/>
      </c>
      <c r="F30" s="272">
        <f>L21*$B$26</f>
        <v/>
      </c>
      <c r="G30" s="272">
        <f>M21*$B$26</f>
        <v/>
      </c>
      <c r="H30" s="272">
        <f>N21*$B$26</f>
        <v/>
      </c>
    </row>
    <row r="31" ht="15" customHeight="1" s="197">
      <c r="A31" s="282" t="inlineStr">
        <is>
          <t>AI = AI EPS × P/E</t>
        </is>
      </c>
      <c r="B31" s="272">
        <f>H20*$B$27</f>
        <v/>
      </c>
      <c r="C31" s="272">
        <f>I20*$B$27</f>
        <v/>
      </c>
      <c r="D31" s="272">
        <f>J20*$B$27</f>
        <v/>
      </c>
      <c r="E31" s="272">
        <f>K20*$B$27</f>
        <v/>
      </c>
      <c r="F31" s="272">
        <f>L20*$B$27</f>
        <v/>
      </c>
      <c r="G31" s="272">
        <f>M20*$B$27</f>
        <v/>
      </c>
      <c r="H31" s="272">
        <f>N20*$B$27</f>
        <v/>
      </c>
    </row>
    <row r="32" ht="15" customHeight="1" s="197">
      <c r="A32" s="283" t="inlineStr">
        <is>
          <t>Implied S&amp;P 500 Level</t>
        </is>
      </c>
      <c r="B32" s="284">
        <f>B30+B31</f>
        <v/>
      </c>
      <c r="C32" s="284">
        <f>C30+C31</f>
        <v/>
      </c>
      <c r="D32" s="284">
        <f>D30+D31</f>
        <v/>
      </c>
      <c r="E32" s="284">
        <f>E30+E31</f>
        <v/>
      </c>
      <c r="F32" s="284">
        <f>F30+F31</f>
        <v/>
      </c>
      <c r="G32" s="284">
        <f>G30+G31</f>
        <v/>
      </c>
      <c r="H32" s="284">
        <f>H30+H31</f>
        <v/>
      </c>
    </row>
    <row r="33" ht="15" customHeight="1" s="197">
      <c r="A33" s="281" t="inlineStr">
        <is>
          <t>Blended P/E (implied)</t>
        </is>
      </c>
      <c r="B33" s="285">
        <f>IFERROR(B32/H6,"")</f>
        <v/>
      </c>
      <c r="C33" s="285">
        <f>IFERROR(C32/I6,"")</f>
        <v/>
      </c>
      <c r="D33" s="285">
        <f>IFERROR(D32/J6,"")</f>
        <v/>
      </c>
      <c r="E33" s="285">
        <f>IFERROR(E32/K6,"")</f>
        <v/>
      </c>
      <c r="F33" s="285">
        <f>IFERROR(F32/L6,"")</f>
        <v/>
      </c>
      <c r="G33" s="285">
        <f>IFERROR(G32/M6,"")</f>
        <v/>
      </c>
      <c r="H33" s="285">
        <f>IFERROR(H32/N6,"")</f>
        <v/>
      </c>
    </row>
    <row r="35" ht="15" customHeight="1" s="197">
      <c r="A35" s="219" t="inlineStr">
        <is>
          <t>D. Scenario Grid: 2026E Implied S&amp;P 500 Under Different P/E Assumptions</t>
        </is>
      </c>
    </row>
    <row r="36" ht="15" customHeight="1" s="197">
      <c r="A36" s="268" t="inlineStr">
        <is>
          <t>Reads: 'If Non-AI trades at Xpe and AI trades at Ype, 2026E S&amp;P 500 = Z'. Uses AI/Non-AI EPS from Section B. Change yellow cells above to update.</t>
        </is>
      </c>
    </row>
    <row r="37" ht="15" customHeight="1" s="197">
      <c r="A37" s="201" t="inlineStr">
        <is>
          <t>AI P/E ↓  AI P/E →</t>
        </is>
      </c>
      <c r="B37" s="286" t="inlineStr">
        <is>
          <t>22x</t>
        </is>
      </c>
      <c r="C37" s="286" t="inlineStr">
        <is>
          <t>20x</t>
        </is>
      </c>
      <c r="D37" s="286" t="inlineStr">
        <is>
          <t>18x</t>
        </is>
      </c>
      <c r="E37" s="286" t="inlineStr">
        <is>
          <t>16x</t>
        </is>
      </c>
      <c r="F37" s="286" t="inlineStr">
        <is>
          <t>14x</t>
        </is>
      </c>
    </row>
    <row r="38" ht="15" customHeight="1" s="197">
      <c r="A38" s="238" t="inlineStr">
        <is>
          <t>40x</t>
        </is>
      </c>
      <c r="B38" s="253">
        <f>J21*22+J20*40</f>
        <v/>
      </c>
      <c r="C38" s="253">
        <f>J21*20+J20*40</f>
        <v/>
      </c>
      <c r="D38" s="253">
        <f>J21*18+J20*40</f>
        <v/>
      </c>
      <c r="E38" s="253">
        <f>J21*16+J20*40</f>
        <v/>
      </c>
      <c r="F38" s="253">
        <f>J21*14+J20*40</f>
        <v/>
      </c>
    </row>
    <row r="39" ht="15" customHeight="1" s="197">
      <c r="A39" s="238" t="inlineStr">
        <is>
          <t>35x</t>
        </is>
      </c>
      <c r="B39" s="253">
        <f>J21*22+J20*35</f>
        <v/>
      </c>
      <c r="C39" s="253">
        <f>J21*20+J20*35</f>
        <v/>
      </c>
      <c r="D39" s="253">
        <f>J21*18+J20*35</f>
        <v/>
      </c>
      <c r="E39" s="253">
        <f>J21*16+J20*35</f>
        <v/>
      </c>
      <c r="F39" s="253">
        <f>J21*14+J20*35</f>
        <v/>
      </c>
    </row>
    <row r="40" ht="15" customHeight="1" s="197">
      <c r="A40" s="238" t="inlineStr">
        <is>
          <t>30x</t>
        </is>
      </c>
      <c r="B40" s="253">
        <f>J21*22+J20*30</f>
        <v/>
      </c>
      <c r="C40" s="253">
        <f>J21*20+J20*30</f>
        <v/>
      </c>
      <c r="D40" s="253">
        <f>J21*18+J20*30</f>
        <v/>
      </c>
      <c r="E40" s="253">
        <f>J21*16+J20*30</f>
        <v/>
      </c>
      <c r="F40" s="253">
        <f>J21*14+J20*30</f>
        <v/>
      </c>
    </row>
    <row r="41" ht="15" customHeight="1" s="197">
      <c r="A41" s="238" t="inlineStr">
        <is>
          <t>25x</t>
        </is>
      </c>
      <c r="B41" s="253">
        <f>J21*22+J20*25</f>
        <v/>
      </c>
      <c r="C41" s="253">
        <f>J21*20+J20*25</f>
        <v/>
      </c>
      <c r="D41" s="253">
        <f>J21*18+J20*25</f>
        <v/>
      </c>
      <c r="E41" s="253">
        <f>J21*16+J20*25</f>
        <v/>
      </c>
      <c r="F41" s="253">
        <f>J21*14+J20*25</f>
        <v/>
      </c>
    </row>
    <row r="42" ht="15" customHeight="1" s="197">
      <c r="A42" s="238" t="inlineStr">
        <is>
          <t>20x</t>
        </is>
      </c>
      <c r="B42" s="253">
        <f>J21*22+J20*20</f>
        <v/>
      </c>
      <c r="C42" s="253">
        <f>J21*20+J20*20</f>
        <v/>
      </c>
      <c r="D42" s="253">
        <f>J21*18+J20*20</f>
        <v/>
      </c>
      <c r="E42" s="253">
        <f>J21*16+J20*20</f>
        <v/>
      </c>
      <c r="F42" s="253">
        <f>J21*14+J20*20</f>
        <v/>
      </c>
    </row>
    <row r="43" ht="15" customHeight="1" s="197">
      <c r="A43" s="238" t="inlineStr">
        <is>
          <t>15x</t>
        </is>
      </c>
      <c r="B43" s="253">
        <f>J21*22+J20*15</f>
        <v/>
      </c>
      <c r="C43" s="253">
        <f>J21*20+J20*15</f>
        <v/>
      </c>
      <c r="D43" s="253">
        <f>J21*18+J20*15</f>
        <v/>
      </c>
      <c r="E43" s="253">
        <f>J21*16+J20*15</f>
        <v/>
      </c>
      <c r="F43" s="253">
        <f>J21*14+J20*15</f>
        <v/>
      </c>
    </row>
    <row r="44" ht="15" customHeight="1" s="197">
      <c r="A44" s="238" t="inlineStr">
        <is>
          <t>10x</t>
        </is>
      </c>
      <c r="B44" s="253">
        <f>J21*22+J20*10</f>
        <v/>
      </c>
      <c r="C44" s="253">
        <f>J21*20+J20*10</f>
        <v/>
      </c>
      <c r="D44" s="253">
        <f>J21*18+J20*10</f>
        <v/>
      </c>
      <c r="E44" s="253">
        <f>J21*16+J20*10</f>
        <v/>
      </c>
      <c r="F44" s="253">
        <f>J21*14+J20*10</f>
        <v/>
      </c>
    </row>
    <row r="46" ht="15" customHeight="1" s="197">
      <c r="A46" s="219" t="inlineStr">
        <is>
          <t>E. Stress Test: What Happens to S&amp;P 500 if AI Capex Slows?</t>
        </is>
      </c>
    </row>
    <row r="47" ht="15" customHeight="1" s="197">
      <c r="A47" s="287" t="inlineStr">
        <is>
          <t>Base Case (AI PE=35x, Non-AI PE=18x)</t>
        </is>
      </c>
      <c r="B47" s="251" t="n"/>
      <c r="C47" s="251" t="n"/>
      <c r="D47" s="251" t="n"/>
      <c r="E47" s="251" t="n"/>
      <c r="F47" s="251" t="n"/>
      <c r="G47" s="251" t="n"/>
      <c r="H47" s="251" t="n"/>
    </row>
    <row r="48" ht="15" customHeight="1" s="197">
      <c r="A48" s="228" t="inlineStr">
        <is>
          <t>Current. AI capex sustains. NVDA margin holds.</t>
        </is>
      </c>
    </row>
    <row r="49" ht="15" customHeight="1" s="197">
      <c r="A49" s="288" t="n"/>
      <c r="B49" s="201" t="inlineStr">
        <is>
          <t>2024A</t>
        </is>
      </c>
      <c r="C49" s="201" t="inlineStr">
        <is>
          <t>2025A</t>
        </is>
      </c>
      <c r="D49" s="201" t="inlineStr">
        <is>
          <t>2026E</t>
        </is>
      </c>
      <c r="E49" s="201" t="inlineStr">
        <is>
          <t>2027E</t>
        </is>
      </c>
      <c r="F49" s="201" t="inlineStr">
        <is>
          <t>2028E</t>
        </is>
      </c>
      <c r="G49" s="201" t="inlineStr">
        <is>
          <t>2029E</t>
        </is>
      </c>
      <c r="H49" s="201" t="inlineStr">
        <is>
          <t>2030E</t>
        </is>
      </c>
    </row>
    <row r="50" ht="15" customHeight="1" s="197">
      <c r="A50" s="282" t="inlineStr">
        <is>
          <t>AI EPS ($)</t>
        </is>
      </c>
      <c r="B50" s="289" t="n">
        <v>5.9</v>
      </c>
      <c r="C50" s="289" t="n">
        <v>12.8</v>
      </c>
      <c r="D50" s="289" t="n">
        <v>28.7</v>
      </c>
      <c r="E50" s="289" t="n">
        <v>31.6</v>
      </c>
      <c r="F50" s="289" t="n">
        <v>30.5</v>
      </c>
      <c r="G50" s="289" t="n">
        <v>28.1</v>
      </c>
      <c r="H50" s="289" t="n">
        <v>25.7</v>
      </c>
    </row>
    <row r="51" ht="15" customHeight="1" s="197">
      <c r="A51" s="281" t="inlineStr">
        <is>
          <t>Non-AI EPS ($)</t>
        </is>
      </c>
      <c r="B51" s="290">
        <f>H21</f>
        <v/>
      </c>
      <c r="C51" s="290">
        <f>I21</f>
        <v/>
      </c>
      <c r="D51" s="290">
        <f>J21</f>
        <v/>
      </c>
      <c r="E51" s="290">
        <f>K21</f>
        <v/>
      </c>
      <c r="F51" s="290">
        <f>L21</f>
        <v/>
      </c>
      <c r="G51" s="290">
        <f>M21</f>
        <v/>
      </c>
      <c r="H51" s="290">
        <f>N21</f>
        <v/>
      </c>
    </row>
    <row r="52" ht="15" customHeight="1" s="197">
      <c r="A52" s="283" t="inlineStr">
        <is>
          <t>Implied S&amp;P 500</t>
        </is>
      </c>
      <c r="B52" s="284">
        <f>B50*35+B51*18</f>
        <v/>
      </c>
      <c r="C52" s="284">
        <f>C50*35+C51*18</f>
        <v/>
      </c>
      <c r="D52" s="284">
        <f>D50*35+D51*18</f>
        <v/>
      </c>
      <c r="E52" s="284">
        <f>E50*35+E51*18</f>
        <v/>
      </c>
      <c r="F52" s="284">
        <f>F50*35+F51*18</f>
        <v/>
      </c>
      <c r="G52" s="284">
        <f>G50*35+G51*18</f>
        <v/>
      </c>
      <c r="H52" s="284">
        <f>H50*35+H51*18</f>
        <v/>
      </c>
    </row>
    <row r="54" ht="15" customHeight="1" s="197">
      <c r="A54" s="291" t="inlineStr">
        <is>
          <t>Capex (AI PE=25x, Non-AI PE=18x)</t>
        </is>
      </c>
      <c r="B54" s="251" t="n"/>
      <c r="C54" s="251" t="n"/>
      <c r="D54" s="251" t="n"/>
      <c r="E54" s="251" t="n"/>
      <c r="F54" s="251" t="n"/>
      <c r="G54" s="251" t="n"/>
      <c r="H54" s="251" t="n"/>
    </row>
    <row r="55" ht="15" customHeight="1" s="197">
      <c r="A55" s="268" t="inlineStr">
        <is>
          <t>2027+ capex growth decelerates to +10%. NVDA margin compresses. AI PE de-rates.</t>
        </is>
      </c>
    </row>
    <row r="56" ht="15" customHeight="1" s="197">
      <c r="A56" s="288" t="n"/>
      <c r="B56" s="201" t="inlineStr">
        <is>
          <t>2024A</t>
        </is>
      </c>
      <c r="C56" s="201" t="inlineStr">
        <is>
          <t>2025A</t>
        </is>
      </c>
      <c r="D56" s="201" t="inlineStr">
        <is>
          <t>2026E</t>
        </is>
      </c>
      <c r="E56" s="201" t="inlineStr">
        <is>
          <t>2027E</t>
        </is>
      </c>
      <c r="F56" s="201" t="inlineStr">
        <is>
          <t>2028E</t>
        </is>
      </c>
      <c r="G56" s="201" t="inlineStr">
        <is>
          <t>2029E</t>
        </is>
      </c>
      <c r="H56" s="201" t="inlineStr">
        <is>
          <t>2030E</t>
        </is>
      </c>
    </row>
    <row r="57" ht="15" customHeight="1" s="197">
      <c r="A57" s="282" t="inlineStr">
        <is>
          <t>AI EPS ($)</t>
        </is>
      </c>
      <c r="B57" s="289" t="n">
        <v>5.9</v>
      </c>
      <c r="C57" s="289" t="n">
        <v>12.8</v>
      </c>
      <c r="D57" s="289" t="n">
        <v>26.8</v>
      </c>
      <c r="E57" s="289" t="n">
        <v>26.6</v>
      </c>
      <c r="F57" s="289" t="n">
        <v>23.8</v>
      </c>
      <c r="G57" s="289" t="n">
        <v>21.5</v>
      </c>
      <c r="H57" s="289" t="n">
        <v>20</v>
      </c>
    </row>
    <row r="58" ht="15" customHeight="1" s="197">
      <c r="A58" s="281" t="inlineStr">
        <is>
          <t>Non-AI EPS ($)</t>
        </is>
      </c>
      <c r="B58" s="290">
        <f>H21</f>
        <v/>
      </c>
      <c r="C58" s="290">
        <f>I21</f>
        <v/>
      </c>
      <c r="D58" s="290">
        <f>J21</f>
        <v/>
      </c>
      <c r="E58" s="290">
        <f>K21</f>
        <v/>
      </c>
      <c r="F58" s="290">
        <f>L21</f>
        <v/>
      </c>
      <c r="G58" s="290">
        <f>M21</f>
        <v/>
      </c>
      <c r="H58" s="290">
        <f>N21</f>
        <v/>
      </c>
    </row>
    <row r="59" ht="15" customHeight="1" s="197">
      <c r="A59" s="292" t="inlineStr">
        <is>
          <t>Implied S&amp;P 500</t>
        </is>
      </c>
      <c r="B59" s="293">
        <f>B57*25+B58*18</f>
        <v/>
      </c>
      <c r="C59" s="293">
        <f>C57*25+C58*18</f>
        <v/>
      </c>
      <c r="D59" s="293">
        <f>D57*25+D58*18</f>
        <v/>
      </c>
      <c r="E59" s="293">
        <f>E57*25+E58*18</f>
        <v/>
      </c>
      <c r="F59" s="293">
        <f>F57*25+F58*18</f>
        <v/>
      </c>
      <c r="G59" s="293">
        <f>G57*25+G58*18</f>
        <v/>
      </c>
      <c r="H59" s="293">
        <f>H57*25+H58*18</f>
        <v/>
      </c>
    </row>
    <row r="60" ht="15" customHeight="1" s="197">
      <c r="A60" s="294" t="inlineStr">
        <is>
          <t>vs Base Delta</t>
        </is>
      </c>
      <c r="B60" s="295">
        <f>IFERROR(B59/B52-1,"")</f>
        <v/>
      </c>
      <c r="C60" s="295">
        <f>IFERROR(C59/C52-1,"")</f>
        <v/>
      </c>
      <c r="D60" s="295">
        <f>IFERROR(D59/D52-1,"")</f>
        <v/>
      </c>
      <c r="E60" s="295">
        <f>IFERROR(E59/E52-1,"")</f>
        <v/>
      </c>
      <c r="F60" s="295">
        <f>IFERROR(F59/F52-1,"")</f>
        <v/>
      </c>
      <c r="G60" s="295">
        <f>IFERROR(G59/G52-1,"")</f>
        <v/>
      </c>
      <c r="H60" s="295">
        <f>IFERROR(H59/H52-1,"")</f>
        <v/>
      </c>
    </row>
    <row r="62" ht="15" customHeight="1" s="197">
      <c r="A62" s="258" t="inlineStr">
        <is>
          <t>AI Bust (AI PE=15x, Non-AI PE=17x)</t>
        </is>
      </c>
      <c r="B62" s="251" t="n"/>
      <c r="C62" s="251" t="n"/>
      <c r="D62" s="251" t="n"/>
      <c r="E62" s="251" t="n"/>
      <c r="F62" s="251" t="n"/>
      <c r="G62" s="251" t="n"/>
      <c r="H62" s="251" t="n"/>
    </row>
    <row r="63" ht="15" customHeight="1" s="197">
      <c r="A63" s="228" t="inlineStr">
        <is>
          <t>Customer Crack. Capex cut 30% from 2027. Massive write-downs. AI PE crashes to market avg.</t>
        </is>
      </c>
    </row>
    <row r="64" ht="15" customHeight="1" s="197">
      <c r="A64" s="288" t="n"/>
      <c r="B64" s="201" t="inlineStr">
        <is>
          <t>2024A</t>
        </is>
      </c>
      <c r="C64" s="201" t="inlineStr">
        <is>
          <t>2025A</t>
        </is>
      </c>
      <c r="D64" s="201" t="inlineStr">
        <is>
          <t>2026E</t>
        </is>
      </c>
      <c r="E64" s="201" t="inlineStr">
        <is>
          <t>2027E</t>
        </is>
      </c>
      <c r="F64" s="201" t="inlineStr">
        <is>
          <t>2028E</t>
        </is>
      </c>
      <c r="G64" s="201" t="inlineStr">
        <is>
          <t>2029E</t>
        </is>
      </c>
      <c r="H64" s="201" t="inlineStr">
        <is>
          <t>2030E</t>
        </is>
      </c>
    </row>
    <row r="65" ht="15" customHeight="1" s="197">
      <c r="A65" s="282" t="inlineStr">
        <is>
          <t>AI EPS ($)</t>
        </is>
      </c>
      <c r="B65" s="289" t="n">
        <v>5.9</v>
      </c>
      <c r="C65" s="289" t="n">
        <v>12.8</v>
      </c>
      <c r="D65" s="289" t="n">
        <v>28.7</v>
      </c>
      <c r="E65" s="289" t="n">
        <v>12.4</v>
      </c>
      <c r="F65" s="289" t="n">
        <v>7.1</v>
      </c>
      <c r="G65" s="289" t="n">
        <v>5.5</v>
      </c>
      <c r="H65" s="289" t="n">
        <v>4.5</v>
      </c>
    </row>
    <row r="66" ht="15" customHeight="1" s="197">
      <c r="A66" s="281" t="inlineStr">
        <is>
          <t>Non-AI EPS ($)</t>
        </is>
      </c>
      <c r="B66" s="290">
        <f>H21</f>
        <v/>
      </c>
      <c r="C66" s="290">
        <f>I21</f>
        <v/>
      </c>
      <c r="D66" s="290">
        <f>J21</f>
        <v/>
      </c>
      <c r="E66" s="290">
        <f>K21</f>
        <v/>
      </c>
      <c r="F66" s="290">
        <f>L21</f>
        <v/>
      </c>
      <c r="G66" s="290">
        <f>M21</f>
        <v/>
      </c>
      <c r="H66" s="290">
        <f>N21</f>
        <v/>
      </c>
    </row>
    <row r="67" ht="15" customHeight="1" s="197">
      <c r="A67" s="296" t="inlineStr">
        <is>
          <t>Implied S&amp;P 500</t>
        </is>
      </c>
      <c r="B67" s="297">
        <f>B65*15+B66*17</f>
        <v/>
      </c>
      <c r="C67" s="297">
        <f>C65*15+C66*17</f>
        <v/>
      </c>
      <c r="D67" s="297">
        <f>D65*15+D66*17</f>
        <v/>
      </c>
      <c r="E67" s="297">
        <f>E65*15+E66*17</f>
        <v/>
      </c>
      <c r="F67" s="297">
        <f>F65*15+F66*17</f>
        <v/>
      </c>
      <c r="G67" s="297">
        <f>G65*15+G66*17</f>
        <v/>
      </c>
      <c r="H67" s="297">
        <f>H65*15+H66*17</f>
        <v/>
      </c>
    </row>
    <row r="68" ht="15" customHeight="1" s="197">
      <c r="A68" s="294" t="inlineStr">
        <is>
          <t>vs Base Delta</t>
        </is>
      </c>
      <c r="B68" s="295">
        <f>IFERROR(B67/B52-1,"")</f>
        <v/>
      </c>
      <c r="C68" s="295">
        <f>IFERROR(C67/C52-1,"")</f>
        <v/>
      </c>
      <c r="D68" s="295">
        <f>IFERROR(D67/D52-1,"")</f>
        <v/>
      </c>
      <c r="E68" s="295">
        <f>IFERROR(E67/E52-1,"")</f>
        <v/>
      </c>
      <c r="F68" s="295">
        <f>IFERROR(F67/F52-1,"")</f>
        <v/>
      </c>
      <c r="G68" s="295">
        <f>IFERROR(G67/G52-1,"")</f>
        <v/>
      </c>
      <c r="H68" s="295">
        <f>IFERROR(H67/H52-1,"")</f>
        <v/>
      </c>
    </row>
    <row r="71" ht="16.5" customHeight="1" s="197">
      <c r="A71" s="298" t="inlineStr">
        <is>
          <t>F. AI: AI？</t>
        </is>
      </c>
    </row>
    <row r="72" ht="15" customHeight="1" s="197">
      <c r="A72" s="228" t="inlineStr">
        <is>
          <t>: AWS/Azure/GCPSustain30%+; Inference Demand(Agent); NVDA margin; AI$60B→$200B+; capexButFCF2028.</t>
        </is>
      </c>
    </row>
    <row r="73" ht="15" customHeight="1" s="197">
      <c r="A73" s="288" t="n"/>
      <c r="B73" s="201" t="inlineStr">
        <is>
          <t>2024A</t>
        </is>
      </c>
      <c r="C73" s="201" t="inlineStr">
        <is>
          <t>2025A</t>
        </is>
      </c>
      <c r="D73" s="201" t="inlineStr">
        <is>
          <t>2026E</t>
        </is>
      </c>
      <c r="E73" s="201" t="inlineStr">
        <is>
          <t>2027E</t>
        </is>
      </c>
      <c r="F73" s="201" t="inlineStr">
        <is>
          <t>2028E</t>
        </is>
      </c>
      <c r="G73" s="201" t="inlineStr">
        <is>
          <t>2029E</t>
        </is>
      </c>
      <c r="H73" s="201" t="inlineStr">
        <is>
          <t>2030E</t>
        </is>
      </c>
    </row>
    <row r="74" ht="15" customHeight="1" s="197">
      <c r="A74" s="299" t="inlineStr">
        <is>
          <t>AI EPS ($) —</t>
        </is>
      </c>
      <c r="B74" s="300" t="n">
        <v>7.2</v>
      </c>
      <c r="C74" s="300" t="n">
        <v>19.3</v>
      </c>
      <c r="D74" s="300" t="n">
        <v>32.2</v>
      </c>
      <c r="E74" s="300" t="n">
        <v>52</v>
      </c>
      <c r="F74" s="300" t="n">
        <v>72</v>
      </c>
      <c r="G74" s="300" t="n">
        <v>88</v>
      </c>
      <c r="H74" s="300" t="n">
        <v>100</v>
      </c>
    </row>
    <row r="75" ht="15" customHeight="1" s="197">
      <c r="A75" s="301" t="inlineStr">
        <is>
          <t>Non-AI EPS ($)</t>
        </is>
      </c>
      <c r="B75" s="270" t="n">
        <v>236</v>
      </c>
      <c r="C75" s="270" t="n">
        <v>243</v>
      </c>
      <c r="D75" s="270" t="n">
        <v>248</v>
      </c>
      <c r="E75" s="270" t="n">
        <v>248</v>
      </c>
      <c r="F75" s="270" t="n">
        <v>248</v>
      </c>
      <c r="G75" s="270" t="n">
        <v>250</v>
      </c>
      <c r="H75" s="270" t="n">
        <v>255</v>
      </c>
    </row>
    <row r="76" ht="15" customHeight="1" s="197">
      <c r="A76" s="301" t="inlineStr">
        <is>
          <t>Total EPS ($)</t>
        </is>
      </c>
      <c r="B76" s="302">
        <f>B74+B75</f>
        <v/>
      </c>
      <c r="C76" s="302">
        <f>C74+C75</f>
        <v/>
      </c>
      <c r="D76" s="302">
        <f>D74+D75</f>
        <v/>
      </c>
      <c r="E76" s="302">
        <f>E74+E75</f>
        <v/>
      </c>
      <c r="F76" s="302">
        <f>F74+F75</f>
        <v/>
      </c>
      <c r="G76" s="302">
        <f>G74+G75</f>
        <v/>
      </c>
      <c r="H76" s="302">
        <f>H74+H75</f>
        <v/>
      </c>
    </row>
    <row r="77" ht="15" customHeight="1" s="197">
      <c r="A77" s="303" t="inlineStr">
        <is>
          <t>Implied S&amp;P 500 (AI 45x + AI 20x)</t>
        </is>
      </c>
      <c r="B77" s="284">
        <f>B74*45+B75*20</f>
        <v/>
      </c>
      <c r="C77" s="284">
        <f>C74*45+C75*20</f>
        <v/>
      </c>
      <c r="D77" s="284">
        <f>D74*45+D75*20</f>
        <v/>
      </c>
      <c r="E77" s="284">
        <f>E74*45+E75*20</f>
        <v/>
      </c>
      <c r="F77" s="284">
        <f>F74*45+F75*20</f>
        <v/>
      </c>
      <c r="G77" s="284">
        <f>G74*45+G75*20</f>
        <v/>
      </c>
      <c r="H77" s="284">
        <f>H74*45+H75*20</f>
        <v/>
      </c>
    </row>
    <row r="78" ht="15" customHeight="1" s="197">
      <c r="A78" s="304" t="inlineStr">
        <is>
          <t>P/E</t>
        </is>
      </c>
      <c r="B78" s="305">
        <f>IFERROR(B77/(B74+B75),"")</f>
        <v/>
      </c>
      <c r="C78" s="305">
        <f>IFERROR(C77/(C74+C75),"")</f>
        <v/>
      </c>
      <c r="D78" s="305">
        <f>IFERROR(D77/(D74+D75),"")</f>
        <v/>
      </c>
      <c r="E78" s="305">
        <f>IFERROR(E77/(E74+E75),"")</f>
        <v/>
      </c>
      <c r="F78" s="305">
        <f>IFERROR(F77/(F74+F75),"")</f>
        <v/>
      </c>
      <c r="G78" s="305">
        <f>IFERROR(G77/(G74+G75),"")</f>
        <v/>
      </c>
      <c r="H78" s="305">
        <f>IFERROR(H77/(H74+H75),"")</f>
        <v/>
      </c>
    </row>
    <row r="80" ht="15" customHeight="1" s="197">
      <c r="A80" s="306" t="inlineStr">
        <is>
          <t>'sKey:</t>
        </is>
      </c>
    </row>
    <row r="81" ht="19.5" customHeight="1" s="197">
      <c r="A81" s="307" t="inlineStr">
        <is>
          <t>1. AI EPS: NVDA FY27 rev $300B+ (margin 60%+), AVGO AI rev, MU HBM →</t>
        </is>
      </c>
      <c r="B81" s="251" t="n"/>
      <c r="C81" s="251" t="n"/>
      <c r="D81" s="251" t="n"/>
      <c r="E81" s="251" t="n"/>
      <c r="F81" s="251" t="n"/>
      <c r="G81" s="251" t="n"/>
      <c r="H81" s="251" t="n"/>
    </row>
    <row r="82" ht="19.5" customHeight="1" s="197">
      <c r="A82" s="307" t="inlineStr">
        <is>
          <t>2. CapexButROI: Cloud30%+Revenue → hyperscaler D&amp;ARevenue</t>
        </is>
      </c>
      <c r="B82" s="251" t="n"/>
      <c r="C82" s="251" t="n"/>
      <c r="D82" s="251" t="n"/>
      <c r="E82" s="251" t="n"/>
      <c r="F82" s="251" t="n"/>
      <c r="G82" s="251" t="n"/>
      <c r="H82" s="251" t="n"/>
    </row>
    <row r="83" ht="19.5" customHeight="1" s="197">
      <c r="A83" s="307" t="inlineStr">
        <is>
          <t>3. Agent: AI Agent/// → IT → Inference Demand&gt;</t>
        </is>
      </c>
      <c r="B83" s="251" t="n"/>
      <c r="C83" s="251" t="n"/>
      <c r="D83" s="251" t="n"/>
      <c r="E83" s="251" t="n"/>
      <c r="F83" s="251" t="n"/>
      <c r="G83" s="251" t="n"/>
      <c r="H83" s="251" t="n"/>
    </row>
    <row r="84" ht="19.5" customHeight="1" s="197">
      <c r="A84" s="307" t="inlineStr">
        <is>
          <t>4. AI: EPS5-8%/Year,</t>
        </is>
      </c>
      <c r="B84" s="251" t="n"/>
      <c r="C84" s="251" t="n"/>
      <c r="D84" s="251" t="n"/>
      <c r="E84" s="251" t="n"/>
      <c r="F84" s="251" t="n"/>
      <c r="G84" s="251" t="n"/>
      <c r="H84" s="251" t="n"/>
    </row>
    <row r="85" ht="19.5" customHeight="1" s="197">
      <c r="A85" s="307" t="inlineStr">
        <is>
          <t>5. AI: AI1990s's → 40-50x forward PE</t>
        </is>
      </c>
      <c r="B85" s="251" t="n"/>
      <c r="C85" s="251" t="n"/>
      <c r="D85" s="251" t="n"/>
      <c r="E85" s="251" t="n"/>
      <c r="F85" s="251" t="n"/>
      <c r="G85" s="251" t="n"/>
      <c r="H85" s="251" t="n"/>
    </row>
    <row r="86" ht="19.5" customHeight="1" s="197">
      <c r="A86" s="307" t="inlineStr">
        <is>
          <t>6. 2028-2030 FCF: capex+80%+10%, D&amp;Acapex → hyperscaler FCF</t>
        </is>
      </c>
      <c r="B86" s="251" t="n"/>
      <c r="C86" s="251" t="n"/>
      <c r="D86" s="251" t="n"/>
      <c r="E86" s="251" t="n"/>
      <c r="F86" s="251" t="n"/>
      <c r="G86" s="251" t="n"/>
      <c r="H86" s="251" t="n"/>
    </row>
    <row r="87" ht="19.5" customHeight="1" s="197">
      <c r="A87" s="307" t="inlineStr">
        <is>
          <t>7. : Inference Demand, pricing power, AI EPS2028-2029</t>
        </is>
      </c>
      <c r="B87" s="251" t="n"/>
      <c r="C87" s="251" t="n"/>
      <c r="D87" s="251" t="n"/>
      <c r="E87" s="251" t="n"/>
      <c r="F87" s="251" t="n"/>
      <c r="G87" s="251" t="n"/>
      <c r="H87" s="251" t="n"/>
    </row>
  </sheetData>
  <mergeCells count="25">
    <mergeCell ref="A48:H48"/>
    <mergeCell ref="A83:H83"/>
    <mergeCell ref="A82:H82"/>
    <mergeCell ref="A36:N36"/>
    <mergeCell ref="A1:N1"/>
    <mergeCell ref="A87:H87"/>
    <mergeCell ref="A54:H54"/>
    <mergeCell ref="A25:N25"/>
    <mergeCell ref="A80:H80"/>
    <mergeCell ref="A84:H84"/>
    <mergeCell ref="A46:N46"/>
    <mergeCell ref="A3:N3"/>
    <mergeCell ref="A55:H55"/>
    <mergeCell ref="A86:H86"/>
    <mergeCell ref="A12:N12"/>
    <mergeCell ref="A71:H71"/>
    <mergeCell ref="A85:H85"/>
    <mergeCell ref="A47:H47"/>
    <mergeCell ref="A62:H62"/>
    <mergeCell ref="A35:N35"/>
    <mergeCell ref="A4:N4"/>
    <mergeCell ref="A81:H81"/>
    <mergeCell ref="A63:H63"/>
    <mergeCell ref="A72:H72"/>
    <mergeCell ref="A13:N13"/>
  </mergeCells>
  <conditionalFormatting sqref="B38:F44">
    <cfRule type="colorScale" priority="2">
      <colorScale>
        <cfvo type="num" val="3500"/>
        <cfvo type="num" val="5500"/>
        <cfvo type="num" val="7500"/>
        <color rgb="FFF8696B"/>
        <color rgb="FFFFEB84"/>
        <color rgb="FF63BE7B"/>
      </colorScale>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outlinePr summaryBelow="1" summaryRight="1"/>
    <pageSetUpPr/>
  </sheetPr>
  <dimension ref="A1:S134"/>
  <sheetViews>
    <sheetView showGridLines="0" workbookViewId="0">
      <selection activeCell="A1" sqref="A1"/>
    </sheetView>
  </sheetViews>
  <sheetFormatPr baseColWidth="8" defaultRowHeight="15"/>
  <cols>
    <col width="9" customWidth="1" style="197" min="1" max="1"/>
    <col width="9" customWidth="1" style="197" min="2" max="2"/>
    <col width="9" customWidth="1" style="197" min="3" max="3"/>
    <col width="9" customWidth="1" style="197" min="4" max="4"/>
    <col width="9" customWidth="1" style="197" min="5" max="5"/>
    <col width="9" customWidth="1" style="197" min="6" max="6"/>
    <col width="9" customWidth="1" style="197" min="7" max="7"/>
    <col width="9" customWidth="1" style="197" min="8" max="8"/>
    <col width="9" customWidth="1" style="197" min="9" max="9"/>
    <col width="9" customWidth="1" style="197" min="10" max="10"/>
    <col width="9" customWidth="1" style="197" min="11" max="11"/>
    <col width="9" customWidth="1" style="197" min="12" max="12"/>
    <col width="9" customWidth="1" style="197" min="13" max="13"/>
    <col width="9" customWidth="1" style="197" min="14" max="14"/>
    <col width="9" customWidth="1" style="197" min="15" max="15"/>
    <col width="9" customWidth="1" style="197" min="16" max="16"/>
    <col width="9" customWidth="1" style="197" min="17" max="17"/>
    <col width="9" customWidth="1" style="197" min="18" max="18"/>
    <col width="9" customWidth="1" style="197" min="19" max="19"/>
    <col width="9" customWidth="1" style="197" min="20" max="20"/>
  </cols>
  <sheetData>
    <row r="1">
      <c r="A1" s="308" t="inlineStr">
        <is>
          <t>Visual Summary (2013-2030)</t>
        </is>
      </c>
    </row>
    <row r="3">
      <c r="A3" s="309" t="inlineStr">
        <is>
          <t>Capex/Revenue %</t>
        </is>
      </c>
    </row>
    <row r="4">
      <c r="A4" s="310" t="n"/>
      <c r="B4" s="311" t="inlineStr">
        <is>
          <t>2013</t>
        </is>
      </c>
      <c r="C4" s="311" t="inlineStr">
        <is>
          <t>2014</t>
        </is>
      </c>
      <c r="D4" s="311" t="inlineStr">
        <is>
          <t>2015</t>
        </is>
      </c>
      <c r="E4" s="311" t="inlineStr">
        <is>
          <t>2016</t>
        </is>
      </c>
      <c r="F4" s="311" t="inlineStr">
        <is>
          <t>2017</t>
        </is>
      </c>
      <c r="G4" s="311" t="inlineStr">
        <is>
          <t>2018</t>
        </is>
      </c>
      <c r="H4" s="311" t="inlineStr">
        <is>
          <t>2019</t>
        </is>
      </c>
      <c r="I4" s="311" t="inlineStr">
        <is>
          <t>2020</t>
        </is>
      </c>
      <c r="J4" s="311" t="inlineStr">
        <is>
          <t>2021</t>
        </is>
      </c>
      <c r="K4" s="311" t="inlineStr">
        <is>
          <t>2022</t>
        </is>
      </c>
      <c r="L4" s="311" t="inlineStr">
        <is>
          <t>2023</t>
        </is>
      </c>
      <c r="M4" s="311" t="inlineStr">
        <is>
          <t>2024</t>
        </is>
      </c>
      <c r="N4" s="311" t="inlineStr">
        <is>
          <t>2025</t>
        </is>
      </c>
      <c r="O4" s="311" t="inlineStr">
        <is>
          <t>2026</t>
        </is>
      </c>
      <c r="P4" s="311" t="inlineStr">
        <is>
          <t>2027</t>
        </is>
      </c>
      <c r="Q4" s="311" t="inlineStr">
        <is>
          <t>2028</t>
        </is>
      </c>
      <c r="R4" s="311" t="inlineStr">
        <is>
          <t>2029</t>
        </is>
      </c>
      <c r="S4" s="311" t="inlineStr">
        <is>
          <t>2030</t>
        </is>
      </c>
    </row>
    <row r="5">
      <c r="A5" s="312" t="inlineStr">
        <is>
          <t>MSFT</t>
        </is>
      </c>
      <c r="B5" s="313">
        <f>IFERROR('0. Database'!C12/'0. Database'!C5,NA())</f>
        <v/>
      </c>
      <c r="C5" s="313">
        <f>IFERROR('0. Database'!D12/'0. Database'!D5,NA())</f>
        <v/>
      </c>
      <c r="D5" s="313">
        <f>IFERROR('0. Database'!E12/'0. Database'!E5,NA())</f>
        <v/>
      </c>
      <c r="E5" s="313">
        <f>IFERROR('0. Database'!F12/'0. Database'!F5,NA())</f>
        <v/>
      </c>
      <c r="F5" s="313">
        <f>IFERROR('0. Database'!G12/'0. Database'!G5,NA())</f>
        <v/>
      </c>
      <c r="G5" s="313">
        <f>IFERROR('0. Database'!H12/'0. Database'!H5,NA())</f>
        <v/>
      </c>
      <c r="H5" s="313">
        <f>IFERROR('0. Database'!I12/'0. Database'!I5,NA())</f>
        <v/>
      </c>
      <c r="I5" s="313">
        <f>IFERROR('0. Database'!J12/'0. Database'!J5,NA())</f>
        <v/>
      </c>
      <c r="J5" s="313">
        <f>IFERROR('0. Database'!K12/'0. Database'!K5,NA())</f>
        <v/>
      </c>
      <c r="K5" s="313">
        <f>IFERROR('0. Database'!L12/'0. Database'!L5,NA())</f>
        <v/>
      </c>
      <c r="L5" s="313">
        <f>IFERROR('0. Database'!M12/'0. Database'!M5,NA())</f>
        <v/>
      </c>
      <c r="M5" s="313">
        <f>IFERROR('0. Database'!N12/'0. Database'!N5,NA())</f>
        <v/>
      </c>
      <c r="N5" s="313">
        <f>IFERROR('0. Database'!O12/'0. Database'!O5,NA())</f>
        <v/>
      </c>
      <c r="O5" s="313">
        <f>IFERROR('0. Database'!P12/'0. Database'!P5,NA())</f>
        <v/>
      </c>
      <c r="P5" s="313">
        <f>IFERROR('0. Database'!Q12/'0. Database'!Q5,NA())</f>
        <v/>
      </c>
      <c r="Q5" s="313">
        <f>IFERROR('0. Database'!R12/'0. Database'!R5,NA())</f>
        <v/>
      </c>
      <c r="R5" s="313">
        <f>IFERROR('0. Database'!S12/'0. Database'!S5,NA())</f>
        <v/>
      </c>
      <c r="S5" s="313">
        <f>IFERROR('0. Database'!T12/'0. Database'!T5,NA())</f>
        <v/>
      </c>
    </row>
    <row r="6">
      <c r="A6" s="312" t="inlineStr">
        <is>
          <t>AMZN</t>
        </is>
      </c>
      <c r="B6" s="313">
        <f>IFERROR('0. Database'!C28/'0. Database'!C21,NA())</f>
        <v/>
      </c>
      <c r="C6" s="313">
        <f>IFERROR('0. Database'!D28/'0. Database'!D21,NA())</f>
        <v/>
      </c>
      <c r="D6" s="313">
        <f>IFERROR('0. Database'!E28/'0. Database'!E21,NA())</f>
        <v/>
      </c>
      <c r="E6" s="313">
        <f>IFERROR('0. Database'!F28/'0. Database'!F21,NA())</f>
        <v/>
      </c>
      <c r="F6" s="313">
        <f>IFERROR('0. Database'!G28/'0. Database'!G21,NA())</f>
        <v/>
      </c>
      <c r="G6" s="313">
        <f>IFERROR('0. Database'!H28/'0. Database'!H21,NA())</f>
        <v/>
      </c>
      <c r="H6" s="313">
        <f>IFERROR('0. Database'!I28/'0. Database'!I21,NA())</f>
        <v/>
      </c>
      <c r="I6" s="313">
        <f>IFERROR('0. Database'!J28/'0. Database'!J21,NA())</f>
        <v/>
      </c>
      <c r="J6" s="313">
        <f>IFERROR('0. Database'!K28/'0. Database'!K21,NA())</f>
        <v/>
      </c>
      <c r="K6" s="313">
        <f>IFERROR('0. Database'!L28/'0. Database'!L21,NA())</f>
        <v/>
      </c>
      <c r="L6" s="313">
        <f>IFERROR('0. Database'!M28/'0. Database'!M21,NA())</f>
        <v/>
      </c>
      <c r="M6" s="313">
        <f>IFERROR('0. Database'!N28/'0. Database'!N21,NA())</f>
        <v/>
      </c>
      <c r="N6" s="313">
        <f>IFERROR('0. Database'!O28/'0. Database'!O21,NA())</f>
        <v/>
      </c>
      <c r="O6" s="313">
        <f>IFERROR('0. Database'!P28/'0. Database'!P21,NA())</f>
        <v/>
      </c>
      <c r="P6" s="313">
        <f>IFERROR('0. Database'!Q28/'0. Database'!Q21,NA())</f>
        <v/>
      </c>
      <c r="Q6" s="313">
        <f>IFERROR('0. Database'!R28/'0. Database'!R21,NA())</f>
        <v/>
      </c>
      <c r="R6" s="313">
        <f>IFERROR('0. Database'!S28/'0. Database'!S21,NA())</f>
        <v/>
      </c>
      <c r="S6" s="313">
        <f>IFERROR('0. Database'!T28/'0. Database'!T21,NA())</f>
        <v/>
      </c>
    </row>
    <row r="7">
      <c r="A7" s="312" t="inlineStr">
        <is>
          <t>GOOGL</t>
        </is>
      </c>
      <c r="B7" s="313">
        <f>IFERROR('0. Database'!C43/'0. Database'!C36,NA())</f>
        <v/>
      </c>
      <c r="C7" s="313">
        <f>IFERROR('0. Database'!D43/'0. Database'!D36,NA())</f>
        <v/>
      </c>
      <c r="D7" s="313">
        <f>IFERROR('0. Database'!E43/'0. Database'!E36,NA())</f>
        <v/>
      </c>
      <c r="E7" s="313">
        <f>IFERROR('0. Database'!F43/'0. Database'!F36,NA())</f>
        <v/>
      </c>
      <c r="F7" s="313">
        <f>IFERROR('0. Database'!G43/'0. Database'!G36,NA())</f>
        <v/>
      </c>
      <c r="G7" s="313">
        <f>IFERROR('0. Database'!H43/'0. Database'!H36,NA())</f>
        <v/>
      </c>
      <c r="H7" s="313">
        <f>IFERROR('0. Database'!I43/'0. Database'!I36,NA())</f>
        <v/>
      </c>
      <c r="I7" s="313">
        <f>IFERROR('0. Database'!J43/'0. Database'!J36,NA())</f>
        <v/>
      </c>
      <c r="J7" s="313">
        <f>IFERROR('0. Database'!K43/'0. Database'!K36,NA())</f>
        <v/>
      </c>
      <c r="K7" s="313">
        <f>IFERROR('0. Database'!L43/'0. Database'!L36,NA())</f>
        <v/>
      </c>
      <c r="L7" s="313">
        <f>IFERROR('0. Database'!M43/'0. Database'!M36,NA())</f>
        <v/>
      </c>
      <c r="M7" s="313">
        <f>IFERROR('0. Database'!N43/'0. Database'!N36,NA())</f>
        <v/>
      </c>
      <c r="N7" s="313">
        <f>IFERROR('0. Database'!O43/'0. Database'!O36,NA())</f>
        <v/>
      </c>
      <c r="O7" s="313">
        <f>IFERROR('0. Database'!P43/'0. Database'!P36,NA())</f>
        <v/>
      </c>
      <c r="P7" s="313">
        <f>IFERROR('0. Database'!Q43/'0. Database'!Q36,NA())</f>
        <v/>
      </c>
      <c r="Q7" s="313">
        <f>IFERROR('0. Database'!R43/'0. Database'!R36,NA())</f>
        <v/>
      </c>
      <c r="R7" s="313">
        <f>IFERROR('0. Database'!S43/'0. Database'!S36,NA())</f>
        <v/>
      </c>
      <c r="S7" s="313">
        <f>IFERROR('0. Database'!T43/'0. Database'!T36,NA())</f>
        <v/>
      </c>
    </row>
    <row r="8">
      <c r="A8" s="312" t="inlineStr">
        <is>
          <t>META</t>
        </is>
      </c>
      <c r="B8" s="313">
        <f>IFERROR('0. Database'!C60/'0. Database'!C53,NA())</f>
        <v/>
      </c>
      <c r="C8" s="313">
        <f>IFERROR('0. Database'!D60/'0. Database'!D53,NA())</f>
        <v/>
      </c>
      <c r="D8" s="313">
        <f>IFERROR('0. Database'!E60/'0. Database'!E53,NA())</f>
        <v/>
      </c>
      <c r="E8" s="313">
        <f>IFERROR('0. Database'!F60/'0. Database'!F53,NA())</f>
        <v/>
      </c>
      <c r="F8" s="313">
        <f>IFERROR('0. Database'!G60/'0. Database'!G53,NA())</f>
        <v/>
      </c>
      <c r="G8" s="313">
        <f>IFERROR('0. Database'!H60/'0. Database'!H53,NA())</f>
        <v/>
      </c>
      <c r="H8" s="313">
        <f>IFERROR('0. Database'!I60/'0. Database'!I53,NA())</f>
        <v/>
      </c>
      <c r="I8" s="313">
        <f>IFERROR('0. Database'!J60/'0. Database'!J53,NA())</f>
        <v/>
      </c>
      <c r="J8" s="313">
        <f>IFERROR('0. Database'!K60/'0. Database'!K53,NA())</f>
        <v/>
      </c>
      <c r="K8" s="313">
        <f>IFERROR('0. Database'!L60/'0. Database'!L53,NA())</f>
        <v/>
      </c>
      <c r="L8" s="313">
        <f>IFERROR('0. Database'!M60/'0. Database'!M53,NA())</f>
        <v/>
      </c>
      <c r="M8" s="313">
        <f>IFERROR('0. Database'!N60/'0. Database'!N53,NA())</f>
        <v/>
      </c>
      <c r="N8" s="313">
        <f>IFERROR('0. Database'!O60/'0. Database'!O53,NA())</f>
        <v/>
      </c>
      <c r="O8" s="313">
        <f>IFERROR('0. Database'!P60/'0. Database'!P53,NA())</f>
        <v/>
      </c>
      <c r="P8" s="313">
        <f>IFERROR('0. Database'!Q60/'0. Database'!Q53,NA())</f>
        <v/>
      </c>
      <c r="Q8" s="313">
        <f>IFERROR('0. Database'!R60/'0. Database'!R53,NA())</f>
        <v/>
      </c>
      <c r="R8" s="313">
        <f>IFERROR('0. Database'!S60/'0. Database'!S53,NA())</f>
        <v/>
      </c>
      <c r="S8" s="313">
        <f>IFERROR('0. Database'!T60/'0. Database'!T53,NA())</f>
        <v/>
      </c>
    </row>
    <row r="9">
      <c r="A9" s="312" t="inlineStr">
        <is>
          <t>ORCL</t>
        </is>
      </c>
      <c r="B9" s="313">
        <f>IFERROR('0. Database'!C78/'0. Database'!C82,NA())</f>
        <v/>
      </c>
      <c r="C9" s="313">
        <f>IFERROR('0. Database'!D78/'0. Database'!D82,NA())</f>
        <v/>
      </c>
      <c r="D9" s="313">
        <f>IFERROR('0. Database'!E78/'0. Database'!E82,NA())</f>
        <v/>
      </c>
      <c r="E9" s="313">
        <f>IFERROR('0. Database'!F78/'0. Database'!F82,NA())</f>
        <v/>
      </c>
      <c r="F9" s="313">
        <f>IFERROR('0. Database'!G78/'0. Database'!G82,NA())</f>
        <v/>
      </c>
      <c r="G9" s="313">
        <f>IFERROR('0. Database'!H78/'0. Database'!H82,NA())</f>
        <v/>
      </c>
      <c r="H9" s="313">
        <f>IFERROR('0. Database'!I78/'0. Database'!I82,NA())</f>
        <v/>
      </c>
      <c r="I9" s="313">
        <f>IFERROR('0. Database'!J78/'0. Database'!J82,NA())</f>
        <v/>
      </c>
      <c r="J9" s="313">
        <f>IFERROR('0. Database'!K78/'0. Database'!K82,NA())</f>
        <v/>
      </c>
      <c r="K9" s="313">
        <f>IFERROR('0. Database'!L78/'0. Database'!L82,NA())</f>
        <v/>
      </c>
      <c r="L9" s="313">
        <f>IFERROR('0. Database'!M78/'0. Database'!M82,NA())</f>
        <v/>
      </c>
      <c r="M9" s="313">
        <f>IFERROR('0. Database'!N78/'0. Database'!N82,NA())</f>
        <v/>
      </c>
      <c r="N9" s="313">
        <f>IFERROR('0. Database'!O78/'0. Database'!O82,NA())</f>
        <v/>
      </c>
      <c r="O9" s="313">
        <f>IFERROR('0. Database'!P78/'0. Database'!P82,NA())</f>
        <v/>
      </c>
      <c r="P9" s="313">
        <f>IFERROR('0. Database'!Q78/'0. Database'!Q82,NA())</f>
        <v/>
      </c>
      <c r="Q9" s="313">
        <f>IFERROR('0. Database'!R78/'0. Database'!R82,NA())</f>
        <v/>
      </c>
      <c r="R9" s="313">
        <f>IFERROR('0. Database'!S78/'0. Database'!S82,NA())</f>
        <v/>
      </c>
      <c r="S9" s="313">
        <f>IFERROR('0. Database'!T78/'0. Database'!T82,NA())</f>
        <v/>
      </c>
    </row>
    <row r="28">
      <c r="A28" s="309" t="inlineStr">
        <is>
          <t>FCF Margin %</t>
        </is>
      </c>
    </row>
    <row r="29">
      <c r="A29" s="310" t="n"/>
      <c r="B29" s="311" t="inlineStr">
        <is>
          <t>2013</t>
        </is>
      </c>
      <c r="C29" s="311" t="inlineStr">
        <is>
          <t>2014</t>
        </is>
      </c>
      <c r="D29" s="311" t="inlineStr">
        <is>
          <t>2015</t>
        </is>
      </c>
      <c r="E29" s="311" t="inlineStr">
        <is>
          <t>2016</t>
        </is>
      </c>
      <c r="F29" s="311" t="inlineStr">
        <is>
          <t>2017</t>
        </is>
      </c>
      <c r="G29" s="311" t="inlineStr">
        <is>
          <t>2018</t>
        </is>
      </c>
      <c r="H29" s="311" t="inlineStr">
        <is>
          <t>2019</t>
        </is>
      </c>
      <c r="I29" s="311" t="inlineStr">
        <is>
          <t>2020</t>
        </is>
      </c>
      <c r="J29" s="311" t="inlineStr">
        <is>
          <t>2021</t>
        </is>
      </c>
      <c r="K29" s="311" t="inlineStr">
        <is>
          <t>2022</t>
        </is>
      </c>
      <c r="L29" s="311" t="inlineStr">
        <is>
          <t>2023</t>
        </is>
      </c>
      <c r="M29" s="311" t="inlineStr">
        <is>
          <t>2024</t>
        </is>
      </c>
      <c r="N29" s="311" t="inlineStr">
        <is>
          <t>2025</t>
        </is>
      </c>
      <c r="O29" s="311" t="inlineStr">
        <is>
          <t>2026</t>
        </is>
      </c>
      <c r="P29" s="311" t="inlineStr">
        <is>
          <t>2027</t>
        </is>
      </c>
      <c r="Q29" s="311" t="inlineStr">
        <is>
          <t>2028</t>
        </is>
      </c>
      <c r="R29" s="311" t="inlineStr">
        <is>
          <t>2029</t>
        </is>
      </c>
      <c r="S29" s="311" t="inlineStr">
        <is>
          <t>2030</t>
        </is>
      </c>
    </row>
    <row r="30">
      <c r="A30" s="312" t="inlineStr">
        <is>
          <t>MSFT</t>
        </is>
      </c>
      <c r="B30" s="313" t="n"/>
      <c r="C30" s="313" t="n"/>
      <c r="D30" s="313" t="n"/>
      <c r="E30" s="313" t="n"/>
      <c r="F30" s="313" t="n"/>
      <c r="G30" s="313" t="n"/>
      <c r="H30" s="313" t="n"/>
      <c r="I30" s="313" t="n"/>
      <c r="J30" s="313" t="n"/>
      <c r="K30" s="313" t="n"/>
      <c r="L30" s="313" t="n"/>
      <c r="M30" s="313" t="n"/>
      <c r="N30" s="313" t="n"/>
      <c r="O30" s="313" t="n"/>
      <c r="P30" s="313" t="n"/>
      <c r="Q30" s="313" t="n"/>
      <c r="R30" s="313" t="n"/>
      <c r="S30" s="313" t="n"/>
    </row>
    <row r="31">
      <c r="A31" s="312" t="inlineStr">
        <is>
          <t>AMZN</t>
        </is>
      </c>
      <c r="B31" s="313" t="n"/>
      <c r="C31" s="313" t="n"/>
      <c r="D31" s="313" t="n"/>
      <c r="E31" s="313" t="n"/>
      <c r="F31" s="313" t="n"/>
      <c r="G31" s="313" t="n"/>
      <c r="H31" s="313" t="n"/>
      <c r="I31" s="313" t="n"/>
      <c r="J31" s="313" t="n"/>
      <c r="K31" s="313" t="n"/>
      <c r="L31" s="313" t="n"/>
      <c r="M31" s="313" t="n"/>
      <c r="N31" s="313" t="n"/>
      <c r="O31" s="313" t="n"/>
      <c r="P31" s="313" t="n"/>
      <c r="Q31" s="313" t="n"/>
      <c r="R31" s="313" t="n"/>
      <c r="S31" s="313" t="n"/>
    </row>
    <row r="32">
      <c r="A32" s="312" t="inlineStr">
        <is>
          <t>GOOGL</t>
        </is>
      </c>
      <c r="B32" s="313" t="n"/>
      <c r="C32" s="313" t="n"/>
      <c r="D32" s="313" t="n"/>
      <c r="E32" s="313" t="n"/>
      <c r="F32" s="313" t="n"/>
      <c r="G32" s="313" t="n"/>
      <c r="H32" s="313" t="n"/>
      <c r="I32" s="313" t="n"/>
      <c r="J32" s="313" t="n"/>
      <c r="K32" s="313" t="n"/>
      <c r="L32" s="313" t="n"/>
      <c r="M32" s="313" t="n"/>
      <c r="N32" s="313" t="n"/>
      <c r="O32" s="313" t="n"/>
      <c r="P32" s="313" t="n"/>
      <c r="Q32" s="313" t="n"/>
      <c r="R32" s="313" t="n"/>
      <c r="S32" s="313" t="n"/>
    </row>
    <row r="33">
      <c r="A33" s="312" t="inlineStr">
        <is>
          <t>META</t>
        </is>
      </c>
      <c r="B33" s="313" t="n"/>
      <c r="C33" s="313" t="n"/>
      <c r="D33" s="313" t="n"/>
      <c r="E33" s="313" t="n"/>
      <c r="F33" s="313" t="n"/>
      <c r="G33" s="313" t="n"/>
      <c r="H33" s="313" t="n"/>
      <c r="I33" s="313" t="n"/>
      <c r="J33" s="313" t="n"/>
      <c r="K33" s="313" t="n"/>
      <c r="L33" s="313" t="n"/>
      <c r="M33" s="313" t="n"/>
      <c r="N33" s="313" t="n"/>
      <c r="O33" s="313" t="n"/>
      <c r="P33" s="313" t="n"/>
      <c r="Q33" s="313" t="n"/>
      <c r="R33" s="313" t="n"/>
      <c r="S33" s="313" t="n"/>
    </row>
    <row r="34">
      <c r="A34" s="312" t="inlineStr">
        <is>
          <t>ORCL</t>
        </is>
      </c>
      <c r="B34" s="313" t="n"/>
      <c r="C34" s="313" t="n"/>
      <c r="D34" s="313" t="n"/>
      <c r="E34" s="313" t="n"/>
      <c r="F34" s="313" t="n"/>
      <c r="G34" s="313" t="n"/>
      <c r="H34" s="313" t="n"/>
      <c r="I34" s="313" t="n"/>
      <c r="J34" s="313" t="n"/>
      <c r="K34" s="313" t="n"/>
      <c r="L34" s="313" t="n"/>
      <c r="M34" s="313" t="n"/>
      <c r="N34" s="313" t="n"/>
      <c r="O34" s="313" t="n"/>
      <c r="P34" s="313" t="n"/>
      <c r="Q34" s="313" t="n"/>
      <c r="R34" s="313" t="n"/>
      <c r="S34" s="313" t="n"/>
    </row>
    <row r="53">
      <c r="A53" s="309" t="inlineStr">
        <is>
          <t>Capex ($mm)</t>
        </is>
      </c>
    </row>
    <row r="54">
      <c r="A54" s="310" t="n"/>
      <c r="B54" s="311" t="inlineStr">
        <is>
          <t>2013</t>
        </is>
      </c>
      <c r="C54" s="311" t="inlineStr">
        <is>
          <t>2014</t>
        </is>
      </c>
      <c r="D54" s="311" t="inlineStr">
        <is>
          <t>2015</t>
        </is>
      </c>
      <c r="E54" s="311" t="inlineStr">
        <is>
          <t>2016</t>
        </is>
      </c>
      <c r="F54" s="311" t="inlineStr">
        <is>
          <t>2017</t>
        </is>
      </c>
      <c r="G54" s="311" t="inlineStr">
        <is>
          <t>2018</t>
        </is>
      </c>
      <c r="H54" s="311" t="inlineStr">
        <is>
          <t>2019</t>
        </is>
      </c>
      <c r="I54" s="311" t="inlineStr">
        <is>
          <t>2020</t>
        </is>
      </c>
      <c r="J54" s="311" t="inlineStr">
        <is>
          <t>2021</t>
        </is>
      </c>
      <c r="K54" s="311" t="inlineStr">
        <is>
          <t>2022</t>
        </is>
      </c>
      <c r="L54" s="311" t="inlineStr">
        <is>
          <t>2023</t>
        </is>
      </c>
      <c r="M54" s="311" t="inlineStr">
        <is>
          <t>2024</t>
        </is>
      </c>
      <c r="N54" s="311" t="inlineStr">
        <is>
          <t>2025</t>
        </is>
      </c>
      <c r="O54" s="311" t="inlineStr">
        <is>
          <t>2026</t>
        </is>
      </c>
      <c r="P54" s="311" t="inlineStr">
        <is>
          <t>2027</t>
        </is>
      </c>
      <c r="Q54" s="311" t="inlineStr">
        <is>
          <t>2028</t>
        </is>
      </c>
      <c r="R54" s="311" t="inlineStr">
        <is>
          <t>2029</t>
        </is>
      </c>
      <c r="S54" s="311" t="inlineStr">
        <is>
          <t>2030</t>
        </is>
      </c>
    </row>
    <row r="55">
      <c r="A55" s="312" t="inlineStr">
        <is>
          <t>MSFT</t>
        </is>
      </c>
      <c r="B55" s="314">
        <f>IFERROR('0. Database'!C12,NA())</f>
        <v/>
      </c>
      <c r="C55" s="314">
        <f>IFERROR('0. Database'!D12,NA())</f>
        <v/>
      </c>
      <c r="D55" s="314">
        <f>IFERROR('0. Database'!E12,NA())</f>
        <v/>
      </c>
      <c r="E55" s="314">
        <f>IFERROR('0. Database'!F12,NA())</f>
        <v/>
      </c>
      <c r="F55" s="314">
        <f>IFERROR('0. Database'!G12,NA())</f>
        <v/>
      </c>
      <c r="G55" s="314">
        <f>IFERROR('0. Database'!H12,NA())</f>
        <v/>
      </c>
      <c r="H55" s="314">
        <f>IFERROR('0. Database'!I12,NA())</f>
        <v/>
      </c>
      <c r="I55" s="314">
        <f>IFERROR('0. Database'!J12,NA())</f>
        <v/>
      </c>
      <c r="J55" s="314">
        <f>IFERROR('0. Database'!K12,NA())</f>
        <v/>
      </c>
      <c r="K55" s="314">
        <f>IFERROR('0. Database'!L12,NA())</f>
        <v/>
      </c>
      <c r="L55" s="314">
        <f>IFERROR('0. Database'!M12,NA())</f>
        <v/>
      </c>
      <c r="M55" s="314">
        <f>IFERROR('0. Database'!N12,NA())</f>
        <v/>
      </c>
      <c r="N55" s="314">
        <f>IFERROR('0. Database'!O12,NA())</f>
        <v/>
      </c>
      <c r="O55" s="314">
        <f>IFERROR('0. Database'!P12,NA())</f>
        <v/>
      </c>
      <c r="P55" s="314">
        <f>IFERROR('0. Database'!Q12,NA())</f>
        <v/>
      </c>
      <c r="Q55" s="314">
        <f>IFERROR('0. Database'!R12,NA())</f>
        <v/>
      </c>
      <c r="R55" s="314">
        <f>IFERROR('0. Database'!S12,NA())</f>
        <v/>
      </c>
      <c r="S55" s="314">
        <f>IFERROR('0. Database'!T12,NA())</f>
        <v/>
      </c>
    </row>
    <row r="56">
      <c r="A56" s="312" t="inlineStr">
        <is>
          <t>AMZN</t>
        </is>
      </c>
      <c r="B56" s="314">
        <f>IFERROR('0. Database'!C28,NA())</f>
        <v/>
      </c>
      <c r="C56" s="314">
        <f>IFERROR('0. Database'!D28,NA())</f>
        <v/>
      </c>
      <c r="D56" s="314">
        <f>IFERROR('0. Database'!E28,NA())</f>
        <v/>
      </c>
      <c r="E56" s="314">
        <f>IFERROR('0. Database'!F28,NA())</f>
        <v/>
      </c>
      <c r="F56" s="314">
        <f>IFERROR('0. Database'!G28,NA())</f>
        <v/>
      </c>
      <c r="G56" s="314">
        <f>IFERROR('0. Database'!H28,NA())</f>
        <v/>
      </c>
      <c r="H56" s="314">
        <f>IFERROR('0. Database'!I28,NA())</f>
        <v/>
      </c>
      <c r="I56" s="314">
        <f>IFERROR('0. Database'!J28,NA())</f>
        <v/>
      </c>
      <c r="J56" s="314">
        <f>IFERROR('0. Database'!K28,NA())</f>
        <v/>
      </c>
      <c r="K56" s="314">
        <f>IFERROR('0. Database'!L28,NA())</f>
        <v/>
      </c>
      <c r="L56" s="314">
        <f>IFERROR('0. Database'!M28,NA())</f>
        <v/>
      </c>
      <c r="M56" s="314">
        <f>IFERROR('0. Database'!N28,NA())</f>
        <v/>
      </c>
      <c r="N56" s="314">
        <f>IFERROR('0. Database'!O28,NA())</f>
        <v/>
      </c>
      <c r="O56" s="314">
        <f>IFERROR('0. Database'!P28,NA())</f>
        <v/>
      </c>
      <c r="P56" s="314">
        <f>IFERROR('0. Database'!Q28,NA())</f>
        <v/>
      </c>
      <c r="Q56" s="314">
        <f>IFERROR('0. Database'!R28,NA())</f>
        <v/>
      </c>
      <c r="R56" s="314">
        <f>IFERROR('0. Database'!S28,NA())</f>
        <v/>
      </c>
      <c r="S56" s="314">
        <f>IFERROR('0. Database'!T28,NA())</f>
        <v/>
      </c>
    </row>
    <row r="57">
      <c r="A57" s="312" t="inlineStr">
        <is>
          <t>GOOGL</t>
        </is>
      </c>
      <c r="B57" s="314">
        <f>IFERROR('0. Database'!C43,NA())</f>
        <v/>
      </c>
      <c r="C57" s="314">
        <f>IFERROR('0. Database'!D43,NA())</f>
        <v/>
      </c>
      <c r="D57" s="314">
        <f>IFERROR('0. Database'!E43,NA())</f>
        <v/>
      </c>
      <c r="E57" s="314">
        <f>IFERROR('0. Database'!F43,NA())</f>
        <v/>
      </c>
      <c r="F57" s="314">
        <f>IFERROR('0. Database'!G43,NA())</f>
        <v/>
      </c>
      <c r="G57" s="314">
        <f>IFERROR('0. Database'!H43,NA())</f>
        <v/>
      </c>
      <c r="H57" s="314">
        <f>IFERROR('0. Database'!I43,NA())</f>
        <v/>
      </c>
      <c r="I57" s="314">
        <f>IFERROR('0. Database'!J43,NA())</f>
        <v/>
      </c>
      <c r="J57" s="314">
        <f>IFERROR('0. Database'!K43,NA())</f>
        <v/>
      </c>
      <c r="K57" s="314">
        <f>IFERROR('0. Database'!L43,NA())</f>
        <v/>
      </c>
      <c r="L57" s="314">
        <f>IFERROR('0. Database'!M43,NA())</f>
        <v/>
      </c>
      <c r="M57" s="314">
        <f>IFERROR('0. Database'!N43,NA())</f>
        <v/>
      </c>
      <c r="N57" s="314">
        <f>IFERROR('0. Database'!O43,NA())</f>
        <v/>
      </c>
      <c r="O57" s="314">
        <f>IFERROR('0. Database'!P43,NA())</f>
        <v/>
      </c>
      <c r="P57" s="314">
        <f>IFERROR('0. Database'!Q43,NA())</f>
        <v/>
      </c>
      <c r="Q57" s="314">
        <f>IFERROR('0. Database'!R43,NA())</f>
        <v/>
      </c>
      <c r="R57" s="314">
        <f>IFERROR('0. Database'!S43,NA())</f>
        <v/>
      </c>
      <c r="S57" s="314">
        <f>IFERROR('0. Database'!T43,NA())</f>
        <v/>
      </c>
    </row>
    <row r="58">
      <c r="A58" s="312" t="inlineStr">
        <is>
          <t>META</t>
        </is>
      </c>
      <c r="B58" s="314">
        <f>IFERROR('0. Database'!C60,NA())</f>
        <v/>
      </c>
      <c r="C58" s="314">
        <f>IFERROR('0. Database'!D60,NA())</f>
        <v/>
      </c>
      <c r="D58" s="314">
        <f>IFERROR('0. Database'!E60,NA())</f>
        <v/>
      </c>
      <c r="E58" s="314">
        <f>IFERROR('0. Database'!F60,NA())</f>
        <v/>
      </c>
      <c r="F58" s="314">
        <f>IFERROR('0. Database'!G60,NA())</f>
        <v/>
      </c>
      <c r="G58" s="314">
        <f>IFERROR('0. Database'!H60,NA())</f>
        <v/>
      </c>
      <c r="H58" s="314">
        <f>IFERROR('0. Database'!I60,NA())</f>
        <v/>
      </c>
      <c r="I58" s="314">
        <f>IFERROR('0. Database'!J60,NA())</f>
        <v/>
      </c>
      <c r="J58" s="314">
        <f>IFERROR('0. Database'!K60,NA())</f>
        <v/>
      </c>
      <c r="K58" s="314">
        <f>IFERROR('0. Database'!L60,NA())</f>
        <v/>
      </c>
      <c r="L58" s="314">
        <f>IFERROR('0. Database'!M60,NA())</f>
        <v/>
      </c>
      <c r="M58" s="314">
        <f>IFERROR('0. Database'!N60,NA())</f>
        <v/>
      </c>
      <c r="N58" s="314">
        <f>IFERROR('0. Database'!O60,NA())</f>
        <v/>
      </c>
      <c r="O58" s="314">
        <f>IFERROR('0. Database'!P60,NA())</f>
        <v/>
      </c>
      <c r="P58" s="314">
        <f>IFERROR('0. Database'!Q60,NA())</f>
        <v/>
      </c>
      <c r="Q58" s="314">
        <f>IFERROR('0. Database'!R60,NA())</f>
        <v/>
      </c>
      <c r="R58" s="314">
        <f>IFERROR('0. Database'!S60,NA())</f>
        <v/>
      </c>
      <c r="S58" s="314">
        <f>IFERROR('0. Database'!T60,NA())</f>
        <v/>
      </c>
    </row>
    <row r="59">
      <c r="A59" s="312" t="inlineStr">
        <is>
          <t>ORCL</t>
        </is>
      </c>
      <c r="B59" s="314">
        <f>IFERROR('0. Database'!C78,NA())</f>
        <v/>
      </c>
      <c r="C59" s="314">
        <f>IFERROR('0. Database'!D78,NA())</f>
        <v/>
      </c>
      <c r="D59" s="314">
        <f>IFERROR('0. Database'!E78,NA())</f>
        <v/>
      </c>
      <c r="E59" s="314">
        <f>IFERROR('0. Database'!F78,NA())</f>
        <v/>
      </c>
      <c r="F59" s="314">
        <f>IFERROR('0. Database'!G78,NA())</f>
        <v/>
      </c>
      <c r="G59" s="314">
        <f>IFERROR('0. Database'!H78,NA())</f>
        <v/>
      </c>
      <c r="H59" s="314">
        <f>IFERROR('0. Database'!I78,NA())</f>
        <v/>
      </c>
      <c r="I59" s="314">
        <f>IFERROR('0. Database'!J78,NA())</f>
        <v/>
      </c>
      <c r="J59" s="314">
        <f>IFERROR('0. Database'!K78,NA())</f>
        <v/>
      </c>
      <c r="K59" s="314">
        <f>IFERROR('0. Database'!L78,NA())</f>
        <v/>
      </c>
      <c r="L59" s="314">
        <f>IFERROR('0. Database'!M78,NA())</f>
        <v/>
      </c>
      <c r="M59" s="314">
        <f>IFERROR('0. Database'!N78,NA())</f>
        <v/>
      </c>
      <c r="N59" s="314">
        <f>IFERROR('0. Database'!O78,NA())</f>
        <v/>
      </c>
      <c r="O59" s="314">
        <f>IFERROR('0. Database'!P78,NA())</f>
        <v/>
      </c>
      <c r="P59" s="314">
        <f>IFERROR('0. Database'!Q78,NA())</f>
        <v/>
      </c>
      <c r="Q59" s="314">
        <f>IFERROR('0. Database'!R78,NA())</f>
        <v/>
      </c>
      <c r="R59" s="314">
        <f>IFERROR('0. Database'!S78,NA())</f>
        <v/>
      </c>
      <c r="S59" s="314">
        <f>IFERROR('0. Database'!T78,NA())</f>
        <v/>
      </c>
    </row>
    <row r="78">
      <c r="A78" s="309" t="inlineStr">
        <is>
          <t>Revenue YoY %</t>
        </is>
      </c>
    </row>
    <row r="79">
      <c r="A79" s="310" t="n"/>
      <c r="B79" s="311" t="inlineStr">
        <is>
          <t>2013</t>
        </is>
      </c>
      <c r="C79" s="311" t="inlineStr">
        <is>
          <t>2014</t>
        </is>
      </c>
      <c r="D79" s="311" t="inlineStr">
        <is>
          <t>2015</t>
        </is>
      </c>
      <c r="E79" s="311" t="inlineStr">
        <is>
          <t>2016</t>
        </is>
      </c>
      <c r="F79" s="311" t="inlineStr">
        <is>
          <t>2017</t>
        </is>
      </c>
      <c r="G79" s="311" t="inlineStr">
        <is>
          <t>2018</t>
        </is>
      </c>
      <c r="H79" s="311" t="inlineStr">
        <is>
          <t>2019</t>
        </is>
      </c>
      <c r="I79" s="311" t="inlineStr">
        <is>
          <t>2020</t>
        </is>
      </c>
      <c r="J79" s="311" t="inlineStr">
        <is>
          <t>2021</t>
        </is>
      </c>
      <c r="K79" s="311" t="inlineStr">
        <is>
          <t>2022</t>
        </is>
      </c>
      <c r="L79" s="311" t="inlineStr">
        <is>
          <t>2023</t>
        </is>
      </c>
      <c r="M79" s="311" t="inlineStr">
        <is>
          <t>2024</t>
        </is>
      </c>
      <c r="N79" s="311" t="inlineStr">
        <is>
          <t>2025</t>
        </is>
      </c>
      <c r="O79" s="311" t="inlineStr">
        <is>
          <t>2026</t>
        </is>
      </c>
      <c r="P79" s="311" t="inlineStr">
        <is>
          <t>2027</t>
        </is>
      </c>
      <c r="Q79" s="311" t="inlineStr">
        <is>
          <t>2028</t>
        </is>
      </c>
      <c r="R79" s="311" t="inlineStr">
        <is>
          <t>2029</t>
        </is>
      </c>
      <c r="S79" s="311" t="inlineStr">
        <is>
          <t>2030</t>
        </is>
      </c>
    </row>
    <row r="80">
      <c r="A80" s="312" t="inlineStr">
        <is>
          <t>MSFT</t>
        </is>
      </c>
      <c r="B80" s="313" t="n"/>
      <c r="C80" s="313">
        <f>IFERROR('0. Database'!D5/'0. Database'!C5-1,NA())</f>
        <v/>
      </c>
      <c r="D80" s="313">
        <f>IFERROR('0. Database'!E5/'0. Database'!D5-1,NA())</f>
        <v/>
      </c>
      <c r="E80" s="313">
        <f>IFERROR('0. Database'!F5/'0. Database'!E5-1,NA())</f>
        <v/>
      </c>
      <c r="F80" s="313">
        <f>IFERROR('0. Database'!G5/'0. Database'!F5-1,NA())</f>
        <v/>
      </c>
      <c r="G80" s="313">
        <f>IFERROR('0. Database'!H5/'0. Database'!G5-1,NA())</f>
        <v/>
      </c>
      <c r="H80" s="313">
        <f>IFERROR('0. Database'!I5/'0. Database'!H5-1,NA())</f>
        <v/>
      </c>
      <c r="I80" s="313">
        <f>IFERROR('0. Database'!J5/'0. Database'!I5-1,NA())</f>
        <v/>
      </c>
      <c r="J80" s="313">
        <f>IFERROR('0. Database'!K5/'0. Database'!J5-1,NA())</f>
        <v/>
      </c>
      <c r="K80" s="313">
        <f>IFERROR('0. Database'!L5/'0. Database'!K5-1,NA())</f>
        <v/>
      </c>
      <c r="L80" s="313">
        <f>IFERROR('0. Database'!M5/'0. Database'!L5-1,NA())</f>
        <v/>
      </c>
      <c r="M80" s="313">
        <f>IFERROR('0. Database'!N5/'0. Database'!M5-1,NA())</f>
        <v/>
      </c>
      <c r="N80" s="313">
        <f>IFERROR('0. Database'!O5/'0. Database'!N5-1,NA())</f>
        <v/>
      </c>
      <c r="O80" s="313">
        <f>IFERROR('0. Database'!P5/'0. Database'!O5-1,NA())</f>
        <v/>
      </c>
      <c r="P80" s="313">
        <f>IFERROR('0. Database'!Q5/'0. Database'!P5-1,NA())</f>
        <v/>
      </c>
      <c r="Q80" s="313">
        <f>IFERROR('0. Database'!R5/'0. Database'!Q5-1,NA())</f>
        <v/>
      </c>
      <c r="R80" s="313">
        <f>IFERROR('0. Database'!S5/'0. Database'!R5-1,NA())</f>
        <v/>
      </c>
      <c r="S80" s="313">
        <f>IFERROR('0. Database'!T5/'0. Database'!S5-1,NA())</f>
        <v/>
      </c>
    </row>
    <row r="81">
      <c r="A81" s="312" t="inlineStr">
        <is>
          <t>AMZN</t>
        </is>
      </c>
      <c r="B81" s="313" t="n"/>
      <c r="C81" s="313">
        <f>IFERROR('0. Database'!D21/'0. Database'!C21-1,NA())</f>
        <v/>
      </c>
      <c r="D81" s="313">
        <f>IFERROR('0. Database'!E21/'0. Database'!D21-1,NA())</f>
        <v/>
      </c>
      <c r="E81" s="313">
        <f>IFERROR('0. Database'!F21/'0. Database'!E21-1,NA())</f>
        <v/>
      </c>
      <c r="F81" s="313">
        <f>IFERROR('0. Database'!G21/'0. Database'!F21-1,NA())</f>
        <v/>
      </c>
      <c r="G81" s="313">
        <f>IFERROR('0. Database'!H21/'0. Database'!G21-1,NA())</f>
        <v/>
      </c>
      <c r="H81" s="313">
        <f>IFERROR('0. Database'!I21/'0. Database'!H21-1,NA())</f>
        <v/>
      </c>
      <c r="I81" s="313">
        <f>IFERROR('0. Database'!J21/'0. Database'!I21-1,NA())</f>
        <v/>
      </c>
      <c r="J81" s="313">
        <f>IFERROR('0. Database'!K21/'0. Database'!J21-1,NA())</f>
        <v/>
      </c>
      <c r="K81" s="313">
        <f>IFERROR('0. Database'!L21/'0. Database'!K21-1,NA())</f>
        <v/>
      </c>
      <c r="L81" s="313">
        <f>IFERROR('0. Database'!M21/'0. Database'!L21-1,NA())</f>
        <v/>
      </c>
      <c r="M81" s="313">
        <f>IFERROR('0. Database'!N21/'0. Database'!M21-1,NA())</f>
        <v/>
      </c>
      <c r="N81" s="313">
        <f>IFERROR('0. Database'!O21/'0. Database'!N21-1,NA())</f>
        <v/>
      </c>
      <c r="O81" s="313">
        <f>IFERROR('0. Database'!P21/'0. Database'!O21-1,NA())</f>
        <v/>
      </c>
      <c r="P81" s="313">
        <f>IFERROR('0. Database'!Q21/'0. Database'!P21-1,NA())</f>
        <v/>
      </c>
      <c r="Q81" s="313">
        <f>IFERROR('0. Database'!R21/'0. Database'!Q21-1,NA())</f>
        <v/>
      </c>
      <c r="R81" s="313">
        <f>IFERROR('0. Database'!S21/'0. Database'!R21-1,NA())</f>
        <v/>
      </c>
      <c r="S81" s="313">
        <f>IFERROR('0. Database'!T21/'0. Database'!S21-1,NA())</f>
        <v/>
      </c>
    </row>
    <row r="82">
      <c r="A82" s="312" t="inlineStr">
        <is>
          <t>GOOGL</t>
        </is>
      </c>
      <c r="B82" s="313" t="n"/>
      <c r="C82" s="313">
        <f>IFERROR('0. Database'!D36/'0. Database'!C36-1,NA())</f>
        <v/>
      </c>
      <c r="D82" s="313">
        <f>IFERROR('0. Database'!E36/'0. Database'!D36-1,NA())</f>
        <v/>
      </c>
      <c r="E82" s="313">
        <f>IFERROR('0. Database'!F36/'0. Database'!E36-1,NA())</f>
        <v/>
      </c>
      <c r="F82" s="313">
        <f>IFERROR('0. Database'!G36/'0. Database'!F36-1,NA())</f>
        <v/>
      </c>
      <c r="G82" s="313">
        <f>IFERROR('0. Database'!H36/'0. Database'!G36-1,NA())</f>
        <v/>
      </c>
      <c r="H82" s="313">
        <f>IFERROR('0. Database'!I36/'0. Database'!H36-1,NA())</f>
        <v/>
      </c>
      <c r="I82" s="313">
        <f>IFERROR('0. Database'!J36/'0. Database'!I36-1,NA())</f>
        <v/>
      </c>
      <c r="J82" s="313">
        <f>IFERROR('0. Database'!K36/'0. Database'!J36-1,NA())</f>
        <v/>
      </c>
      <c r="K82" s="313">
        <f>IFERROR('0. Database'!L36/'0. Database'!K36-1,NA())</f>
        <v/>
      </c>
      <c r="L82" s="313">
        <f>IFERROR('0. Database'!M36/'0. Database'!L36-1,NA())</f>
        <v/>
      </c>
      <c r="M82" s="313">
        <f>IFERROR('0. Database'!N36/'0. Database'!M36-1,NA())</f>
        <v/>
      </c>
      <c r="N82" s="313">
        <f>IFERROR('0. Database'!O36/'0. Database'!N36-1,NA())</f>
        <v/>
      </c>
      <c r="O82" s="313">
        <f>IFERROR('0. Database'!P36/'0. Database'!O36-1,NA())</f>
        <v/>
      </c>
      <c r="P82" s="313">
        <f>IFERROR('0. Database'!Q36/'0. Database'!P36-1,NA())</f>
        <v/>
      </c>
      <c r="Q82" s="313">
        <f>IFERROR('0. Database'!R36/'0. Database'!Q36-1,NA())</f>
        <v/>
      </c>
      <c r="R82" s="313">
        <f>IFERROR('0. Database'!S36/'0. Database'!R36-1,NA())</f>
        <v/>
      </c>
      <c r="S82" s="313">
        <f>IFERROR('0. Database'!T36/'0. Database'!S36-1,NA())</f>
        <v/>
      </c>
    </row>
    <row r="83">
      <c r="A83" s="312" t="inlineStr">
        <is>
          <t>META</t>
        </is>
      </c>
      <c r="B83" s="313" t="n"/>
      <c r="C83" s="313">
        <f>IFERROR('0. Database'!D53/'0. Database'!C53-1,NA())</f>
        <v/>
      </c>
      <c r="D83" s="313">
        <f>IFERROR('0. Database'!E53/'0. Database'!D53-1,NA())</f>
        <v/>
      </c>
      <c r="E83" s="313">
        <f>IFERROR('0. Database'!F53/'0. Database'!E53-1,NA())</f>
        <v/>
      </c>
      <c r="F83" s="313">
        <f>IFERROR('0. Database'!G53/'0. Database'!F53-1,NA())</f>
        <v/>
      </c>
      <c r="G83" s="313">
        <f>IFERROR('0. Database'!H53/'0. Database'!G53-1,NA())</f>
        <v/>
      </c>
      <c r="H83" s="313">
        <f>IFERROR('0. Database'!I53/'0. Database'!H53-1,NA())</f>
        <v/>
      </c>
      <c r="I83" s="313">
        <f>IFERROR('0. Database'!J53/'0. Database'!I53-1,NA())</f>
        <v/>
      </c>
      <c r="J83" s="313">
        <f>IFERROR('0. Database'!K53/'0. Database'!J53-1,NA())</f>
        <v/>
      </c>
      <c r="K83" s="313">
        <f>IFERROR('0. Database'!L53/'0. Database'!K53-1,NA())</f>
        <v/>
      </c>
      <c r="L83" s="313">
        <f>IFERROR('0. Database'!M53/'0. Database'!L53-1,NA())</f>
        <v/>
      </c>
      <c r="M83" s="313">
        <f>IFERROR('0. Database'!N53/'0. Database'!M53-1,NA())</f>
        <v/>
      </c>
      <c r="N83" s="313">
        <f>IFERROR('0. Database'!O53/'0. Database'!N53-1,NA())</f>
        <v/>
      </c>
      <c r="O83" s="313">
        <f>IFERROR('0. Database'!P53/'0. Database'!O53-1,NA())</f>
        <v/>
      </c>
      <c r="P83" s="313">
        <f>IFERROR('0. Database'!Q53/'0. Database'!P53-1,NA())</f>
        <v/>
      </c>
      <c r="Q83" s="313">
        <f>IFERROR('0. Database'!R53/'0. Database'!Q53-1,NA())</f>
        <v/>
      </c>
      <c r="R83" s="313">
        <f>IFERROR('0. Database'!S53/'0. Database'!R53-1,NA())</f>
        <v/>
      </c>
      <c r="S83" s="313">
        <f>IFERROR('0. Database'!T53/'0. Database'!S53-1,NA())</f>
        <v/>
      </c>
    </row>
    <row r="84">
      <c r="A84" s="312" t="inlineStr">
        <is>
          <t>ORCL</t>
        </is>
      </c>
      <c r="B84" s="313" t="n"/>
      <c r="C84" s="313">
        <f>IFERROR('0. Database'!D82/'0. Database'!C82-1,NA())</f>
        <v/>
      </c>
      <c r="D84" s="313">
        <f>IFERROR('0. Database'!E82/'0. Database'!D82-1,NA())</f>
        <v/>
      </c>
      <c r="E84" s="313">
        <f>IFERROR('0. Database'!F82/'0. Database'!E82-1,NA())</f>
        <v/>
      </c>
      <c r="F84" s="313">
        <f>IFERROR('0. Database'!G82/'0. Database'!F82-1,NA())</f>
        <v/>
      </c>
      <c r="G84" s="313">
        <f>IFERROR('0. Database'!H82/'0. Database'!G82-1,NA())</f>
        <v/>
      </c>
      <c r="H84" s="313">
        <f>IFERROR('0. Database'!I82/'0. Database'!H82-1,NA())</f>
        <v/>
      </c>
      <c r="I84" s="313">
        <f>IFERROR('0. Database'!J82/'0. Database'!I82-1,NA())</f>
        <v/>
      </c>
      <c r="J84" s="313">
        <f>IFERROR('0. Database'!K82/'0. Database'!J82-1,NA())</f>
        <v/>
      </c>
      <c r="K84" s="313">
        <f>IFERROR('0. Database'!L82/'0. Database'!K82-1,NA())</f>
        <v/>
      </c>
      <c r="L84" s="313">
        <f>IFERROR('0. Database'!M82/'0. Database'!L82-1,NA())</f>
        <v/>
      </c>
      <c r="M84" s="313">
        <f>IFERROR('0. Database'!N82/'0. Database'!M82-1,NA())</f>
        <v/>
      </c>
      <c r="N84" s="313">
        <f>IFERROR('0. Database'!O82/'0. Database'!N82-1,NA())</f>
        <v/>
      </c>
      <c r="O84" s="313">
        <f>IFERROR('0. Database'!P82/'0. Database'!O82-1,NA())</f>
        <v/>
      </c>
      <c r="P84" s="313">
        <f>IFERROR('0. Database'!Q82/'0. Database'!P82-1,NA())</f>
        <v/>
      </c>
      <c r="Q84" s="313">
        <f>IFERROR('0. Database'!R82/'0. Database'!Q82-1,NA())</f>
        <v/>
      </c>
      <c r="R84" s="313">
        <f>IFERROR('0. Database'!S82/'0. Database'!R82-1,NA())</f>
        <v/>
      </c>
      <c r="S84" s="313">
        <f>IFERROR('0. Database'!T82/'0. Database'!S82-1,NA())</f>
        <v/>
      </c>
    </row>
    <row r="103">
      <c r="A103" s="309" t="inlineStr">
        <is>
          <t>Operating Margin %</t>
        </is>
      </c>
    </row>
    <row r="104">
      <c r="A104" s="310" t="n"/>
      <c r="B104" s="311" t="inlineStr">
        <is>
          <t>2013</t>
        </is>
      </c>
      <c r="C104" s="311" t="inlineStr">
        <is>
          <t>2014</t>
        </is>
      </c>
      <c r="D104" s="311" t="inlineStr">
        <is>
          <t>2015</t>
        </is>
      </c>
      <c r="E104" s="311" t="inlineStr">
        <is>
          <t>2016</t>
        </is>
      </c>
      <c r="F104" s="311" t="inlineStr">
        <is>
          <t>2017</t>
        </is>
      </c>
      <c r="G104" s="311" t="inlineStr">
        <is>
          <t>2018</t>
        </is>
      </c>
      <c r="H104" s="311" t="inlineStr">
        <is>
          <t>2019</t>
        </is>
      </c>
      <c r="I104" s="311" t="inlineStr">
        <is>
          <t>2020</t>
        </is>
      </c>
      <c r="J104" s="311" t="inlineStr">
        <is>
          <t>2021</t>
        </is>
      </c>
      <c r="K104" s="311" t="inlineStr">
        <is>
          <t>2022</t>
        </is>
      </c>
      <c r="L104" s="311" t="inlineStr">
        <is>
          <t>2023</t>
        </is>
      </c>
      <c r="M104" s="311" t="inlineStr">
        <is>
          <t>2024</t>
        </is>
      </c>
      <c r="N104" s="311" t="inlineStr">
        <is>
          <t>2025</t>
        </is>
      </c>
      <c r="O104" s="311" t="inlineStr">
        <is>
          <t>2026</t>
        </is>
      </c>
      <c r="P104" s="311" t="inlineStr">
        <is>
          <t>2027</t>
        </is>
      </c>
      <c r="Q104" s="311" t="inlineStr">
        <is>
          <t>2028</t>
        </is>
      </c>
      <c r="R104" s="311" t="inlineStr">
        <is>
          <t>2029</t>
        </is>
      </c>
      <c r="S104" s="311" t="inlineStr">
        <is>
          <t>2030</t>
        </is>
      </c>
    </row>
    <row r="105">
      <c r="A105" s="312" t="inlineStr">
        <is>
          <t>MSFT</t>
        </is>
      </c>
      <c r="B105" s="313">
        <f>IFERROR('0. Database'!C6/'0. Database'!C5,NA())</f>
        <v/>
      </c>
      <c r="C105" s="313">
        <f>IFERROR('0. Database'!D6/'0. Database'!D5,NA())</f>
        <v/>
      </c>
      <c r="D105" s="313">
        <f>IFERROR('0. Database'!E6/'0. Database'!E5,NA())</f>
        <v/>
      </c>
      <c r="E105" s="313">
        <f>IFERROR('0. Database'!F6/'0. Database'!F5,NA())</f>
        <v/>
      </c>
      <c r="F105" s="313">
        <f>IFERROR('0. Database'!G6/'0. Database'!G5,NA())</f>
        <v/>
      </c>
      <c r="G105" s="313">
        <f>IFERROR('0. Database'!H6/'0. Database'!H5,NA())</f>
        <v/>
      </c>
      <c r="H105" s="313">
        <f>IFERROR('0. Database'!I6/'0. Database'!I5,NA())</f>
        <v/>
      </c>
      <c r="I105" s="313">
        <f>IFERROR('0. Database'!J6/'0. Database'!J5,NA())</f>
        <v/>
      </c>
      <c r="J105" s="313">
        <f>IFERROR('0. Database'!K6/'0. Database'!K5,NA())</f>
        <v/>
      </c>
      <c r="K105" s="313">
        <f>IFERROR('0. Database'!L6/'0. Database'!L5,NA())</f>
        <v/>
      </c>
      <c r="L105" s="313">
        <f>IFERROR('0. Database'!M6/'0. Database'!M5,NA())</f>
        <v/>
      </c>
      <c r="M105" s="313">
        <f>IFERROR('0. Database'!N6/'0. Database'!N5,NA())</f>
        <v/>
      </c>
      <c r="N105" s="313">
        <f>IFERROR('0. Database'!O6/'0. Database'!O5,NA())</f>
        <v/>
      </c>
      <c r="O105" s="313">
        <f>IFERROR('0. Database'!P6/'0. Database'!P5,NA())</f>
        <v/>
      </c>
      <c r="P105" s="313">
        <f>IFERROR('0. Database'!Q6/'0. Database'!Q5,NA())</f>
        <v/>
      </c>
      <c r="Q105" s="313">
        <f>IFERROR('0. Database'!R6/'0. Database'!R5,NA())</f>
        <v/>
      </c>
      <c r="R105" s="313">
        <f>IFERROR('0. Database'!S6/'0. Database'!S5,NA())</f>
        <v/>
      </c>
      <c r="S105" s="313">
        <f>IFERROR('0. Database'!T6/'0. Database'!T5,NA())</f>
        <v/>
      </c>
    </row>
    <row r="106">
      <c r="A106" s="312" t="inlineStr">
        <is>
          <t>AMZN</t>
        </is>
      </c>
      <c r="B106" s="313">
        <f>IFERROR('0. Database'!C22/'0. Database'!C21,NA())</f>
        <v/>
      </c>
      <c r="C106" s="313">
        <f>IFERROR('0. Database'!D22/'0. Database'!D21,NA())</f>
        <v/>
      </c>
      <c r="D106" s="313">
        <f>IFERROR('0. Database'!E22/'0. Database'!E21,NA())</f>
        <v/>
      </c>
      <c r="E106" s="313">
        <f>IFERROR('0. Database'!F22/'0. Database'!F21,NA())</f>
        <v/>
      </c>
      <c r="F106" s="313">
        <f>IFERROR('0. Database'!G22/'0. Database'!G21,NA())</f>
        <v/>
      </c>
      <c r="G106" s="313">
        <f>IFERROR('0. Database'!H22/'0. Database'!H21,NA())</f>
        <v/>
      </c>
      <c r="H106" s="313">
        <f>IFERROR('0. Database'!I22/'0. Database'!I21,NA())</f>
        <v/>
      </c>
      <c r="I106" s="313">
        <f>IFERROR('0. Database'!J22/'0. Database'!J21,NA())</f>
        <v/>
      </c>
      <c r="J106" s="313">
        <f>IFERROR('0. Database'!K22/'0. Database'!K21,NA())</f>
        <v/>
      </c>
      <c r="K106" s="313">
        <f>IFERROR('0. Database'!L22/'0. Database'!L21,NA())</f>
        <v/>
      </c>
      <c r="L106" s="313">
        <f>IFERROR('0. Database'!M22/'0. Database'!M21,NA())</f>
        <v/>
      </c>
      <c r="M106" s="313">
        <f>IFERROR('0. Database'!N22/'0. Database'!N21,NA())</f>
        <v/>
      </c>
      <c r="N106" s="313">
        <f>IFERROR('0. Database'!O22/'0. Database'!O21,NA())</f>
        <v/>
      </c>
      <c r="O106" s="313">
        <f>IFERROR('0. Database'!P22/'0. Database'!P21,NA())</f>
        <v/>
      </c>
      <c r="P106" s="313">
        <f>IFERROR('0. Database'!Q22/'0. Database'!Q21,NA())</f>
        <v/>
      </c>
      <c r="Q106" s="313">
        <f>IFERROR('0. Database'!R22/'0. Database'!R21,NA())</f>
        <v/>
      </c>
      <c r="R106" s="313">
        <f>IFERROR('0. Database'!S22/'0. Database'!S21,NA())</f>
        <v/>
      </c>
      <c r="S106" s="313">
        <f>IFERROR('0. Database'!T22/'0. Database'!T21,NA())</f>
        <v/>
      </c>
    </row>
    <row r="107">
      <c r="A107" s="312" t="inlineStr">
        <is>
          <t>GOOGL</t>
        </is>
      </c>
      <c r="B107" s="313">
        <f>IFERROR('0. Database'!C37/'0. Database'!C36,NA())</f>
        <v/>
      </c>
      <c r="C107" s="313">
        <f>IFERROR('0. Database'!D37/'0. Database'!D36,NA())</f>
        <v/>
      </c>
      <c r="D107" s="313">
        <f>IFERROR('0. Database'!E37/'0. Database'!E36,NA())</f>
        <v/>
      </c>
      <c r="E107" s="313">
        <f>IFERROR('0. Database'!F37/'0. Database'!F36,NA())</f>
        <v/>
      </c>
      <c r="F107" s="313">
        <f>IFERROR('0. Database'!G37/'0. Database'!G36,NA())</f>
        <v/>
      </c>
      <c r="G107" s="313">
        <f>IFERROR('0. Database'!H37/'0. Database'!H36,NA())</f>
        <v/>
      </c>
      <c r="H107" s="313">
        <f>IFERROR('0. Database'!I37/'0. Database'!I36,NA())</f>
        <v/>
      </c>
      <c r="I107" s="313">
        <f>IFERROR('0. Database'!J37/'0. Database'!J36,NA())</f>
        <v/>
      </c>
      <c r="J107" s="313">
        <f>IFERROR('0. Database'!K37/'0. Database'!K36,NA())</f>
        <v/>
      </c>
      <c r="K107" s="313">
        <f>IFERROR('0. Database'!L37/'0. Database'!L36,NA())</f>
        <v/>
      </c>
      <c r="L107" s="313">
        <f>IFERROR('0. Database'!M37/'0. Database'!M36,NA())</f>
        <v/>
      </c>
      <c r="M107" s="313">
        <f>IFERROR('0. Database'!N37/'0. Database'!N36,NA())</f>
        <v/>
      </c>
      <c r="N107" s="313">
        <f>IFERROR('0. Database'!O37/'0. Database'!O36,NA())</f>
        <v/>
      </c>
      <c r="O107" s="313">
        <f>IFERROR('0. Database'!P37/'0. Database'!P36,NA())</f>
        <v/>
      </c>
      <c r="P107" s="313">
        <f>IFERROR('0. Database'!Q37/'0. Database'!Q36,NA())</f>
        <v/>
      </c>
      <c r="Q107" s="313">
        <f>IFERROR('0. Database'!R37/'0. Database'!R36,NA())</f>
        <v/>
      </c>
      <c r="R107" s="313">
        <f>IFERROR('0. Database'!S37/'0. Database'!S36,NA())</f>
        <v/>
      </c>
      <c r="S107" s="313">
        <f>IFERROR('0. Database'!T37/'0. Database'!T36,NA())</f>
        <v/>
      </c>
    </row>
    <row r="108">
      <c r="A108" s="312" t="inlineStr">
        <is>
          <t>META</t>
        </is>
      </c>
      <c r="B108" s="313">
        <f>IFERROR('0. Database'!C54/'0. Database'!C53,NA())</f>
        <v/>
      </c>
      <c r="C108" s="313">
        <f>IFERROR('0. Database'!D54/'0. Database'!D53,NA())</f>
        <v/>
      </c>
      <c r="D108" s="313">
        <f>IFERROR('0. Database'!E54/'0. Database'!E53,NA())</f>
        <v/>
      </c>
      <c r="E108" s="313">
        <f>IFERROR('0. Database'!F54/'0. Database'!F53,NA())</f>
        <v/>
      </c>
      <c r="F108" s="313">
        <f>IFERROR('0. Database'!G54/'0. Database'!G53,NA())</f>
        <v/>
      </c>
      <c r="G108" s="313">
        <f>IFERROR('0. Database'!H54/'0. Database'!H53,NA())</f>
        <v/>
      </c>
      <c r="H108" s="313">
        <f>IFERROR('0. Database'!I54/'0. Database'!I53,NA())</f>
        <v/>
      </c>
      <c r="I108" s="313">
        <f>IFERROR('0. Database'!J54/'0. Database'!J53,NA())</f>
        <v/>
      </c>
      <c r="J108" s="313">
        <f>IFERROR('0. Database'!K54/'0. Database'!K53,NA())</f>
        <v/>
      </c>
      <c r="K108" s="313">
        <f>IFERROR('0. Database'!L54/'0. Database'!L53,NA())</f>
        <v/>
      </c>
      <c r="L108" s="313">
        <f>IFERROR('0. Database'!M54/'0. Database'!M53,NA())</f>
        <v/>
      </c>
      <c r="M108" s="313">
        <f>IFERROR('0. Database'!N54/'0. Database'!N53,NA())</f>
        <v/>
      </c>
      <c r="N108" s="313">
        <f>IFERROR('0. Database'!O54/'0. Database'!O53,NA())</f>
        <v/>
      </c>
      <c r="O108" s="313">
        <f>IFERROR('0. Database'!P54/'0. Database'!P53,NA())</f>
        <v/>
      </c>
      <c r="P108" s="313">
        <f>IFERROR('0. Database'!Q54/'0. Database'!Q53,NA())</f>
        <v/>
      </c>
      <c r="Q108" s="313">
        <f>IFERROR('0. Database'!R54/'0. Database'!R53,NA())</f>
        <v/>
      </c>
      <c r="R108" s="313">
        <f>IFERROR('0. Database'!S54/'0. Database'!S53,NA())</f>
        <v/>
      </c>
      <c r="S108" s="313">
        <f>IFERROR('0. Database'!T54/'0. Database'!T53,NA())</f>
        <v/>
      </c>
    </row>
    <row r="109">
      <c r="A109" s="312" t="inlineStr">
        <is>
          <t>ORCL</t>
        </is>
      </c>
      <c r="B109" s="313">
        <f>IFERROR('0. Database'!C86/'0. Database'!C82,NA())</f>
        <v/>
      </c>
      <c r="C109" s="313">
        <f>IFERROR('0. Database'!D86/'0. Database'!D82,NA())</f>
        <v/>
      </c>
      <c r="D109" s="313">
        <f>IFERROR('0. Database'!E86/'0. Database'!E82,NA())</f>
        <v/>
      </c>
      <c r="E109" s="313">
        <f>IFERROR('0. Database'!F86/'0. Database'!F82,NA())</f>
        <v/>
      </c>
      <c r="F109" s="313">
        <f>IFERROR('0. Database'!G86/'0. Database'!G82,NA())</f>
        <v/>
      </c>
      <c r="G109" s="313">
        <f>IFERROR('0. Database'!H86/'0. Database'!H82,NA())</f>
        <v/>
      </c>
      <c r="H109" s="313">
        <f>IFERROR('0. Database'!I86/'0. Database'!I82,NA())</f>
        <v/>
      </c>
      <c r="I109" s="313">
        <f>IFERROR('0. Database'!J86/'0. Database'!J82,NA())</f>
        <v/>
      </c>
      <c r="J109" s="313">
        <f>IFERROR('0. Database'!K86/'0. Database'!K82,NA())</f>
        <v/>
      </c>
      <c r="K109" s="313">
        <f>IFERROR('0. Database'!L86/'0. Database'!L82,NA())</f>
        <v/>
      </c>
      <c r="L109" s="313">
        <f>IFERROR('0. Database'!M86/'0. Database'!M82,NA())</f>
        <v/>
      </c>
      <c r="M109" s="313">
        <f>IFERROR('0. Database'!N86/'0. Database'!N82,NA())</f>
        <v/>
      </c>
      <c r="N109" s="313">
        <f>IFERROR('0. Database'!O86/'0. Database'!O82,NA())</f>
        <v/>
      </c>
      <c r="O109" s="313">
        <f>IFERROR('0. Database'!P86/'0. Database'!P82,NA())</f>
        <v/>
      </c>
      <c r="P109" s="313">
        <f>IFERROR('0. Database'!Q86/'0. Database'!Q82,NA())</f>
        <v/>
      </c>
      <c r="Q109" s="313">
        <f>IFERROR('0. Database'!R86/'0. Database'!R82,NA())</f>
        <v/>
      </c>
      <c r="R109" s="313">
        <f>IFERROR('0. Database'!S86/'0. Database'!S82,NA())</f>
        <v/>
      </c>
      <c r="S109" s="313">
        <f>IFERROR('0. Database'!T86/'0. Database'!T82,NA())</f>
        <v/>
      </c>
    </row>
    <row r="128">
      <c r="A128" s="309" t="inlineStr">
        <is>
          <t>D&amp;A / Revenue %</t>
        </is>
      </c>
    </row>
    <row r="129">
      <c r="A129" s="310" t="n"/>
      <c r="B129" s="311" t="inlineStr">
        <is>
          <t>2013</t>
        </is>
      </c>
      <c r="C129" s="311" t="inlineStr">
        <is>
          <t>2014</t>
        </is>
      </c>
      <c r="D129" s="311" t="inlineStr">
        <is>
          <t>2015</t>
        </is>
      </c>
      <c r="E129" s="311" t="inlineStr">
        <is>
          <t>2016</t>
        </is>
      </c>
      <c r="F129" s="311" t="inlineStr">
        <is>
          <t>2017</t>
        </is>
      </c>
      <c r="G129" s="311" t="inlineStr">
        <is>
          <t>2018</t>
        </is>
      </c>
      <c r="H129" s="311" t="inlineStr">
        <is>
          <t>2019</t>
        </is>
      </c>
      <c r="I129" s="311" t="inlineStr">
        <is>
          <t>2020</t>
        </is>
      </c>
      <c r="J129" s="311" t="inlineStr">
        <is>
          <t>2021</t>
        </is>
      </c>
      <c r="K129" s="311" t="inlineStr">
        <is>
          <t>2022</t>
        </is>
      </c>
      <c r="L129" s="311" t="inlineStr">
        <is>
          <t>2023</t>
        </is>
      </c>
      <c r="M129" s="311" t="inlineStr">
        <is>
          <t>2024</t>
        </is>
      </c>
      <c r="N129" s="311" t="inlineStr">
        <is>
          <t>2025</t>
        </is>
      </c>
      <c r="O129" s="311" t="inlineStr">
        <is>
          <t>2026</t>
        </is>
      </c>
      <c r="P129" s="311" t="inlineStr">
        <is>
          <t>2027</t>
        </is>
      </c>
      <c r="Q129" s="311" t="inlineStr">
        <is>
          <t>2028</t>
        </is>
      </c>
      <c r="R129" s="311" t="inlineStr">
        <is>
          <t>2029</t>
        </is>
      </c>
      <c r="S129" s="311" t="inlineStr">
        <is>
          <t>2030</t>
        </is>
      </c>
    </row>
    <row r="130">
      <c r="A130" s="312" t="inlineStr">
        <is>
          <t>MSFT</t>
        </is>
      </c>
      <c r="B130" s="313">
        <f>IFERROR('0. Database'!C11/'0. Database'!C5,NA())</f>
        <v/>
      </c>
      <c r="C130" s="313">
        <f>IFERROR('0. Database'!D11/'0. Database'!D5,NA())</f>
        <v/>
      </c>
      <c r="D130" s="313">
        <f>IFERROR('0. Database'!E11/'0. Database'!E5,NA())</f>
        <v/>
      </c>
      <c r="E130" s="313">
        <f>IFERROR('0. Database'!F11/'0. Database'!F5,NA())</f>
        <v/>
      </c>
      <c r="F130" s="313">
        <f>IFERROR('0. Database'!G11/'0. Database'!G5,NA())</f>
        <v/>
      </c>
      <c r="G130" s="313">
        <f>IFERROR('0. Database'!H11/'0. Database'!H5,NA())</f>
        <v/>
      </c>
      <c r="H130" s="313">
        <f>IFERROR('0. Database'!I11/'0. Database'!I5,NA())</f>
        <v/>
      </c>
      <c r="I130" s="313">
        <f>IFERROR('0. Database'!J11/'0. Database'!J5,NA())</f>
        <v/>
      </c>
      <c r="J130" s="313">
        <f>IFERROR('0. Database'!K11/'0. Database'!K5,NA())</f>
        <v/>
      </c>
      <c r="K130" s="313">
        <f>IFERROR('0. Database'!L11/'0. Database'!L5,NA())</f>
        <v/>
      </c>
      <c r="L130" s="313">
        <f>IFERROR('0. Database'!M11/'0. Database'!M5,NA())</f>
        <v/>
      </c>
      <c r="M130" s="313">
        <f>IFERROR('0. Database'!N11/'0. Database'!N5,NA())</f>
        <v/>
      </c>
      <c r="N130" s="313">
        <f>IFERROR('0. Database'!O11/'0. Database'!O5,NA())</f>
        <v/>
      </c>
      <c r="O130" s="313">
        <f>IFERROR('0. Database'!P11/'0. Database'!P5,NA())</f>
        <v/>
      </c>
      <c r="P130" s="313">
        <f>IFERROR('0. Database'!Q11/'0. Database'!Q5,NA())</f>
        <v/>
      </c>
      <c r="Q130" s="313">
        <f>IFERROR('0. Database'!R11/'0. Database'!R5,NA())</f>
        <v/>
      </c>
      <c r="R130" s="313">
        <f>IFERROR('0. Database'!S11/'0. Database'!S5,NA())</f>
        <v/>
      </c>
      <c r="S130" s="313">
        <f>IFERROR('0. Database'!T11/'0. Database'!T5,NA())</f>
        <v/>
      </c>
    </row>
    <row r="131">
      <c r="A131" s="312" t="inlineStr">
        <is>
          <t>AMZN</t>
        </is>
      </c>
      <c r="B131" s="313">
        <f>IFERROR('0. Database'!C27/'0. Database'!C21,NA())</f>
        <v/>
      </c>
      <c r="C131" s="313">
        <f>IFERROR('0. Database'!D27/'0. Database'!D21,NA())</f>
        <v/>
      </c>
      <c r="D131" s="313">
        <f>IFERROR('0. Database'!E27/'0. Database'!E21,NA())</f>
        <v/>
      </c>
      <c r="E131" s="313">
        <f>IFERROR('0. Database'!F27/'0. Database'!F21,NA())</f>
        <v/>
      </c>
      <c r="F131" s="313">
        <f>IFERROR('0. Database'!G27/'0. Database'!G21,NA())</f>
        <v/>
      </c>
      <c r="G131" s="313">
        <f>IFERROR('0. Database'!H27/'0. Database'!H21,NA())</f>
        <v/>
      </c>
      <c r="H131" s="313">
        <f>IFERROR('0. Database'!I27/'0. Database'!I21,NA())</f>
        <v/>
      </c>
      <c r="I131" s="313">
        <f>IFERROR('0. Database'!J27/'0. Database'!J21,NA())</f>
        <v/>
      </c>
      <c r="J131" s="313">
        <f>IFERROR('0. Database'!K27/'0. Database'!K21,NA())</f>
        <v/>
      </c>
      <c r="K131" s="313">
        <f>IFERROR('0. Database'!L27/'0. Database'!L21,NA())</f>
        <v/>
      </c>
      <c r="L131" s="313">
        <f>IFERROR('0. Database'!M27/'0. Database'!M21,NA())</f>
        <v/>
      </c>
      <c r="M131" s="313">
        <f>IFERROR('0. Database'!N27/'0. Database'!N21,NA())</f>
        <v/>
      </c>
      <c r="N131" s="313">
        <f>IFERROR('0. Database'!O27/'0. Database'!O21,NA())</f>
        <v/>
      </c>
      <c r="O131" s="313">
        <f>IFERROR('0. Database'!P27/'0. Database'!P21,NA())</f>
        <v/>
      </c>
      <c r="P131" s="313">
        <f>IFERROR('0. Database'!Q27/'0. Database'!Q21,NA())</f>
        <v/>
      </c>
      <c r="Q131" s="313">
        <f>IFERROR('0. Database'!R27/'0. Database'!R21,NA())</f>
        <v/>
      </c>
      <c r="R131" s="313">
        <f>IFERROR('0. Database'!S27/'0. Database'!S21,NA())</f>
        <v/>
      </c>
      <c r="S131" s="313">
        <f>IFERROR('0. Database'!T27/'0. Database'!T21,NA())</f>
        <v/>
      </c>
    </row>
    <row r="132">
      <c r="A132" s="312" t="inlineStr">
        <is>
          <t>GOOGL</t>
        </is>
      </c>
      <c r="B132" s="313">
        <f>IFERROR('0. Database'!C42/'0. Database'!C36,NA())</f>
        <v/>
      </c>
      <c r="C132" s="313">
        <f>IFERROR('0. Database'!D42/'0. Database'!D36,NA())</f>
        <v/>
      </c>
      <c r="D132" s="313">
        <f>IFERROR('0. Database'!E42/'0. Database'!E36,NA())</f>
        <v/>
      </c>
      <c r="E132" s="313">
        <f>IFERROR('0. Database'!F42/'0. Database'!F36,NA())</f>
        <v/>
      </c>
      <c r="F132" s="313">
        <f>IFERROR('0. Database'!G42/'0. Database'!G36,NA())</f>
        <v/>
      </c>
      <c r="G132" s="313">
        <f>IFERROR('0. Database'!H42/'0. Database'!H36,NA())</f>
        <v/>
      </c>
      <c r="H132" s="313">
        <f>IFERROR('0. Database'!I42/'0. Database'!I36,NA())</f>
        <v/>
      </c>
      <c r="I132" s="313">
        <f>IFERROR('0. Database'!J42/'0. Database'!J36,NA())</f>
        <v/>
      </c>
      <c r="J132" s="313">
        <f>IFERROR('0. Database'!K42/'0. Database'!K36,NA())</f>
        <v/>
      </c>
      <c r="K132" s="313">
        <f>IFERROR('0. Database'!L42/'0. Database'!L36,NA())</f>
        <v/>
      </c>
      <c r="L132" s="313">
        <f>IFERROR('0. Database'!M42/'0. Database'!M36,NA())</f>
        <v/>
      </c>
      <c r="M132" s="313">
        <f>IFERROR('0. Database'!N42/'0. Database'!N36,NA())</f>
        <v/>
      </c>
      <c r="N132" s="313">
        <f>IFERROR('0. Database'!O42/'0. Database'!O36,NA())</f>
        <v/>
      </c>
      <c r="O132" s="313">
        <f>IFERROR('0. Database'!P42/'0. Database'!P36,NA())</f>
        <v/>
      </c>
      <c r="P132" s="313">
        <f>IFERROR('0. Database'!Q42/'0. Database'!Q36,NA())</f>
        <v/>
      </c>
      <c r="Q132" s="313">
        <f>IFERROR('0. Database'!R42/'0. Database'!R36,NA())</f>
        <v/>
      </c>
      <c r="R132" s="313">
        <f>IFERROR('0. Database'!S42/'0. Database'!S36,NA())</f>
        <v/>
      </c>
      <c r="S132" s="313">
        <f>IFERROR('0. Database'!T42/'0. Database'!T36,NA())</f>
        <v/>
      </c>
    </row>
    <row r="133">
      <c r="A133" s="312" t="inlineStr">
        <is>
          <t>META</t>
        </is>
      </c>
      <c r="B133" s="313">
        <f>IFERROR('0. Database'!C59/'0. Database'!C53,NA())</f>
        <v/>
      </c>
      <c r="C133" s="313">
        <f>IFERROR('0. Database'!D59/'0. Database'!D53,NA())</f>
        <v/>
      </c>
      <c r="D133" s="313">
        <f>IFERROR('0. Database'!E59/'0. Database'!E53,NA())</f>
        <v/>
      </c>
      <c r="E133" s="313">
        <f>IFERROR('0. Database'!F59/'0. Database'!F53,NA())</f>
        <v/>
      </c>
      <c r="F133" s="313">
        <f>IFERROR('0. Database'!G59/'0. Database'!G53,NA())</f>
        <v/>
      </c>
      <c r="G133" s="313">
        <f>IFERROR('0. Database'!H59/'0. Database'!H53,NA())</f>
        <v/>
      </c>
      <c r="H133" s="313">
        <f>IFERROR('0. Database'!I59/'0. Database'!I53,NA())</f>
        <v/>
      </c>
      <c r="I133" s="313">
        <f>IFERROR('0. Database'!J59/'0. Database'!J53,NA())</f>
        <v/>
      </c>
      <c r="J133" s="313">
        <f>IFERROR('0. Database'!K59/'0. Database'!K53,NA())</f>
        <v/>
      </c>
      <c r="K133" s="313">
        <f>IFERROR('0. Database'!L59/'0. Database'!L53,NA())</f>
        <v/>
      </c>
      <c r="L133" s="313">
        <f>IFERROR('0. Database'!M59/'0. Database'!M53,NA())</f>
        <v/>
      </c>
      <c r="M133" s="313">
        <f>IFERROR('0. Database'!N59/'0. Database'!N53,NA())</f>
        <v/>
      </c>
      <c r="N133" s="313">
        <f>IFERROR('0. Database'!O59/'0. Database'!O53,NA())</f>
        <v/>
      </c>
      <c r="O133" s="313">
        <f>IFERROR('0. Database'!P59/'0. Database'!P53,NA())</f>
        <v/>
      </c>
      <c r="P133" s="313">
        <f>IFERROR('0. Database'!Q59/'0. Database'!Q53,NA())</f>
        <v/>
      </c>
      <c r="Q133" s="313">
        <f>IFERROR('0. Database'!R59/'0. Database'!R53,NA())</f>
        <v/>
      </c>
      <c r="R133" s="313">
        <f>IFERROR('0. Database'!S59/'0. Database'!S53,NA())</f>
        <v/>
      </c>
      <c r="S133" s="313">
        <f>IFERROR('0. Database'!T59/'0. Database'!T53,NA())</f>
        <v/>
      </c>
    </row>
    <row r="134">
      <c r="A134" s="312" t="inlineStr">
        <is>
          <t>ORCL</t>
        </is>
      </c>
      <c r="B134" s="313">
        <f>IFERROR('0. Database'!C77/'0. Database'!C82,NA())</f>
        <v/>
      </c>
      <c r="C134" s="313">
        <f>IFERROR('0. Database'!D77/'0. Database'!D82,NA())</f>
        <v/>
      </c>
      <c r="D134" s="313">
        <f>IFERROR('0. Database'!E77/'0. Database'!E82,NA())</f>
        <v/>
      </c>
      <c r="E134" s="313">
        <f>IFERROR('0. Database'!F77/'0. Database'!F82,NA())</f>
        <v/>
      </c>
      <c r="F134" s="313">
        <f>IFERROR('0. Database'!G77/'0. Database'!G82,NA())</f>
        <v/>
      </c>
      <c r="G134" s="313">
        <f>IFERROR('0. Database'!H77/'0. Database'!H82,NA())</f>
        <v/>
      </c>
      <c r="H134" s="313">
        <f>IFERROR('0. Database'!I77/'0. Database'!I82,NA())</f>
        <v/>
      </c>
      <c r="I134" s="313">
        <f>IFERROR('0. Database'!J77/'0. Database'!J82,NA())</f>
        <v/>
      </c>
      <c r="J134" s="313">
        <f>IFERROR('0. Database'!K77/'0. Database'!K82,NA())</f>
        <v/>
      </c>
      <c r="K134" s="313">
        <f>IFERROR('0. Database'!L77/'0. Database'!L82,NA())</f>
        <v/>
      </c>
      <c r="L134" s="313">
        <f>IFERROR('0. Database'!M77/'0. Database'!M82,NA())</f>
        <v/>
      </c>
      <c r="M134" s="313">
        <f>IFERROR('0. Database'!N77/'0. Database'!N82,NA())</f>
        <v/>
      </c>
      <c r="N134" s="313">
        <f>IFERROR('0. Database'!O77/'0. Database'!O82,NA())</f>
        <v/>
      </c>
      <c r="O134" s="313">
        <f>IFERROR('0. Database'!P77/'0. Database'!P82,NA())</f>
        <v/>
      </c>
      <c r="P134" s="313">
        <f>IFERROR('0. Database'!Q77/'0. Database'!Q82,NA())</f>
        <v/>
      </c>
      <c r="Q134" s="313">
        <f>IFERROR('0. Database'!R77/'0. Database'!R82,NA())</f>
        <v/>
      </c>
      <c r="R134" s="313">
        <f>IFERROR('0. Database'!S77/'0. Database'!S82,NA())</f>
        <v/>
      </c>
      <c r="S134" s="313">
        <f>IFERROR('0. Database'!T77/'0. Database'!T82,NA())</f>
        <v/>
      </c>
    </row>
  </sheetData>
  <mergeCells count="7">
    <mergeCell ref="A128:S128"/>
    <mergeCell ref="A28:S28"/>
    <mergeCell ref="A103:S103"/>
    <mergeCell ref="A1:S1"/>
    <mergeCell ref="A3:S3"/>
    <mergeCell ref="A53:S53"/>
    <mergeCell ref="A78:S78"/>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H33"/>
  <sheetViews>
    <sheetView showGridLines="0" workbookViewId="0">
      <selection activeCell="A1" sqref="A1"/>
    </sheetView>
  </sheetViews>
  <sheetFormatPr baseColWidth="8" defaultRowHeight="15"/>
  <cols>
    <col width="32" customWidth="1" style="197" min="1" max="1"/>
    <col width="14" customWidth="1" style="197" min="2" max="2"/>
    <col width="14" customWidth="1" style="197" min="3" max="3"/>
    <col width="14" customWidth="1" style="197" min="4" max="4"/>
    <col width="14" customWidth="1" style="197" min="5" max="5"/>
    <col width="14" customWidth="1" style="197" min="6" max="6"/>
    <col width="14" customWidth="1" style="197" min="7" max="7"/>
    <col width="14" customWidth="1" style="197" min="8" max="8"/>
    <col width="14" customWidth="1" style="197" min="9" max="9"/>
  </cols>
  <sheetData>
    <row r="1" ht="28" customHeight="1" s="197">
      <c r="A1" s="315" t="inlineStr">
        <is>
          <t>Bubble Risk: 2000 vs 2026 + Valuation + Triggers</t>
        </is>
      </c>
    </row>
    <row r="3">
      <c r="A3" s="316" t="inlineStr">
        <is>
          <t>A. S&amp;P 500 Forecasts (May 2026)</t>
        </is>
      </c>
    </row>
    <row r="4">
      <c r="A4" s="317" t="inlineStr">
        <is>
          <t>Source</t>
        </is>
      </c>
      <c r="B4" s="317" t="inlineStr">
        <is>
          <t>2024A</t>
        </is>
      </c>
      <c r="C4" s="317" t="inlineStr">
        <is>
          <t>2025A</t>
        </is>
      </c>
      <c r="D4" s="317" t="inlineStr">
        <is>
          <t>2026E</t>
        </is>
      </c>
      <c r="E4" s="317" t="inlineStr">
        <is>
          <t>2027E</t>
        </is>
      </c>
      <c r="F4" s="317" t="inlineStr">
        <is>
          <t>YE2026 Target</t>
        </is>
      </c>
      <c r="G4" s="317" t="inlineStr">
        <is>
          <t>Notes</t>
        </is>
      </c>
    </row>
    <row r="5">
      <c r="A5" s="318" t="inlineStr">
        <is>
          <t>Sell-side Top-Down</t>
        </is>
      </c>
      <c r="B5" s="319" t="inlineStr">
        <is>
          <t>$246</t>
        </is>
      </c>
      <c r="C5" s="319" t="inlineStr">
        <is>
          <t>$275</t>
        </is>
      </c>
      <c r="D5" s="319" t="inlineStr">
        <is>
          <t>$309 (+12%)</t>
        </is>
      </c>
      <c r="E5" s="319" t="inlineStr">
        <is>
          <t>$342 (+10%)</t>
        </is>
      </c>
      <c r="F5" s="319" t="inlineStr">
        <is>
          <t>7,600</t>
        </is>
      </c>
      <c r="G5" s="319" t="inlineStr">
        <is>
          <t>Exhibit 27/28</t>
        </is>
      </c>
    </row>
    <row r="6">
      <c r="A6" s="318" t="inlineStr">
        <is>
          <t>Bottom-Up Consensus</t>
        </is>
      </c>
      <c r="B6" s="319" t="inlineStr">
        <is>
          <t>$246</t>
        </is>
      </c>
      <c r="C6" s="319" t="inlineStr">
        <is>
          <t>$275</t>
        </is>
      </c>
      <c r="D6" s="319" t="inlineStr">
        <is>
          <t>$337 (+23%)</t>
        </is>
      </c>
      <c r="E6" s="319" t="inlineStr">
        <is>
          <t>$387 (+15%)</t>
        </is>
      </c>
      <c r="F6" s="319" t="inlineStr">
        <is>
          <t>—</t>
        </is>
      </c>
      <c r="G6" s="319" t="inlineStr">
        <is>
          <t>Higher due to idiosyncratic</t>
        </is>
      </c>
    </row>
    <row r="7">
      <c r="A7" s="318" t="inlineStr">
        <is>
          <t>Our AI Split Model</t>
        </is>
      </c>
      <c r="B7" s="319" t="inlineStr">
        <is>
          <t>$246</t>
        </is>
      </c>
      <c r="C7" s="319" t="inlineStr">
        <is>
          <t>$275</t>
        </is>
      </c>
      <c r="D7" s="319" t="inlineStr">
        <is>
          <t>$309</t>
        </is>
      </c>
      <c r="E7" s="319" t="inlineStr">
        <is>
          <t>$342</t>
        </is>
      </c>
      <c r="F7" s="319" t="inlineStr">
        <is>
          <t>5,528*</t>
        </is>
      </c>
      <c r="G7" s="319" t="inlineStr">
        <is>
          <t>*Non-AI 18x + AI 35x</t>
        </is>
      </c>
    </row>
    <row r="9">
      <c r="A9" s="316" t="inlineStr">
        <is>
          <t>B. 2027E Implied S&amp;P 500 = EPS x P/E</t>
        </is>
      </c>
    </row>
    <row r="10">
      <c r="A10" s="320" t="inlineStr">
        <is>
          <t>EPS Scenario</t>
        </is>
      </c>
      <c r="B10" s="317" t="inlineStr">
        <is>
          <t>18x</t>
        </is>
      </c>
      <c r="C10" s="317" t="inlineStr">
        <is>
          <t>19x</t>
        </is>
      </c>
      <c r="D10" s="317" t="inlineStr">
        <is>
          <t>20x</t>
        </is>
      </c>
      <c r="E10" s="317" t="inlineStr">
        <is>
          <t>21x</t>
        </is>
      </c>
      <c r="F10" s="317" t="inlineStr">
        <is>
          <t>22x</t>
        </is>
      </c>
      <c r="G10" s="317" t="inlineStr">
        <is>
          <t>23x</t>
        </is>
      </c>
      <c r="H10" s="317" t="inlineStr">
        <is>
          <t>24x</t>
        </is>
      </c>
    </row>
    <row r="11">
      <c r="A11" s="318" t="inlineStr">
        <is>
          <t>Top-Down $342</t>
        </is>
      </c>
      <c r="B11" s="321" t="n">
        <v>6156</v>
      </c>
      <c r="C11" s="321" t="n">
        <v>6498</v>
      </c>
      <c r="D11" s="321" t="n">
        <v>6840</v>
      </c>
      <c r="E11" s="321" t="n">
        <v>7182</v>
      </c>
      <c r="F11" s="321" t="n">
        <v>7524</v>
      </c>
      <c r="G11" s="321" t="n">
        <v>7866</v>
      </c>
      <c r="H11" s="321" t="n">
        <v>8208</v>
      </c>
    </row>
    <row r="12">
      <c r="A12" s="318" t="inlineStr">
        <is>
          <t>Consensus $387</t>
        </is>
      </c>
      <c r="B12" s="321" t="n">
        <v>6966</v>
      </c>
      <c r="C12" s="321" t="n">
        <v>7353</v>
      </c>
      <c r="D12" s="321" t="n">
        <v>7740</v>
      </c>
      <c r="E12" s="321" t="n">
        <v>8127</v>
      </c>
      <c r="F12" s="321" t="n">
        <v>8514</v>
      </c>
      <c r="G12" s="321" t="n">
        <v>8901</v>
      </c>
      <c r="H12" s="321" t="n">
        <v>9288</v>
      </c>
    </row>
    <row r="13">
      <c r="A13" s="318" t="inlineStr">
        <is>
          <t>Stress $300</t>
        </is>
      </c>
      <c r="B13" s="321" t="n">
        <v>5400</v>
      </c>
      <c r="C13" s="321" t="n">
        <v>5700</v>
      </c>
      <c r="D13" s="321" t="n">
        <v>6000</v>
      </c>
      <c r="E13" s="321" t="n">
        <v>6300</v>
      </c>
      <c r="F13" s="321" t="n">
        <v>6600</v>
      </c>
      <c r="G13" s="321" t="n">
        <v>6900</v>
      </c>
      <c r="H13" s="321" t="n">
        <v>7200</v>
      </c>
    </row>
    <row r="14">
      <c r="A14" s="318" t="inlineStr">
        <is>
          <t>Crash $260</t>
        </is>
      </c>
      <c r="B14" s="321" t="n">
        <v>4680</v>
      </c>
      <c r="C14" s="321" t="n">
        <v>4940</v>
      </c>
      <c r="D14" s="321" t="n">
        <v>5200</v>
      </c>
      <c r="E14" s="321" t="n">
        <v>5460</v>
      </c>
      <c r="F14" s="321" t="n">
        <v>5720</v>
      </c>
      <c r="G14" s="321" t="n">
        <v>5980</v>
      </c>
      <c r="H14" s="321" t="n">
        <v>6240</v>
      </c>
    </row>
    <row r="16">
      <c r="A16" s="316" t="inlineStr">
        <is>
          <t>C. Current Valuation vs History</t>
        </is>
      </c>
    </row>
    <row r="17">
      <c r="A17" s="317" t="inlineStr">
        <is>
          <t>Metric</t>
        </is>
      </c>
      <c r="B17" s="317" t="inlineStr">
        <is>
          <t>Current</t>
        </is>
      </c>
      <c r="C17" s="317" t="inlineStr">
        <is>
          <t>10yr %ile</t>
        </is>
      </c>
      <c r="D17" s="317" t="inlineStr">
        <is>
          <t>30yr %ile</t>
        </is>
      </c>
      <c r="E17" s="317" t="inlineStr">
        <is>
          <t>2000 Peak</t>
        </is>
      </c>
      <c r="F17" s="317" t="inlineStr">
        <is>
          <t>Verdict</t>
        </is>
      </c>
    </row>
    <row r="18">
      <c r="A18" s="318" t="inlineStr">
        <is>
          <t>S&amp;P 500 Fwd P/E</t>
        </is>
      </c>
      <c r="B18" s="319" t="inlineStr">
        <is>
          <t>21x</t>
        </is>
      </c>
      <c r="C18" s="319" t="inlineStr">
        <is>
          <t>64%</t>
        </is>
      </c>
      <c r="D18" s="319" t="inlineStr">
        <is>
          <t>82%</t>
        </is>
      </c>
      <c r="E18" s="319" t="inlineStr">
        <is>
          <t>24x</t>
        </is>
      </c>
      <c r="F18" s="322" t="inlineStr">
        <is>
          <t>Expensive but not extreme</t>
        </is>
      </c>
    </row>
    <row r="19">
      <c r="A19" s="318" t="inlineStr">
        <is>
          <t>IT Weight</t>
        </is>
      </c>
      <c r="B19" s="319" t="inlineStr">
        <is>
          <t>36%</t>
        </is>
      </c>
      <c r="C19" s="319" t="inlineStr">
        <is>
          <t>99%</t>
        </is>
      </c>
      <c r="D19" s="319" t="inlineStr">
        <is>
          <t>99%</t>
        </is>
      </c>
      <c r="E19" s="319" t="inlineStr">
        <is>
          <t>33%</t>
        </is>
      </c>
      <c r="F19" s="323" t="inlineStr">
        <is>
          <t>EXCEEDS 2000</t>
        </is>
      </c>
    </row>
    <row r="20">
      <c r="A20" s="318" t="inlineStr">
        <is>
          <t>Top 10 Earnings</t>
        </is>
      </c>
      <c r="B20" s="319" t="inlineStr">
        <is>
          <t>33%</t>
        </is>
      </c>
      <c r="C20" s="319" t="inlineStr">
        <is>
          <t>99%</t>
        </is>
      </c>
      <c r="D20" s="319" t="inlineStr">
        <is>
          <t>99%</t>
        </is>
      </c>
      <c r="E20" s="319" t="inlineStr">
        <is>
          <t>~25%</t>
        </is>
      </c>
      <c r="F20" s="323" t="inlineStr">
        <is>
          <t>Record concentration</t>
        </is>
      </c>
    </row>
    <row r="21">
      <c r="A21" s="318" t="inlineStr">
        <is>
          <t>EPS Beat Reward</t>
        </is>
      </c>
      <c r="B21" s="319" t="inlineStr">
        <is>
          <t>+20bp</t>
        </is>
      </c>
      <c r="C21" s="319" t="inlineStr">
        <is>
          <t>2%</t>
        </is>
      </c>
      <c r="D21" s="319" t="inlineStr">
        <is>
          <t>2%</t>
        </is>
      </c>
      <c r="E21" s="319" t="inlineStr">
        <is>
          <t>+100bp</t>
        </is>
      </c>
      <c r="F21" s="323" t="inlineStr">
        <is>
          <t>25yr low</t>
        </is>
      </c>
    </row>
    <row r="22">
      <c r="A22" s="318" t="inlineStr">
        <is>
          <t>Capex/CFO Hyper</t>
        </is>
      </c>
      <c r="B22" s="319" t="inlineStr">
        <is>
          <t>100%</t>
        </is>
      </c>
      <c r="C22" s="319" t="inlineStr">
        <is>
          <t>99%</t>
        </is>
      </c>
      <c r="D22" s="319" t="inlineStr">
        <is>
          <t>99%</t>
        </is>
      </c>
      <c r="E22" s="319" t="inlineStr">
        <is>
          <t>80-90%</t>
        </is>
      </c>
      <c r="F22" s="323" t="inlineStr">
        <is>
          <t>EXCEEDS 2000 telco</t>
        </is>
      </c>
    </row>
    <row r="23">
      <c r="A23" s="318" t="inlineStr">
        <is>
          <t>Hyper Net Debt/EBITDA</t>
        </is>
      </c>
      <c r="B23" s="319" t="inlineStr">
        <is>
          <t>0.3x</t>
        </is>
      </c>
      <c r="C23" s="319" t="inlineStr">
        <is>
          <t>Low</t>
        </is>
      </c>
      <c r="D23" s="319" t="inlineStr">
        <is>
          <t>Low</t>
        </is>
      </c>
      <c r="E23" s="319" t="inlineStr">
        <is>
          <t>3x+ telco</t>
        </is>
      </c>
      <c r="F23" s="322" t="inlineStr">
        <is>
          <t>Still healthy</t>
        </is>
      </c>
    </row>
    <row r="25">
      <c r="A25" s="316" t="inlineStr">
        <is>
          <t>D. 2000 Bubble 5-Phase Timeline vs AI 2026</t>
        </is>
      </c>
    </row>
    <row r="26" ht="28" customHeight="1" s="197">
      <c r="A26" s="317" t="inlineStr">
        <is>
          <t>Phase</t>
        </is>
      </c>
      <c r="B26" s="317" t="inlineStr">
        <is>
          <t>2000 Telecom</t>
        </is>
      </c>
      <c r="C26" s="317" t="inlineStr">
        <is>
          <t>AI 2026</t>
        </is>
      </c>
      <c r="D26" s="317" t="inlineStr">
        <is>
          <t>Status</t>
        </is>
      </c>
      <c r="E26" s="317" t="inlineStr">
        <is>
          <t>Next Trigger</t>
        </is>
      </c>
    </row>
    <row r="27" ht="36" customHeight="1" s="197">
      <c r="A27" s="324" t="inlineStr">
        <is>
          <t>1. Valuation Mania</t>
        </is>
      </c>
      <c r="B27" s="325" t="inlineStr">
        <is>
          <t>Nasdaq 200x PE</t>
        </is>
      </c>
      <c r="C27" s="326" t="inlineStr">
        <is>
          <t>NVDA 30-40x; S&amp;P 21x (82nd %ile)</t>
        </is>
      </c>
      <c r="D27" s="327" t="inlineStr">
        <is>
          <t>PARTIAL</t>
        </is>
      </c>
      <c r="E27" s="326" t="inlineStr">
        <is>
          <t>PE&gt;25x</t>
        </is>
      </c>
    </row>
    <row r="28" ht="36" customHeight="1" s="197">
      <c r="A28" s="324" t="inlineStr">
        <is>
          <t>2. Liquidity Signal</t>
        </is>
      </c>
      <c r="B28" s="325" t="inlineStr">
        <is>
          <t>Greenspan hikes</t>
        </is>
      </c>
      <c r="C28" s="326" t="inlineStr">
        <is>
          <t>Fed hold 3.7%; not cutting</t>
        </is>
      </c>
      <c r="D28" s="327" t="inlineStr">
        <is>
          <t>BORDERLINE</t>
        </is>
      </c>
      <c r="E28" s="326" t="inlineStr">
        <is>
          <t>Fed hawkish or IG&gt;100bp</t>
        </is>
      </c>
    </row>
    <row r="29" ht="36" customHeight="1" s="197">
      <c r="A29" s="324" t="inlineStr">
        <is>
          <t>3. Customer Deaths</t>
        </is>
      </c>
      <c r="B29" s="325" t="inlineStr">
        <is>
          <t>Pets.com 9mo post-IPO</t>
        </is>
      </c>
      <c r="C29" s="326" t="inlineStr">
        <is>
          <t>OpenAI burns $17B/yr, still raising</t>
        </is>
      </c>
      <c r="D29" s="328" t="inlineStr">
        <is>
          <t>NOT YET</t>
        </is>
      </c>
      <c r="E29" s="326" t="inlineStr">
        <is>
          <t>AI lab funding delay/down round</t>
        </is>
      </c>
    </row>
    <row r="30" ht="36" customHeight="1" s="197">
      <c r="A30" s="324" t="inlineStr">
        <is>
          <t>4. Capex Crack</t>
        </is>
      </c>
      <c r="B30" s="325" t="inlineStr">
        <is>
          <t>Telcos stop; 85% dark fiber</t>
        </is>
      </c>
      <c r="C30" s="326" t="inlineStr">
        <is>
          <t>Hyperscalers +83%; cRPO record</t>
        </is>
      </c>
      <c r="D30" s="328" t="inlineStr">
        <is>
          <t>NOT YET</t>
        </is>
      </c>
      <c r="E30" s="326" t="inlineStr">
        <is>
          <t>Any name cuts 2027 guide</t>
        </is>
      </c>
    </row>
    <row r="31" ht="36" customHeight="1" s="197">
      <c r="A31" s="324" t="inlineStr">
        <is>
          <t>5. Accounting</t>
        </is>
      </c>
      <c r="B31" s="325" t="inlineStr">
        <is>
          <t>Enron $38B; WorldCom bankrupt</t>
        </is>
      </c>
      <c r="C31" s="326" t="inlineStr">
        <is>
          <t>Circular financing exists</t>
        </is>
      </c>
      <c r="D31" s="328" t="inlineStr">
        <is>
          <t>NOT YET</t>
        </is>
      </c>
      <c r="E31" s="326" t="inlineStr">
        <is>
          <t>AI stake write-down</t>
        </is>
      </c>
    </row>
    <row r="33" ht="30" customHeight="1" s="197">
      <c r="A33" s="329" t="inlineStr">
        <is>
          <t>Position: Between Phase 1-2. Phases 3/4/5 NOT occurred. Burst window: 2027 H1-H2 (D&amp;A wave locked in). Distance: 2-4 quarters.</t>
        </is>
      </c>
      <c r="B33" s="394" t="n"/>
      <c r="C33" s="394" t="n"/>
      <c r="D33" s="394" t="n"/>
      <c r="E33" s="395" t="n"/>
    </row>
  </sheetData>
  <mergeCells count="6">
    <mergeCell ref="A9:H9"/>
    <mergeCell ref="A3:H3"/>
    <mergeCell ref="A25:H25"/>
    <mergeCell ref="A16:H16"/>
    <mergeCell ref="A33:E33"/>
    <mergeCell ref="A1:H1"/>
  </mergeCells>
  <conditionalFormatting sqref="B11:H14">
    <cfRule type="colorScale" priority="1">
      <colorScale>
        <cfvo type="num" val="4500"/>
        <cfvo type="num" val="6500"/>
        <cfvo type="num" val="8500"/>
        <color rgb="00F8696B"/>
        <color rgb="00FFEB84"/>
        <color rgb="0063BE7B"/>
      </colorScale>
    </cfRule>
  </conditionalFormatting>
  <pageMargins left="0.75" right="0.75" top="1" bottom="1" header="0.5" footer="0.5"/>
</worksheet>
</file>

<file path=xl/worksheets/sheet11.xml><?xml version="1.0" encoding="utf-8"?>
<worksheet xmlns="http://schemas.openxmlformats.org/spreadsheetml/2006/main">
  <sheetPr filterMode="0">
    <outlinePr summaryBelow="1" summaryRight="1"/>
    <pageSetUpPr fitToPage="0"/>
  </sheetPr>
  <dimension ref="A1:J18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6" customWidth="1" style="196" min="1" max="1"/>
    <col width="14" customWidth="1" style="196" min="2" max="11"/>
  </cols>
  <sheetData>
    <row r="1" ht="27.75" customHeight="1" s="197">
      <c r="A1" s="227" t="inlineStr">
        <is>
          <t>Can AI Capex Be Monetized? The $725B Question</t>
        </is>
      </c>
    </row>
    <row r="3" ht="15" customHeight="1" s="197">
      <c r="A3" s="219" t="inlineStr">
        <is>
          <t>A. The EPS Growth Puzzle: Why Does EPS Rise When D&amp;A Explodes?</t>
        </is>
      </c>
    </row>
    <row r="4" ht="36" customHeight="1" s="197">
      <c r="A4" s="330" t="inlineStr">
        <is>
          <t>Analysts project EPS growth of 15-25% in 2026-27E despite D&amp;A surging 50-100%. The answer is in incremental economics: as long as each $1 of new D&amp;A is offset by &gt;$1 of new gross profit, margins can expand. The table below quantifies this for each company.</t>
        </is>
      </c>
    </row>
    <row r="5" ht="36" customHeight="1" s="197">
      <c r="A5" s="237" t="inlineStr">
        <is>
          <t>Company</t>
        </is>
      </c>
      <c r="B5" s="237" t="inlineStr">
        <is>
          <t>Year</t>
        </is>
      </c>
      <c r="C5" s="237" t="inlineStr">
        <is>
          <t>dRev ($B)</t>
        </is>
      </c>
      <c r="D5" s="237" t="inlineStr">
        <is>
          <t>dD&amp;A ($B)</t>
        </is>
      </c>
      <c r="E5" s="237" t="inlineStr">
        <is>
          <t>D&amp;A Absorbs
% of dRev</t>
        </is>
      </c>
      <c r="F5" s="237" t="inlineStr">
        <is>
          <t>dOpInc ($B)</t>
        </is>
      </c>
      <c r="G5" s="237" t="inlineStr">
        <is>
          <t>OI Captures
% of dRev</t>
        </is>
      </c>
      <c r="H5" s="237" t="inlineStr">
        <is>
          <t>Margin
Direction</t>
        </is>
      </c>
      <c r="I5" s="237" t="inlineStr">
        <is>
          <t>Analyst Assumption</t>
        </is>
      </c>
    </row>
    <row r="6" ht="21.75" customHeight="1" s="197">
      <c r="A6" s="280" t="inlineStr">
        <is>
          <t>MSFT</t>
        </is>
      </c>
      <c r="B6" s="331" t="inlineStr">
        <is>
          <t>2026E</t>
        </is>
      </c>
      <c r="C6" s="272" t="n">
        <v>48</v>
      </c>
      <c r="D6" s="272" t="n">
        <v>12</v>
      </c>
      <c r="E6" s="332" t="inlineStr">
        <is>
          <t>24%</t>
        </is>
      </c>
      <c r="F6" s="272" t="n">
        <v>25</v>
      </c>
      <c r="G6" s="331" t="inlineStr">
        <is>
          <t>52%</t>
        </is>
      </c>
      <c r="H6" s="332" t="inlineStr">
        <is>
          <t>Expand</t>
        </is>
      </c>
      <c r="I6" s="333" t="inlineStr">
        <is>
          <t>Azure +40% sustains; cloud mix shift to higher-margin AI copilot</t>
        </is>
      </c>
    </row>
    <row r="7" ht="21.75" customHeight="1" s="197">
      <c r="A7" s="280" t="inlineStr">
        <is>
          <t>MSFT</t>
        </is>
      </c>
      <c r="B7" s="331" t="inlineStr">
        <is>
          <t>2027E</t>
        </is>
      </c>
      <c r="C7" s="272" t="n">
        <v>58</v>
      </c>
      <c r="D7" s="272" t="n">
        <v>23</v>
      </c>
      <c r="E7" s="334" t="inlineStr">
        <is>
          <t>40%</t>
        </is>
      </c>
      <c r="F7" s="272" t="n">
        <v>26</v>
      </c>
      <c r="G7" s="331" t="inlineStr">
        <is>
          <t>45%</t>
        </is>
      </c>
      <c r="H7" s="332" t="inlineStr">
        <is>
          <t>Flat</t>
        </is>
      </c>
      <c r="I7" s="333" t="inlineStr">
        <is>
          <t>Rev growth +17.5% just offsets D&amp;A wave; margin flat at 46%</t>
        </is>
      </c>
    </row>
    <row r="8" ht="21.75" customHeight="1" s="197">
      <c r="A8" s="280" t="inlineStr">
        <is>
          <t>AMZN</t>
        </is>
      </c>
      <c r="B8" s="331" t="inlineStr">
        <is>
          <t>2026E</t>
        </is>
      </c>
      <c r="C8" s="272" t="n">
        <v>111</v>
      </c>
      <c r="D8" s="272" t="n">
        <v>15</v>
      </c>
      <c r="E8" s="332" t="inlineStr">
        <is>
          <t>14%</t>
        </is>
      </c>
      <c r="F8" s="272" t="n">
        <v>29</v>
      </c>
      <c r="G8" s="331" t="inlineStr">
        <is>
          <t>26%</t>
        </is>
      </c>
      <c r="H8" s="332" t="inlineStr">
        <is>
          <t>Expand</t>
        </is>
      </c>
      <c r="I8" s="333" t="inlineStr">
        <is>
          <t>AWS reaccel to +33%; ads +20%; retail efficiency gains</t>
        </is>
      </c>
    </row>
    <row r="9" ht="21.75" customHeight="1" s="197">
      <c r="A9" s="280" t="inlineStr">
        <is>
          <t>AMZN</t>
        </is>
      </c>
      <c r="B9" s="331" t="inlineStr">
        <is>
          <t>2027E</t>
        </is>
      </c>
      <c r="C9" s="272" t="n">
        <v>119</v>
      </c>
      <c r="D9" s="272" t="n">
        <v>10</v>
      </c>
      <c r="E9" s="332" t="inlineStr">
        <is>
          <t>8%</t>
        </is>
      </c>
      <c r="F9" s="272" t="n">
        <v>37</v>
      </c>
      <c r="G9" s="331" t="inlineStr">
        <is>
          <t>31%</t>
        </is>
      </c>
      <c r="H9" s="332" t="inlineStr">
        <is>
          <t>Expand</t>
        </is>
      </c>
      <c r="I9" s="333" t="inlineStr">
        <is>
          <t>D&amp;A growth briefly pauses (capex front-loaded); AWS margin expands</t>
        </is>
      </c>
    </row>
    <row r="10" ht="21.75" customHeight="1" s="197">
      <c r="A10" s="280" t="inlineStr">
        <is>
          <t>GOOGL</t>
        </is>
      </c>
      <c r="B10" s="331" t="inlineStr">
        <is>
          <t>2026E</t>
        </is>
      </c>
      <c r="C10" s="272" t="n">
        <v>85</v>
      </c>
      <c r="D10" s="272" t="n">
        <v>22</v>
      </c>
      <c r="E10" s="332" t="inlineStr">
        <is>
          <t>25%</t>
        </is>
      </c>
      <c r="F10" s="272" t="n">
        <v>38</v>
      </c>
      <c r="G10" s="331" t="inlineStr">
        <is>
          <t>45%</t>
        </is>
      </c>
      <c r="H10" s="332" t="inlineStr">
        <is>
          <t>Expand</t>
        </is>
      </c>
      <c r="I10" s="333" t="inlineStr">
        <is>
          <t>Cloud +69% inflection; Search +15%; YouTube +9%</t>
        </is>
      </c>
    </row>
    <row r="11" ht="21.75" customHeight="1" s="197">
      <c r="A11" s="280" t="inlineStr">
        <is>
          <t>GOOGL</t>
        </is>
      </c>
      <c r="B11" s="331" t="inlineStr">
        <is>
          <t>2027E</t>
        </is>
      </c>
      <c r="C11" s="272" t="n">
        <v>104</v>
      </c>
      <c r="D11" s="272" t="n">
        <v>27</v>
      </c>
      <c r="E11" s="332" t="inlineStr">
        <is>
          <t>26%</t>
        </is>
      </c>
      <c r="F11" s="272" t="n">
        <v>43</v>
      </c>
      <c r="G11" s="331" t="inlineStr">
        <is>
          <t>41%</t>
        </is>
      </c>
      <c r="H11" s="332" t="inlineStr">
        <is>
          <t>Expand</t>
        </is>
      </c>
      <c r="I11" s="333" t="inlineStr">
        <is>
          <t>Cloud margin 30%+ fully kicks in; but NI hit by equity gain reversal</t>
        </is>
      </c>
    </row>
    <row r="12" ht="21.75" customHeight="1" s="197">
      <c r="A12" s="280" t="inlineStr">
        <is>
          <t>META</t>
        </is>
      </c>
      <c r="B12" s="331" t="inlineStr">
        <is>
          <t>2026E</t>
        </is>
      </c>
      <c r="C12" s="272" t="n">
        <v>54</v>
      </c>
      <c r="D12" s="272" t="n">
        <v>17</v>
      </c>
      <c r="E12" s="252" t="inlineStr">
        <is>
          <t>32%</t>
        </is>
      </c>
      <c r="F12" s="272" t="n">
        <v>7</v>
      </c>
      <c r="G12" s="331" t="inlineStr">
        <is>
          <t>13%</t>
        </is>
      </c>
      <c r="H12" s="334" t="inlineStr">
        <is>
          <t>Compress</t>
        </is>
      </c>
      <c r="I12" s="333" t="inlineStr">
        <is>
          <t>D&amp;A +93% swamps rev growth; OpMargin 42%-&gt;35.5%. EPS still +42% on base effect</t>
        </is>
      </c>
    </row>
    <row r="13" ht="21.75" customHeight="1" s="197">
      <c r="A13" s="280" t="inlineStr">
        <is>
          <t>META</t>
        </is>
      </c>
      <c r="B13" s="331" t="inlineStr">
        <is>
          <t>2027E</t>
        </is>
      </c>
      <c r="C13" s="272" t="n">
        <v>51</v>
      </c>
      <c r="D13" s="272" t="n">
        <v>21</v>
      </c>
      <c r="E13" s="334" t="inlineStr">
        <is>
          <t>40%</t>
        </is>
      </c>
      <c r="F13" s="272" t="n">
        <v>14</v>
      </c>
      <c r="G13" s="331" t="inlineStr">
        <is>
          <t>27%</t>
        </is>
      </c>
      <c r="H13" s="334" t="inlineStr">
        <is>
          <t>Compress</t>
        </is>
      </c>
      <c r="I13" s="333" t="inlineStr">
        <is>
          <t>D&amp;A keeps accelerating; OpMargin 34%; EPS only +5%</t>
        </is>
      </c>
    </row>
    <row r="14" ht="21.75" customHeight="1" s="197">
      <c r="A14" s="280" t="inlineStr">
        <is>
          <t>ORCL</t>
        </is>
      </c>
      <c r="B14" s="331" t="inlineStr">
        <is>
          <t>2026E</t>
        </is>
      </c>
      <c r="C14" s="272" t="n">
        <v>10</v>
      </c>
      <c r="D14" s="272" t="n">
        <v>4</v>
      </c>
      <c r="E14" s="252" t="inlineStr">
        <is>
          <t>37%</t>
        </is>
      </c>
      <c r="F14" s="272" t="n">
        <v>2</v>
      </c>
      <c r="G14" s="331" t="inlineStr">
        <is>
          <t>18%</t>
        </is>
      </c>
      <c r="H14" s="334" t="inlineStr">
        <is>
          <t>Compress</t>
        </is>
      </c>
      <c r="I14" s="333" t="inlineStr">
        <is>
          <t>OCI rev +76% but D&amp;A+interest eat most of it; margin 31%-&gt;29%</t>
        </is>
      </c>
    </row>
    <row r="15" ht="21.75" customHeight="1" s="197">
      <c r="A15" s="280" t="inlineStr">
        <is>
          <t>ORCL</t>
        </is>
      </c>
      <c r="B15" s="331" t="inlineStr">
        <is>
          <t>2027E</t>
        </is>
      </c>
      <c r="C15" s="272" t="n">
        <v>21</v>
      </c>
      <c r="D15" s="272" t="n">
        <v>9</v>
      </c>
      <c r="E15" s="334" t="inlineStr">
        <is>
          <t>44%</t>
        </is>
      </c>
      <c r="F15" s="272" t="n">
        <v>2</v>
      </c>
      <c r="G15" s="331" t="inlineStr">
        <is>
          <t>8%</t>
        </is>
      </c>
      <c r="H15" s="335" t="inlineStr">
        <is>
          <t>Collapse</t>
        </is>
      </c>
      <c r="I15" s="333" t="inlineStr">
        <is>
          <t>D&amp;A +125% ($17B) destroys margins; EPS DECLINES -16.4%</t>
        </is>
      </c>
    </row>
    <row r="17" ht="15" customHeight="1" s="197">
      <c r="A17" s="219" t="inlineStr">
        <is>
          <t>B. The Famine Analogy: Scarcity-Driven Demand vs Profit-Driven Demand</t>
        </is>
      </c>
    </row>
    <row r="18" ht="39.75" customHeight="1" s="197">
      <c r="A18" s="336" t="inlineStr">
        <is>
          <t>Your Insight</t>
        </is>
      </c>
      <c r="B18" s="337" t="inlineStr">
        <is>
          <t>If food only feeds 80% of people, prices spike until 20% die (or stop bidding). GPU demand follows the same logic: scarcity drives pricing, not ROI.</t>
        </is>
      </c>
      <c r="C18" s="251" t="n"/>
      <c r="D18" s="251" t="n"/>
      <c r="E18" s="251" t="n"/>
      <c r="F18" s="251" t="n"/>
      <c r="G18" s="251" t="n"/>
      <c r="H18" s="251" t="n"/>
      <c r="I18" s="251" t="n"/>
    </row>
    <row r="19" ht="39.75" customHeight="1" s="197">
      <c r="A19" s="338" t="inlineStr">
        <is>
          <t>Current State
(2025-2026)</t>
        </is>
      </c>
      <c r="B19" s="337" t="inlineStr">
        <is>
          <t>Every tech giant is hoarding GPUs out of fear of being left behind — not because each GPU generates positive ROI today. This is FOMO-driven procurement, like wartime grain hoarding. H100 resale prices have NOT declined because demand &gt; supply.</t>
        </is>
      </c>
      <c r="C19" s="251" t="n"/>
      <c r="D19" s="251" t="n"/>
      <c r="E19" s="251" t="n"/>
      <c r="F19" s="251" t="n"/>
      <c r="G19" s="251" t="n"/>
      <c r="H19" s="251" t="n"/>
      <c r="I19" s="251" t="n"/>
    </row>
    <row r="20" ht="39.75" customHeight="1" s="197">
      <c r="A20" s="338" t="inlineStr">
        <is>
          <t>Evidence of
FOMO Buying</t>
        </is>
      </c>
      <c r="B20" s="337" t="inlineStr">
        <is>
          <t>META has 1.3M GPUs but zero external AI revenue — all GPUs serve internal ad targeting. ORCL is spending 77% of revenue on capex for contracts with OpenAI that may never be profitable. Hyperscalers are spending 100% of CFO on capex.</t>
        </is>
      </c>
      <c r="C20" s="251" t="n"/>
      <c r="D20" s="251" t="n"/>
      <c r="E20" s="251" t="n"/>
      <c r="F20" s="251" t="n"/>
      <c r="G20" s="251" t="n"/>
      <c r="H20" s="251" t="n"/>
      <c r="I20" s="251" t="n"/>
    </row>
    <row r="21" ht="39.75" customHeight="1" s="197">
      <c r="A21" s="339" t="inlineStr">
        <is>
          <t>The Key Question</t>
        </is>
      </c>
      <c r="B21" s="337" t="inlineStr">
        <is>
          <t>What happens when supply catches up with demand? GPU scarcity = high prices = high margins for NVDA. But: (1) NVDA ships Blackwell at 2-3x volume; (2) AMD MI300/400 gains share; (3) custom chips (TPU, Trainium, Inferentia) scale. When the famine ends, prices collapse.</t>
        </is>
      </c>
      <c r="C21" s="251" t="n"/>
      <c r="D21" s="251" t="n"/>
      <c r="E21" s="251" t="n"/>
      <c r="F21" s="251" t="n"/>
      <c r="G21" s="251" t="n"/>
      <c r="H21" s="251" t="n"/>
      <c r="I21" s="251" t="n"/>
    </row>
    <row r="22" ht="39.75" customHeight="1" s="197">
      <c r="A22" s="339" t="inlineStr">
        <is>
          <t>Historical Parallel</t>
        </is>
      </c>
      <c r="B22" s="337" t="inlineStr">
        <is>
          <t>Telecom 2000: fiber was scarce in 1998-99 → telcos paid any price → fiber glut by 2001 → 85% became 'dark fiber' → prices collapsed 90%. The question is not IF supply catches up, but WHEN.</t>
        </is>
      </c>
      <c r="C22" s="251" t="n"/>
      <c r="D22" s="251" t="n"/>
      <c r="E22" s="251" t="n"/>
      <c r="F22" s="251" t="n"/>
      <c r="G22" s="251" t="n"/>
      <c r="H22" s="251" t="n"/>
      <c r="I22" s="251" t="n"/>
    </row>
    <row r="24" ht="15" customHeight="1" s="197">
      <c r="A24" s="219" t="inlineStr">
        <is>
          <t>C. AI Revenue vs AI Capex: The Monetization Gap ($B)</t>
        </is>
      </c>
    </row>
    <row r="25" ht="15" customHeight="1" s="197">
      <c r="A25" s="201" t="inlineStr">
        <is>
          <t>Metric</t>
        </is>
      </c>
      <c r="B25" s="201" t="inlineStr">
        <is>
          <t>2023A</t>
        </is>
      </c>
      <c r="C25" s="201" t="inlineStr">
        <is>
          <t>2024A</t>
        </is>
      </c>
      <c r="D25" s="201" t="inlineStr">
        <is>
          <t>2025E</t>
        </is>
      </c>
      <c r="E25" s="201" t="inlineStr">
        <is>
          <t>2026E</t>
        </is>
      </c>
      <c r="F25" s="201" t="inlineStr">
        <is>
          <t>2027E</t>
        </is>
      </c>
      <c r="G25" s="201" t="inlineStr">
        <is>
          <t>Source</t>
        </is>
      </c>
    </row>
    <row r="26" ht="15" customHeight="1" s="197">
      <c r="A26" s="229" t="inlineStr">
        <is>
          <t>Hyperscaler AI Capex ($B)</t>
        </is>
      </c>
      <c r="B26" s="205" t="n">
        <v>154</v>
      </c>
      <c r="C26" s="205" t="n">
        <v>237</v>
      </c>
      <c r="D26" s="205" t="n">
        <v>412</v>
      </c>
      <c r="E26" s="205" t="n">
        <v>755</v>
      </c>
      <c r="F26" s="205" t="n">
        <v>892</v>
      </c>
      <c r="G26" s="340" t="inlineStr">
        <is>
          <t>Our model (5 cos)</t>
        </is>
      </c>
    </row>
    <row r="27" ht="18.75" customHeight="1" s="197">
      <c r="A27" s="229" t="inlineStr">
        <is>
          <t>NVDA Data Center Revenue ($B)</t>
        </is>
      </c>
      <c r="B27" s="205" t="n">
        <v>47</v>
      </c>
      <c r="C27" s="205" t="n">
        <v>115</v>
      </c>
      <c r="D27" s="205" t="n">
        <v>216</v>
      </c>
      <c r="E27" s="205" t="n">
        <v>300</v>
      </c>
      <c r="F27" s="205" t="n">
        <v>400</v>
      </c>
      <c r="G27" s="340" t="inlineStr">
        <is>
          <t>NVDA FY reports (shifted to CY)</t>
        </is>
      </c>
    </row>
    <row r="28" ht="18.75" customHeight="1" s="197">
      <c r="A28" s="229" t="inlineStr">
        <is>
          <t>Global Cloud AI Revenue ($B)</t>
        </is>
      </c>
      <c r="B28" s="341" t="n">
        <v>10</v>
      </c>
      <c r="C28" s="205" t="n">
        <v>20</v>
      </c>
      <c r="D28" s="205" t="n">
        <v>40</v>
      </c>
      <c r="E28" s="205" t="n">
        <v>70</v>
      </c>
      <c r="F28" s="205" t="n">
        <v>110</v>
      </c>
      <c r="G28" s="340" t="inlineStr">
        <is>
          <t>Synergy/Gartner est.</t>
        </is>
      </c>
    </row>
    <row r="29" ht="18.75" customHeight="1" s="197">
      <c r="A29" s="229" t="inlineStr">
        <is>
          <t>OpenAI Revenue ($B)</t>
        </is>
      </c>
      <c r="B29" s="342" t="n">
        <v>1.6</v>
      </c>
      <c r="C29" s="342" t="n">
        <v>3.7</v>
      </c>
      <c r="D29" s="205" t="n">
        <v>13</v>
      </c>
      <c r="E29" s="205" t="n">
        <v>25</v>
      </c>
      <c r="F29" s="205" t="n">
        <v>45</v>
      </c>
      <c r="G29" s="340" t="inlineStr">
        <is>
          <t>Sacra/press; $25B ARR Feb'26</t>
        </is>
      </c>
    </row>
    <row r="30" ht="18.75" customHeight="1" s="197">
      <c r="A30" s="229" t="inlineStr">
        <is>
          <t>Anthropic Revenue ($B)</t>
        </is>
      </c>
      <c r="B30" s="342" t="n">
        <v>0.2</v>
      </c>
      <c r="C30" s="342" t="n">
        <v>0.9</v>
      </c>
      <c r="D30" s="341" t="n">
        <v>4</v>
      </c>
      <c r="E30" s="205" t="n">
        <v>30</v>
      </c>
      <c r="F30" s="205" t="n">
        <v>50</v>
      </c>
      <c r="G30" s="340" t="inlineStr">
        <is>
          <t>Sacra; $30B ARR Apr'26</t>
        </is>
      </c>
    </row>
    <row r="31" ht="18.75" customHeight="1" s="197">
      <c r="A31" s="229" t="inlineStr">
        <is>
          <t>Total AI End-User Revenue ($B)</t>
        </is>
      </c>
      <c r="B31" s="205" t="n">
        <v>15</v>
      </c>
      <c r="C31" s="205" t="n">
        <v>30</v>
      </c>
      <c r="D31" s="205" t="n">
        <v>65</v>
      </c>
      <c r="E31" s="205" t="n">
        <v>140</v>
      </c>
      <c r="F31" s="205" t="n">
        <v>230</v>
      </c>
      <c r="G31" s="340" t="inlineStr">
        <is>
          <t>Cloud AI + AI lab + enterprise</t>
        </is>
      </c>
    </row>
    <row r="32" ht="15" customHeight="1" s="197">
      <c r="A32" s="229" t="inlineStr">
        <is>
          <t>Capex / AI Revenue Ratio</t>
        </is>
      </c>
      <c r="B32" s="205" t="n">
        <v>10.3</v>
      </c>
      <c r="C32" s="342" t="n">
        <v>7.9</v>
      </c>
      <c r="D32" s="342" t="n">
        <v>6.3</v>
      </c>
      <c r="E32" s="342" t="n">
        <v>5.4</v>
      </c>
      <c r="F32" s="342" t="n">
        <v>3.9</v>
      </c>
      <c r="G32" s="340" t="inlineStr">
        <is>
          <t>Hyperscaler capex / end-user rev</t>
        </is>
      </c>
    </row>
    <row r="33" ht="27.75" customHeight="1" s="197">
      <c r="A33" s="229" t="inlineStr">
        <is>
          <t>NVDA Gross Margin %</t>
        </is>
      </c>
      <c r="B33" s="341" t="inlineStr">
        <is>
          <t>73%</t>
        </is>
      </c>
      <c r="C33" s="341" t="inlineStr">
        <is>
          <t>75%</t>
        </is>
      </c>
      <c r="D33" s="341" t="inlineStr">
        <is>
          <t>73%</t>
        </is>
      </c>
      <c r="E33" s="341" t="inlineStr">
        <is>
          <t>70%</t>
        </is>
      </c>
      <c r="F33" s="341" t="inlineStr">
        <is>
          <t>65%</t>
        </is>
      </c>
      <c r="G33" s="340" t="inlineStr">
        <is>
          <t>NVDA reports; compress as competition</t>
        </is>
      </c>
    </row>
    <row r="35" ht="36" customHeight="1" s="197">
      <c r="A35" s="343" t="inlineStr">
        <is>
          <t>Key: $755B capex chasing ~$140B of AI end-user revenue in 2026E = 5.4x ratio. For every $1 of AI revenue, $5.4 is being spent on infrastructure. This ratio MUST compress to &lt;2x for the cycle to be sustainable.</t>
        </is>
      </c>
      <c r="B35" s="251" t="n"/>
      <c r="C35" s="251" t="n"/>
      <c r="D35" s="251" t="n"/>
      <c r="E35" s="251" t="n"/>
      <c r="F35" s="251" t="n"/>
      <c r="G35" s="251" t="n"/>
      <c r="H35" s="251" t="n"/>
      <c r="I35" s="251" t="n"/>
      <c r="J35" s="251" t="n"/>
    </row>
    <row r="37" ht="15" customHeight="1" s="197">
      <c r="A37" s="219" t="inlineStr">
        <is>
          <t>D. What If Models Commoditize? The Price War Scenario</t>
        </is>
      </c>
    </row>
    <row r="38" ht="48" customHeight="1" s="197">
      <c r="A38" s="344" t="inlineStr">
        <is>
          <t>Current State
(May 2026)</t>
        </is>
      </c>
      <c r="B38" s="337" t="inlineStr">
        <is>
          <t>Models are differentiating but converging. GPT-4o, Claude 4, Gemini 2.5, Llama 4 all score within 5% on MMLU/HumanEval. API pricing already falling: GPT-4 input went from $30/Mtok (Mar'24) to $2.50 (May'26) = -92% in 2 years.</t>
        </is>
      </c>
      <c r="C38" s="251" t="n"/>
      <c r="D38" s="251" t="n"/>
      <c r="E38" s="251" t="n"/>
      <c r="F38" s="251" t="n"/>
      <c r="G38" s="251" t="n"/>
      <c r="H38" s="251" t="n"/>
      <c r="I38" s="251" t="n"/>
    </row>
    <row r="39" ht="48" customHeight="1" s="197">
      <c r="A39" s="338" t="inlineStr">
        <is>
          <t>Price War
Trigger</t>
        </is>
      </c>
      <c r="B39" s="337" t="inlineStr">
        <is>
          <t>Open-source (Llama, Mistral, DeepSeek) closes the gap. If Llama 5 matches GPT-5 at 1/10 the cost, enterprise customers shift to self-hosted → cloud AI margin collapses → hyperscaler capex ROI craters.</t>
        </is>
      </c>
      <c r="C39" s="251" t="n"/>
      <c r="D39" s="251" t="n"/>
      <c r="E39" s="251" t="n"/>
      <c r="F39" s="251" t="n"/>
      <c r="G39" s="251" t="n"/>
      <c r="H39" s="251" t="n"/>
      <c r="I39" s="251" t="n"/>
    </row>
    <row r="40" ht="48" customHeight="1" s="197">
      <c r="A40" s="339" t="inlineStr">
        <is>
          <t>Who Gets Hurt</t>
        </is>
      </c>
      <c r="B40" s="337" t="inlineStr">
        <is>
          <t>ORCL (77% Capex/Rev, single customer OpenAI) → existential. META (all internal, ad ROI must justify $140B capex). AMZN (Anthropic exposure + AWS margin pressure). MSFT partially insulated via Copilot enterprise lock-in.</t>
        </is>
      </c>
      <c r="C40" s="251" t="n"/>
      <c r="D40" s="251" t="n"/>
      <c r="E40" s="251" t="n"/>
      <c r="F40" s="251" t="n"/>
      <c r="G40" s="251" t="n"/>
      <c r="H40" s="251" t="n"/>
      <c r="I40" s="251" t="n"/>
    </row>
    <row r="41" ht="48" customHeight="1" s="197">
      <c r="A41" s="336" t="inlineStr">
        <is>
          <t>Who Survives</t>
        </is>
      </c>
      <c r="B41" s="337" t="inlineStr">
        <is>
          <t>GOOGL (owns TPU + largest search moat + Anthropic hedge). MSFT (enterprise lock-in + diversified cloud). NVDA hurt on margins but not existentially (still the picks-and-shovels play).</t>
        </is>
      </c>
      <c r="C41" s="251" t="n"/>
      <c r="D41" s="251" t="n"/>
      <c r="E41" s="251" t="n"/>
      <c r="F41" s="251" t="n"/>
      <c r="G41" s="251" t="n"/>
      <c r="H41" s="251" t="n"/>
      <c r="I41" s="251" t="n"/>
    </row>
    <row r="42" ht="48" customHeight="1" s="197">
      <c r="A42" s="338" t="inlineStr">
        <is>
          <t>Inference Cost
Trajectory</t>
        </is>
      </c>
      <c r="B42" s="337" t="inlineStr">
        <is>
          <t>NVDA Blackwell: 4x inference throughput vs Hopper at same power. This DEFLATES inference cost per token. Good for users, bad for GPU ASP. If inference cost drops 50%/yr (historical trend), by 2028 most workloads run profitably on 2-year-old hardware.</t>
        </is>
      </c>
      <c r="C42" s="251" t="n"/>
      <c r="D42" s="251" t="n"/>
      <c r="E42" s="251" t="n"/>
      <c r="F42" s="251" t="n"/>
      <c r="G42" s="251" t="n"/>
      <c r="H42" s="251" t="n"/>
      <c r="I42" s="251" t="n"/>
    </row>
    <row r="43" ht="48" customHeight="1" s="197">
      <c r="A43" s="339" t="inlineStr">
        <is>
          <t>Endgame
(2028-2030)</t>
        </is>
      </c>
      <c r="B43" s="337" t="inlineStr">
        <is>
          <t>Two possible equilibria: (A) 3-4 surviving AI platforms (like cloud: AWS/Azure/GCP) with 30-40% margins; or (B) commoditized inference (like bandwidth post-2000) with 5-10% margins. The difference determines $3T vs $500B of total market value.</t>
        </is>
      </c>
      <c r="C43" s="251" t="n"/>
      <c r="D43" s="251" t="n"/>
      <c r="E43" s="251" t="n"/>
      <c r="F43" s="251" t="n"/>
      <c r="G43" s="251" t="n"/>
      <c r="H43" s="251" t="n"/>
      <c r="I43" s="251" t="n"/>
    </row>
    <row r="45" ht="15" customHeight="1" s="197">
      <c r="A45" s="219" t="inlineStr">
        <is>
          <t>E. How This Story Evolves: 3 Paths + Valuation Implications</t>
        </is>
      </c>
    </row>
    <row r="46" ht="24" customHeight="1" s="197">
      <c r="A46" s="345" t="inlineStr">
        <is>
          <t>Path 1: AI = New Internet
(Bull, P=30%)</t>
        </is>
      </c>
      <c r="B46" s="251" t="n"/>
      <c r="C46" s="251" t="n"/>
      <c r="D46" s="251" t="n"/>
      <c r="E46" s="251" t="n"/>
      <c r="F46" s="251" t="n"/>
      <c r="G46" s="251" t="n"/>
      <c r="H46" s="251" t="n"/>
      <c r="I46" s="251" t="n"/>
      <c r="J46" s="251" t="n"/>
    </row>
    <row r="47" ht="60" customHeight="1" s="197">
      <c r="A47" s="346" t="inlineStr">
        <is>
          <t>Story</t>
        </is>
      </c>
      <c r="B47" s="337" t="inlineStr">
        <is>
          <t>Agents work. Enterprise ROI validates within 12 months. Inference demand grows 100%+/yr. AI revenue reaches $500B by 2029.
Capex/AI Rev ratio compresses to 2x naturally. NVDA margin holds at 60%+. GPU supply stays tight.
Hyperscaler EPS growth 15-20%/yr through 2030. S&amp;P 500 AI EPS grows from $29 to $80+.</t>
        </is>
      </c>
      <c r="C47" s="251" t="n"/>
      <c r="D47" s="251" t="n"/>
      <c r="E47" s="251" t="n"/>
      <c r="F47" s="251" t="n"/>
      <c r="G47" s="251" t="n"/>
      <c r="H47" s="251" t="n"/>
      <c r="I47" s="251" t="n"/>
    </row>
    <row r="48" ht="48" customHeight="1" s="197">
      <c r="A48" s="346" t="inlineStr">
        <is>
          <t>Valuation Impact</t>
        </is>
      </c>
      <c r="B48" s="347" t="inlineStr">
        <is>
          <t>S&amp;P 500: 8,000-9,000 by YE2027
NVDA: $250+ (40x fwd)
Hyperscalers: 25-30x fwd PE
Key signal: AWS/Azure AI revenue &gt;$30B/qtr by Q4 2026</t>
        </is>
      </c>
      <c r="C48" s="251" t="n"/>
      <c r="D48" s="251" t="n"/>
      <c r="E48" s="251" t="n"/>
      <c r="F48" s="251" t="n"/>
      <c r="G48" s="251" t="n"/>
      <c r="H48" s="251" t="n"/>
      <c r="I48" s="251" t="n"/>
    </row>
    <row r="50" ht="24" customHeight="1" s="197">
      <c r="A50" s="348" t="inlineStr">
        <is>
          <t>Path 2: AI = Mobile
(Base, P=45%)</t>
        </is>
      </c>
      <c r="B50" s="251" t="n"/>
      <c r="C50" s="251" t="n"/>
      <c r="D50" s="251" t="n"/>
      <c r="E50" s="251" t="n"/>
      <c r="F50" s="251" t="n"/>
      <c r="G50" s="251" t="n"/>
      <c r="H50" s="251" t="n"/>
      <c r="I50" s="251" t="n"/>
      <c r="J50" s="251" t="n"/>
    </row>
    <row r="51" ht="60" customHeight="1" s="197">
      <c r="A51" s="346" t="inlineStr">
        <is>
          <t>Story</t>
        </is>
      </c>
      <c r="B51" s="337" t="inlineStr">
        <is>
          <t>AI is real but slower to monetize than expected. Agents take 3-5 years, not 1-2. Revenue grows 40-50%/yr but capex grows 20-30%.
Capex/AI Rev ratio compresses slowly to 3x by 2028. NVDA margin compresses to 55-60%. Some GPU oversupply by 2028.
Hyperscaler EPS growth decelerates to 8-12%. D&amp;A wave hits 2027-28. Some write-downs at ORCL.</t>
        </is>
      </c>
      <c r="C51" s="251" t="n"/>
      <c r="D51" s="251" t="n"/>
      <c r="E51" s="251" t="n"/>
      <c r="F51" s="251" t="n"/>
      <c r="G51" s="251" t="n"/>
      <c r="H51" s="251" t="n"/>
      <c r="I51" s="251" t="n"/>
    </row>
    <row r="52" ht="48" customHeight="1" s="197">
      <c r="A52" s="346" t="inlineStr">
        <is>
          <t>Valuation Impact</t>
        </is>
      </c>
      <c r="B52" s="347" t="inlineStr">
        <is>
          <t>S&amp;P 500: 6,500-7,500 by YE2027 (range-bound)
NVDA: $150-180 (25x fwd, margin compression)
MSFT/GOOGL hold; ORCL -30-40%; META flat
Key signal: inference token price drops &gt;50%/yr</t>
        </is>
      </c>
      <c r="C52" s="251" t="n"/>
      <c r="D52" s="251" t="n"/>
      <c r="E52" s="251" t="n"/>
      <c r="F52" s="251" t="n"/>
      <c r="G52" s="251" t="n"/>
      <c r="H52" s="251" t="n"/>
      <c r="I52" s="251" t="n"/>
    </row>
    <row r="54" ht="24" customHeight="1" s="197">
      <c r="A54" s="349" t="inlineStr">
        <is>
          <t>Path 3: AI = Fiber Optic
(Bear, P=25%)</t>
        </is>
      </c>
      <c r="B54" s="251" t="n"/>
      <c r="C54" s="251" t="n"/>
      <c r="D54" s="251" t="n"/>
      <c r="E54" s="251" t="n"/>
      <c r="F54" s="251" t="n"/>
      <c r="G54" s="251" t="n"/>
      <c r="H54" s="251" t="n"/>
      <c r="I54" s="251" t="n"/>
      <c r="J54" s="251" t="n"/>
    </row>
    <row r="55" ht="60" customHeight="1" s="197">
      <c r="A55" s="346" t="inlineStr">
        <is>
          <t>Story</t>
        </is>
      </c>
      <c r="B55" s="337" t="inlineStr">
        <is>
          <t>Models commoditize. Open-source closes gap. Enterprise ROI disappoints. Price war destroys cloud AI margins.
Capex/AI Rev ratio NEVER compresses below 4x. NVDA margin drops to 45%. GPU glut by 2027 (like dark fiber).
OpenAI/Anthropic funding stress. Hyperscaler write-downs $50-100B. ORCL credit event.</t>
        </is>
      </c>
      <c r="C55" s="251" t="n"/>
      <c r="D55" s="251" t="n"/>
      <c r="E55" s="251" t="n"/>
      <c r="F55" s="251" t="n"/>
      <c r="G55" s="251" t="n"/>
      <c r="H55" s="251" t="n"/>
      <c r="I55" s="251" t="n"/>
    </row>
    <row r="56" ht="48" customHeight="1" s="197">
      <c r="A56" s="346" t="inlineStr">
        <is>
          <t>Valuation Impact</t>
        </is>
      </c>
      <c r="B56" s="347" t="inlineStr">
        <is>
          <t>S&amp;P 500: 5,000-5,500 by YE2027 (-25-30%)
NVDA: $80-100 (15x fwd, margin + growth collapse)
ORCL: -60%+; AMZN write-down $30-50B; META capex reversal
Key signal: secondary GPU market price -40%+</t>
        </is>
      </c>
      <c r="C56" s="251" t="n"/>
      <c r="D56" s="251" t="n"/>
      <c r="E56" s="251" t="n"/>
      <c r="F56" s="251" t="n"/>
      <c r="G56" s="251" t="n"/>
      <c r="H56" s="251" t="n"/>
      <c r="I56" s="251" t="n"/>
    </row>
    <row r="58" ht="15" customHeight="1" s="197">
      <c r="A58" s="219" t="inlineStr">
        <is>
          <t>F. The Single Metric That Will Decide Everything</t>
        </is>
      </c>
    </row>
    <row r="59" ht="27.75" customHeight="1" s="197">
      <c r="A59" s="350" t="inlineStr">
        <is>
          <t>Capex / AI End-User Revenue Ratio. Currently 5.4x. Must reach &lt;2x for sustainability.</t>
        </is>
      </c>
      <c r="B59" s="251" t="n"/>
      <c r="C59" s="251" t="n"/>
      <c r="D59" s="251" t="n"/>
      <c r="E59" s="251" t="n"/>
      <c r="F59" s="251" t="n"/>
      <c r="G59" s="251" t="n"/>
      <c r="H59" s="251" t="n"/>
      <c r="I59" s="251" t="n"/>
      <c r="J59" s="251" t="n"/>
    </row>
    <row r="60" ht="15" customHeight="1" s="197">
      <c r="A60" s="252" t="inlineStr">
        <is>
          <t>2023A</t>
        </is>
      </c>
      <c r="B60" s="351" t="inlineStr">
        <is>
          <t>10.3x</t>
        </is>
      </c>
      <c r="C60" s="352" t="inlineStr">
        <is>
          <t>Famine mode: all spending, minimal revenue</t>
        </is>
      </c>
      <c r="D60" s="251" t="n"/>
      <c r="E60" s="251" t="n"/>
      <c r="F60" s="251" t="n"/>
      <c r="G60" s="353" t="inlineStr">
        <is>
          <t>Pre-ChatGPT-enterprise era</t>
        </is>
      </c>
      <c r="H60" s="251" t="n"/>
      <c r="I60" s="251" t="n"/>
    </row>
    <row r="61" ht="15" customHeight="1" s="197">
      <c r="A61" s="252" t="inlineStr">
        <is>
          <t>2024A</t>
        </is>
      </c>
      <c r="B61" s="351" t="inlineStr">
        <is>
          <t>7.9x</t>
        </is>
      </c>
      <c r="C61" s="352" t="inlineStr">
        <is>
          <t>Still extreme but improving</t>
        </is>
      </c>
      <c r="D61" s="251" t="n"/>
      <c r="E61" s="251" t="n"/>
      <c r="F61" s="251" t="n"/>
      <c r="G61" s="353" t="inlineStr">
        <is>
          <t>Enterprise pilots starting</t>
        </is>
      </c>
      <c r="H61" s="251" t="n"/>
      <c r="I61" s="251" t="n"/>
    </row>
    <row r="62" ht="15" customHeight="1" s="197">
      <c r="A62" s="252" t="inlineStr">
        <is>
          <t>2025E</t>
        </is>
      </c>
      <c r="B62" s="351" t="inlineStr">
        <is>
          <t>6.3x</t>
        </is>
      </c>
      <c r="C62" s="352" t="inlineStr">
        <is>
          <t>Improving on revenue acceleration</t>
        </is>
      </c>
      <c r="D62" s="251" t="n"/>
      <c r="E62" s="251" t="n"/>
      <c r="F62" s="251" t="n"/>
      <c r="G62" s="353" t="inlineStr">
        <is>
          <t>Cloud AI reaches $40B</t>
        </is>
      </c>
      <c r="H62" s="251" t="n"/>
      <c r="I62" s="251" t="n"/>
    </row>
    <row r="63" ht="15" customHeight="1" s="197">
      <c r="A63" s="252" t="inlineStr">
        <is>
          <t>2026E</t>
        </is>
      </c>
      <c r="B63" s="351" t="inlineStr">
        <is>
          <t>5.4x</t>
        </is>
      </c>
      <c r="C63" s="352" t="inlineStr">
        <is>
          <t>Bull narrative: 'it's compressing!'</t>
        </is>
      </c>
      <c r="D63" s="251" t="n"/>
      <c r="E63" s="251" t="n"/>
      <c r="F63" s="251" t="n"/>
      <c r="G63" s="353" t="inlineStr">
        <is>
          <t>But still 5x+ is unsustainable long-term</t>
        </is>
      </c>
      <c r="H63" s="251" t="n"/>
      <c r="I63" s="251" t="n"/>
    </row>
    <row r="64" ht="15" customHeight="1" s="197">
      <c r="A64" s="252" t="inlineStr">
        <is>
          <t>2027E Bull</t>
        </is>
      </c>
      <c r="B64" s="354" t="inlineStr">
        <is>
          <t>3.0x</t>
        </is>
      </c>
      <c r="C64" s="352" t="inlineStr">
        <is>
          <t>If AI rev hits $300B</t>
        </is>
      </c>
      <c r="D64" s="251" t="n"/>
      <c r="E64" s="251" t="n"/>
      <c r="F64" s="251" t="n"/>
      <c r="G64" s="353" t="inlineStr">
        <is>
          <t>Agents work, inference explodes</t>
        </is>
      </c>
      <c r="H64" s="251" t="n"/>
      <c r="I64" s="251" t="n"/>
    </row>
    <row r="65" ht="15" customHeight="1" s="197">
      <c r="A65" s="252" t="inlineStr">
        <is>
          <t>2027E Base</t>
        </is>
      </c>
      <c r="B65" s="351" t="inlineStr">
        <is>
          <t>3.9x</t>
        </is>
      </c>
      <c r="C65" s="352" t="inlineStr">
        <is>
          <t>If AI rev hits $230B</t>
        </is>
      </c>
      <c r="D65" s="251" t="n"/>
      <c r="E65" s="251" t="n"/>
      <c r="F65" s="251" t="n"/>
      <c r="G65" s="353" t="inlineStr">
        <is>
          <t>Solid but not escape velocity</t>
        </is>
      </c>
      <c r="H65" s="251" t="n"/>
      <c r="I65" s="251" t="n"/>
    </row>
    <row r="66" ht="15" customHeight="1" s="197">
      <c r="A66" s="252" t="inlineStr">
        <is>
          <t>2027E Bear</t>
        </is>
      </c>
      <c r="B66" s="355" t="inlineStr">
        <is>
          <t>6.0x</t>
        </is>
      </c>
      <c r="C66" s="352" t="inlineStr">
        <is>
          <t>If AI rev stalls at $150B</t>
        </is>
      </c>
      <c r="D66" s="251" t="n"/>
      <c r="E66" s="251" t="n"/>
      <c r="F66" s="251" t="n"/>
      <c r="G66" s="353" t="inlineStr">
        <is>
          <t>Price war + slower enterprise adoption</t>
        </is>
      </c>
      <c r="H66" s="251" t="n"/>
      <c r="I66" s="251" t="n"/>
    </row>
    <row r="67" ht="15" customHeight="1" s="197">
      <c r="A67" s="252" t="inlineStr">
        <is>
          <t>Sustainable</t>
        </is>
      </c>
      <c r="B67" s="354" t="inlineStr">
        <is>
          <t>&lt;2.0x</t>
        </is>
      </c>
      <c r="C67" s="352" t="inlineStr">
        <is>
          <t>Cloud analogy: AWS capex/rev ~1.5x</t>
        </is>
      </c>
      <c r="D67" s="251" t="n"/>
      <c r="E67" s="251" t="n"/>
      <c r="F67" s="251" t="n"/>
      <c r="G67" s="353" t="inlineStr">
        <is>
          <t>This is where the cycle MUST converge</t>
        </is>
      </c>
      <c r="H67" s="251" t="n"/>
      <c r="I67" s="251" t="n"/>
    </row>
    <row r="69" ht="49.5" customHeight="1" s="197">
      <c r="A69" s="356" t="inlineStr">
        <is>
          <t>Bottom Line: The famine analogy is correct — companies are hoarding GPUs out of fear, not proven ROI. When supply normalizes (Blackwell volume + AMD + custom silicon by 2027-28), the pricing power evaporates. The winners will be those who converted GPU capex into recurring revenue (MSFT Copilot, GOOGL Cloud, AWS Bedrock) before the famine ends. Those who hoarded without monetizing (ORCL for OpenAI, META for internal ads) face the largest write-down risk.</t>
        </is>
      </c>
      <c r="B69" s="251" t="n"/>
      <c r="C69" s="251" t="n"/>
      <c r="D69" s="251" t="n"/>
      <c r="E69" s="251" t="n"/>
      <c r="F69" s="251" t="n"/>
      <c r="G69" s="251" t="n"/>
      <c r="H69" s="251" t="n"/>
      <c r="I69" s="251" t="n"/>
      <c r="J69" s="251" t="n"/>
    </row>
    <row r="72" ht="15" customHeight="1" s="197">
      <c r="A72" s="219" t="inlineStr">
        <is>
          <t>G. Open Source Correction: Does OSS Kill Hyperscaler Monetization?</t>
        </is>
      </c>
    </row>
    <row r="73" ht="27.75" customHeight="1" s="197">
      <c r="A73" s="357" t="inlineStr">
        <is>
          <t>Short answer: No. Open source hurts AI lab API margins, NOT hyperscaler infrastructure revenue. Every model — open or closed — needs compute to run.</t>
        </is>
      </c>
      <c r="B73" s="251" t="n"/>
      <c r="C73" s="251" t="n"/>
      <c r="D73" s="251" t="n"/>
      <c r="E73" s="251" t="n"/>
      <c r="F73" s="251" t="n"/>
      <c r="G73" s="251" t="n"/>
      <c r="H73" s="251" t="n"/>
      <c r="I73" s="251" t="n"/>
      <c r="J73" s="251" t="n"/>
    </row>
    <row r="74" ht="19.4" customHeight="1" s="197">
      <c r="A74" s="201" t="inlineStr">
        <is>
          <t>Layer</t>
        </is>
      </c>
      <c r="B74" s="201" t="inlineStr">
        <is>
          <t>Open Source Impact</t>
        </is>
      </c>
      <c r="C74" s="201" t="inlineStr">
        <is>
          <t>Verdict</t>
        </is>
      </c>
    </row>
    <row r="75" ht="27.75" customHeight="1" s="197">
      <c r="A75" s="346" t="inlineStr">
        <is>
          <t>GPU Makers (NVDA/AMD)</t>
        </is>
      </c>
      <c r="B75" s="337" t="inlineStr">
        <is>
          <t>Open source = more users = more GPUs needed</t>
        </is>
      </c>
      <c r="C75" s="251" t="n"/>
      <c r="D75" s="251" t="n"/>
      <c r="E75" s="251" t="n"/>
      <c r="F75" s="251" t="n"/>
      <c r="G75" s="251" t="n"/>
      <c r="H75" s="358" t="inlineStr">
        <is>
          <t>BENEFICIARY</t>
        </is>
      </c>
      <c r="I75" s="251" t="n"/>
    </row>
    <row r="76" ht="27.75" customHeight="1" s="197">
      <c r="A76" s="346" t="inlineStr">
        <is>
          <t>Cloud Infra (AWS/Azure/GCP)</t>
        </is>
      </c>
      <c r="B76" s="337" t="inlineStr">
        <is>
          <t>Open models run ON cloud infra. Llama on Bedrock = AWS revenue. Enterprise self-deploy = still rents GPU instances.</t>
        </is>
      </c>
      <c r="C76" s="251" t="n"/>
      <c r="D76" s="251" t="n"/>
      <c r="E76" s="251" t="n"/>
      <c r="F76" s="251" t="n"/>
      <c r="G76" s="251" t="n"/>
      <c r="H76" s="358" t="inlineStr">
        <is>
          <t>BENEFICIARY</t>
        </is>
      </c>
      <c r="I76" s="251" t="n"/>
    </row>
    <row r="77" ht="27.75" customHeight="1" s="197">
      <c r="A77" s="346" t="inlineStr">
        <is>
          <t>AI Lab API (OpenAI/Anthropic)</t>
        </is>
      </c>
      <c r="B77" s="337" t="inlineStr">
        <is>
          <t>Open source closes quality gap = API pricing power drops. GPT-4 input: $30/Mtok (Mar'24) -&gt; $2.50 (May'26) = -92%.</t>
        </is>
      </c>
      <c r="C77" s="251" t="n"/>
      <c r="D77" s="251" t="n"/>
      <c r="E77" s="251" t="n"/>
      <c r="F77" s="251" t="n"/>
      <c r="G77" s="251" t="n"/>
      <c r="H77" s="359" t="inlineStr">
        <is>
          <t>DAMAGED</t>
        </is>
      </c>
      <c r="I77" s="251" t="n"/>
    </row>
    <row r="78" ht="27.75" customHeight="1" s="197">
      <c r="A78" s="346" t="inlineStr">
        <is>
          <t>AI Lab Valuations</t>
        </is>
      </c>
      <c r="B78" s="337" t="inlineStr">
        <is>
          <t>If API margin compresses 33% -&gt; 10%, $850B OpenAI valuation is hard to justify. Funding pressure rises.</t>
        </is>
      </c>
      <c r="C78" s="251" t="n"/>
      <c r="D78" s="251" t="n"/>
      <c r="E78" s="251" t="n"/>
      <c r="F78" s="251" t="n"/>
      <c r="G78" s="251" t="n"/>
      <c r="H78" s="359" t="inlineStr">
        <is>
          <t>DAMAGED</t>
        </is>
      </c>
      <c r="I78" s="251" t="n"/>
    </row>
    <row r="79" ht="27.75" customHeight="1" s="197">
      <c r="A79" s="346" t="inlineStr">
        <is>
          <t>ORCL (OpenAI dependent)</t>
        </is>
      </c>
      <c r="B79" s="337" t="inlineStr">
        <is>
          <t>OpenAI funding stress -&gt; Stargate commitment at risk. Indirect but existential for ORCL.</t>
        </is>
      </c>
      <c r="C79" s="251" t="n"/>
      <c r="D79" s="251" t="n"/>
      <c r="E79" s="251" t="n"/>
      <c r="F79" s="251" t="n"/>
      <c r="G79" s="251" t="n"/>
      <c r="H79" s="360" t="inlineStr">
        <is>
          <t>INDIRECTLY DAMAGED</t>
        </is>
      </c>
      <c r="I79" s="251" t="n"/>
    </row>
    <row r="80" ht="27.75" customHeight="1" s="197">
      <c r="A80" s="346" t="inlineStr">
        <is>
          <t>META (internal use)</t>
        </is>
      </c>
      <c r="B80" s="337" t="inlineStr">
        <is>
          <t>Open source irrelevant — META uses GPUs for own ad targeting. No external monetization to lose.</t>
        </is>
      </c>
      <c r="C80" s="251" t="n"/>
      <c r="D80" s="251" t="n"/>
      <c r="E80" s="251" t="n"/>
      <c r="F80" s="251" t="n"/>
      <c r="G80" s="251" t="n"/>
      <c r="H80" s="361" t="inlineStr">
        <is>
          <t>NEUTRAL</t>
        </is>
      </c>
      <c r="I80" s="251" t="n"/>
    </row>
    <row r="82" ht="15" customHeight="1" s="197">
      <c r="A82" s="356" t="inlineStr">
        <is>
          <t>Corrected Monetization Math: Hyperscaler capex serves ALL cloud + AI workloads, not just AI lab API revenue.</t>
        </is>
      </c>
      <c r="B82" s="251" t="n"/>
      <c r="C82" s="251" t="n"/>
      <c r="D82" s="251" t="n"/>
      <c r="E82" s="251" t="n"/>
      <c r="F82" s="251" t="n"/>
      <c r="G82" s="251" t="n"/>
      <c r="H82" s="251" t="n"/>
      <c r="I82" s="251" t="n"/>
      <c r="J82" s="251" t="n"/>
    </row>
    <row r="83" ht="27.75" customHeight="1" s="197">
      <c r="A83" s="229" t="inlineStr">
        <is>
          <t>Original denominator</t>
        </is>
      </c>
      <c r="B83" s="352" t="inlineStr">
        <is>
          <t>$140B (AI end-user revenue only)</t>
        </is>
      </c>
      <c r="C83" s="251" t="n"/>
      <c r="D83" s="251" t="n"/>
      <c r="E83" s="362" t="inlineStr">
        <is>
          <t>Capex/Rev = 5.4x</t>
        </is>
      </c>
      <c r="F83" s="251" t="n"/>
      <c r="G83" s="363" t="inlineStr">
        <is>
          <t>Too narrow — ignores non-AI cloud + OSS inference + internal AI</t>
        </is>
      </c>
      <c r="H83" s="251" t="n"/>
      <c r="I83" s="251" t="n"/>
    </row>
    <row r="84" ht="27.75" customHeight="1" s="197">
      <c r="A84" s="229" t="inlineStr">
        <is>
          <t>Corrected denominator</t>
        </is>
      </c>
      <c r="B84" s="352" t="inlineStr">
        <is>
          <t>$250B (full cloud AI + inference + SaaS)</t>
        </is>
      </c>
      <c r="C84" s="251" t="n"/>
      <c r="D84" s="251" t="n"/>
      <c r="E84" s="362" t="inlineStr">
        <is>
          <t>Capex/Rev = 3.0x</t>
        </is>
      </c>
      <c r="F84" s="251" t="n"/>
      <c r="G84" s="363" t="inlineStr">
        <is>
          <t>More realistic — includes OSS inference on cloud + enterprise AI</t>
        </is>
      </c>
      <c r="H84" s="251" t="n"/>
      <c r="I84" s="251" t="n"/>
    </row>
    <row r="85" ht="27.75" customHeight="1" s="197">
      <c r="A85" s="229" t="inlineStr">
        <is>
          <t>Full cloud market</t>
        </is>
      </c>
      <c r="B85" s="352" t="inlineStr">
        <is>
          <t>$500B+ (2026E total cloud infra)</t>
        </is>
      </c>
      <c r="C85" s="251" t="n"/>
      <c r="D85" s="251" t="n"/>
      <c r="E85" s="362" t="inlineStr">
        <is>
          <t>Capex/Rev = 1.5x</t>
        </is>
      </c>
      <c r="F85" s="251" t="n"/>
      <c r="G85" s="363" t="inlineStr">
        <is>
          <t>If you count ALL cloud rev (not just AI), ratio already sustainable</t>
        </is>
      </c>
      <c r="H85" s="251" t="n"/>
      <c r="I85" s="251" t="n"/>
    </row>
    <row r="86" ht="27.75" customHeight="1" s="197">
      <c r="A86" s="229" t="inlineStr">
        <is>
          <t>The real question</t>
        </is>
      </c>
      <c r="B86" s="352" t="n"/>
      <c r="C86" s="251" t="n"/>
      <c r="D86" s="251" t="n"/>
      <c r="E86" s="362" t="n"/>
      <c r="F86" s="251" t="n"/>
      <c r="G86" s="363" t="inlineStr">
        <is>
          <t>How fast does AI-driven incremental cloud revenue grow? If +50%/yr -&gt; 3.0x compresses to &lt;2x by 2028. If +20%/yr -&gt; stays at 3x+ through 2030.</t>
        </is>
      </c>
      <c r="H86" s="251" t="n"/>
      <c r="I86" s="251" t="n"/>
    </row>
    <row r="89" ht="15" customHeight="1" s="197">
      <c r="A89" s="298" t="inlineStr">
        <is>
          <t>H. Daily Crash Watch Dashboard: What to Monitor If You Fear a Meltdown</t>
        </is>
      </c>
    </row>
    <row r="90" ht="15" customHeight="1" s="197">
      <c r="A90" s="330" t="inlineStr">
        <is>
          <t>Organized by frequency: daily tradeable signals -&gt; weekly/monthly structural -&gt; quarterly fundamental. If 3+ red flags fire simultaneously, risk of 20%+ correction rises sharply.</t>
        </is>
      </c>
    </row>
    <row r="91" ht="15" customHeight="1" s="197">
      <c r="A91" s="364" t="inlineStr">
        <is>
          <t>DAILY TRADEABLE SIGNALS (check every morning)</t>
        </is>
      </c>
    </row>
    <row r="92" ht="27.75" customHeight="1" s="197">
      <c r="A92" s="237" t="inlineStr">
        <is>
          <t>#</t>
        </is>
      </c>
      <c r="B92" s="237" t="inlineStr">
        <is>
          <t>Indicator</t>
        </is>
      </c>
      <c r="C92" s="237" t="inlineStr">
        <is>
          <t>Where to Find</t>
        </is>
      </c>
      <c r="D92" s="237" t="inlineStr">
        <is>
          <t>Normal Range</t>
        </is>
      </c>
      <c r="E92" s="237" t="inlineStr">
        <is>
          <t>Yellow Flag</t>
        </is>
      </c>
      <c r="F92" s="237" t="inlineStr">
        <is>
          <t>Red Flag = ACT</t>
        </is>
      </c>
    </row>
    <row r="93" ht="36" customHeight="1" s="197">
      <c r="A93" s="252" t="inlineStr">
        <is>
          <t>1</t>
        </is>
      </c>
      <c r="B93" s="365" t="inlineStr">
        <is>
          <t>NVDA stock price &amp; volume</t>
        </is>
      </c>
      <c r="C93" s="333" t="inlineStr">
        <is>
          <t>Bloomberg/Yahoo Finance</t>
        </is>
      </c>
      <c r="D93" s="366" t="inlineStr">
        <is>
          <t>Tracks S&amp;P; vol normal</t>
        </is>
      </c>
      <c r="E93" s="367" t="inlineStr">
        <is>
          <t>Down &gt;5% on no news; unusual volume spike 3x+ avg</t>
        </is>
      </c>
      <c r="F93" s="368" t="inlineStr">
        <is>
          <t>Down &gt;10% in a week on high volume = institutional exit signal</t>
        </is>
      </c>
    </row>
    <row r="94" ht="36" customHeight="1" s="197">
      <c r="A94" s="252" t="inlineStr">
        <is>
          <t>2</t>
        </is>
      </c>
      <c r="B94" s="365" t="inlineStr">
        <is>
          <t>NVDA implied vol (30-day)</t>
        </is>
      </c>
      <c r="C94" s="333" t="inlineStr">
        <is>
          <t>CBOE VIX for NVDA options</t>
        </is>
      </c>
      <c r="D94" s="366" t="inlineStr">
        <is>
          <t>25-35</t>
        </is>
      </c>
      <c r="E94" s="367" t="inlineStr">
        <is>
          <t>40-50 = hedging activity up</t>
        </is>
      </c>
      <c r="F94" s="368" t="inlineStr">
        <is>
          <t>60+ = panic; last seen pre-earnings miss</t>
        </is>
      </c>
    </row>
    <row r="95" ht="36" customHeight="1" s="197">
      <c r="A95" s="252" t="inlineStr">
        <is>
          <t>3</t>
        </is>
      </c>
      <c r="B95" s="365" t="inlineStr">
        <is>
          <t>VIX (S&amp;P 500 implied vol)</t>
        </is>
      </c>
      <c r="C95" s="333" t="inlineStr">
        <is>
          <t>CBOE</t>
        </is>
      </c>
      <c r="D95" s="366" t="inlineStr">
        <is>
          <t>12-18</t>
        </is>
      </c>
      <c r="E95" s="367" t="inlineStr">
        <is>
          <t>22-25 = elevated uncertainty</t>
        </is>
      </c>
      <c r="F95" s="368" t="inlineStr">
        <is>
          <t>30+ = fear mode; 40+ = crisis</t>
        </is>
      </c>
    </row>
    <row r="96" ht="36" customHeight="1" s="197">
      <c r="A96" s="252" t="inlineStr">
        <is>
          <t>4</t>
        </is>
      </c>
      <c r="B96" s="365" t="inlineStr">
        <is>
          <t>SOX (Phila Semi Index)</t>
        </is>
      </c>
      <c r="C96" s="333" t="inlineStr">
        <is>
          <t>Bloomberg SOX index</t>
        </is>
      </c>
      <c r="D96" s="366" t="inlineStr">
        <is>
          <t>Trend up / flat</t>
        </is>
      </c>
      <c r="E96" s="367" t="inlineStr">
        <is>
          <t>Down &gt;8% from peak in &lt;2 weeks</t>
        </is>
      </c>
      <c r="F96" s="368" t="inlineStr">
        <is>
          <t>Down &gt;15% = semi cycle top signal</t>
        </is>
      </c>
    </row>
    <row r="97" ht="36" customHeight="1" s="197">
      <c r="A97" s="252" t="inlineStr">
        <is>
          <t>5</t>
        </is>
      </c>
      <c r="B97" s="365" t="inlineStr">
        <is>
          <t>IG Credit Spreads (CDX.IG)</t>
        </is>
      </c>
      <c r="C97" s="333" t="inlineStr">
        <is>
          <t>Bloomberg / FRED</t>
        </is>
      </c>
      <c r="D97" s="366" t="inlineStr">
        <is>
          <t>70-90bp</t>
        </is>
      </c>
      <c r="E97" s="367" t="inlineStr">
        <is>
          <t>100-110bp</t>
        </is>
      </c>
      <c r="F97" s="368" t="inlineStr">
        <is>
          <t>130bp+ = funding stress; hyperscaler debt cost rising</t>
        </is>
      </c>
    </row>
    <row r="98" ht="36" customHeight="1" s="197">
      <c r="A98" s="252" t="inlineStr">
        <is>
          <t>6</t>
        </is>
      </c>
      <c r="B98" s="365" t="inlineStr">
        <is>
          <t>HY Credit Spreads</t>
        </is>
      </c>
      <c r="C98" s="333" t="inlineStr">
        <is>
          <t>Bloomberg</t>
        </is>
      </c>
      <c r="D98" s="366" t="inlineStr">
        <is>
          <t>250-350bp</t>
        </is>
      </c>
      <c r="E98" s="367" t="inlineStr">
        <is>
          <t>400-450bp</t>
        </is>
      </c>
      <c r="F98" s="368" t="inlineStr">
        <is>
          <t>500bp+ = risk-off; ORCL bond spreads key</t>
        </is>
      </c>
    </row>
    <row r="99" ht="36" customHeight="1" s="197">
      <c r="A99" s="252" t="inlineStr">
        <is>
          <t>7</t>
        </is>
      </c>
      <c r="B99" s="365" t="inlineStr">
        <is>
          <t>ORCL CDS spread</t>
        </is>
      </c>
      <c r="C99" s="333" t="inlineStr">
        <is>
          <t>Bloomberg</t>
        </is>
      </c>
      <c r="D99" s="366" t="inlineStr">
        <is>
          <t>50-80bp</t>
        </is>
      </c>
      <c r="E99" s="367" t="inlineStr">
        <is>
          <t>100-120bp</t>
        </is>
      </c>
      <c r="F99" s="368" t="inlineStr">
        <is>
          <t>150bp+ = market pricing credit event risk</t>
        </is>
      </c>
    </row>
    <row r="100" ht="36" customHeight="1" s="197">
      <c r="A100" s="252" t="inlineStr">
        <is>
          <t>8</t>
        </is>
      </c>
      <c r="B100" s="365" t="inlineStr">
        <is>
          <t>GPU secondary market prices</t>
        </is>
      </c>
      <c r="C100" s="333" t="inlineStr">
        <is>
          <t>CoreWeave, Lambda, vast.ai</t>
        </is>
      </c>
      <c r="D100" s="366" t="inlineStr">
        <is>
          <t>H100: $25-30K; stable</t>
        </is>
      </c>
      <c r="E100" s="367" t="inlineStr">
        <is>
          <t>H100 drops to $18-22K</t>
        </is>
      </c>
      <c r="F100" s="368" t="inlineStr">
        <is>
          <t>H100 below $15K = oversupply confirmed</t>
        </is>
      </c>
    </row>
    <row r="101" ht="36" customHeight="1" s="197">
      <c r="A101" s="252" t="inlineStr">
        <is>
          <t>9</t>
        </is>
      </c>
      <c r="B101" s="365" t="inlineStr">
        <is>
          <t>AI token pricing (API)</t>
        </is>
      </c>
      <c r="C101" s="333" t="inlineStr">
        <is>
          <t>OpenAI/Anthropic pricing page</t>
        </is>
      </c>
      <c r="D101" s="366" t="inlineStr">
        <is>
          <t>Stable or slow decline</t>
        </is>
      </c>
      <c r="E101" s="367" t="inlineStr">
        <is>
          <t>Price cut &gt;30% in one move</t>
        </is>
      </c>
      <c r="F101" s="368" t="inlineStr">
        <is>
          <t>Price war: 2+ providers cut &gt;50% simultaneously</t>
        </is>
      </c>
    </row>
    <row r="102" ht="36" customHeight="1" s="197">
      <c r="A102" s="252" t="inlineStr">
        <is>
          <t>10</t>
        </is>
      </c>
      <c r="B102" s="365" t="inlineStr">
        <is>
          <t>Mag-7 relative breadth</t>
        </is>
      </c>
      <c r="C102" s="333" t="inlineStr">
        <is>
          <t>Equal-weight Mag-7 vs cap-weight</t>
        </is>
      </c>
      <c r="D102" s="366" t="inlineStr">
        <is>
          <t>Spread &lt;3%</t>
        </is>
      </c>
      <c r="E102" s="367" t="inlineStr">
        <is>
          <t>Spread &gt;5% (1-2 names diverging)</t>
        </is>
      </c>
      <c r="F102" s="368" t="inlineStr">
        <is>
          <t>Spread &gt;10% = leadership cracking</t>
        </is>
      </c>
    </row>
    <row r="104" ht="15" customHeight="1" s="197">
      <c r="A104" s="369" t="inlineStr">
        <is>
          <t>WEEKLY / MONTHLY STRUCTURAL SIGNALS</t>
        </is>
      </c>
    </row>
    <row r="105" ht="27.75" customHeight="1" s="197">
      <c r="A105" s="237" t="inlineStr">
        <is>
          <t>#</t>
        </is>
      </c>
      <c r="B105" s="237" t="inlineStr">
        <is>
          <t>Indicator</t>
        </is>
      </c>
      <c r="C105" s="237" t="inlineStr">
        <is>
          <t>Where to Find</t>
        </is>
      </c>
      <c r="D105" s="237" t="inlineStr">
        <is>
          <t>Normal Range</t>
        </is>
      </c>
      <c r="E105" s="237" t="inlineStr">
        <is>
          <t>Yellow Flag</t>
        </is>
      </c>
      <c r="F105" s="237" t="inlineStr">
        <is>
          <t>Red Flag = ACT</t>
        </is>
      </c>
    </row>
    <row r="106" ht="36" customHeight="1" s="197">
      <c r="A106" s="252" t="inlineStr">
        <is>
          <t>11</t>
        </is>
      </c>
      <c r="B106" s="365" t="inlineStr">
        <is>
          <t>AI lab funding news</t>
        </is>
      </c>
      <c r="C106" s="333" t="inlineStr">
        <is>
          <t>TechCrunch / The Information / X</t>
        </is>
      </c>
      <c r="D106" s="366" t="inlineStr">
        <is>
          <t>Regular mega-rounds</t>
        </is>
      </c>
      <c r="E106" s="367" t="inlineStr">
        <is>
          <t>Round delayed &gt;3 months; down round rumor</t>
        </is>
      </c>
      <c r="F106" s="368" t="inlineStr">
        <is>
          <t>Funding fails; valuation cut &gt;30%; OpenAI/Anthropic layoffs</t>
        </is>
      </c>
    </row>
    <row r="107" ht="36" customHeight="1" s="197">
      <c r="A107" s="252" t="inlineStr">
        <is>
          <t>12</t>
        </is>
      </c>
      <c r="B107" s="365" t="inlineStr">
        <is>
          <t>Hyperscaler bond issuance</t>
        </is>
      </c>
      <c r="C107" s="333" t="inlineStr">
        <is>
          <t>Bloomberg new issue monitor</t>
        </is>
      </c>
      <c r="D107" s="366" t="inlineStr">
        <is>
          <t>$5-10B/qtr normal</t>
        </is>
      </c>
      <c r="E107" s="367" t="inlineStr">
        <is>
          <t>$15B+/qtr = heavy borrowing</t>
        </is>
      </c>
      <c r="F107" s="368" t="inlineStr">
        <is>
          <t>$25B+/qtr + spread widening = desperation financing</t>
        </is>
      </c>
    </row>
    <row r="108" ht="36" customHeight="1" s="197">
      <c r="A108" s="252" t="inlineStr">
        <is>
          <t>13</t>
        </is>
      </c>
      <c r="B108" s="365" t="inlineStr">
        <is>
          <t>Data center power permits</t>
        </is>
      </c>
      <c r="C108" s="333" t="inlineStr">
        <is>
          <t>DOE / utility filings / S&amp;P Global</t>
        </is>
      </c>
      <c r="D108" s="366" t="inlineStr">
        <is>
          <t>Projects on track</t>
        </is>
      </c>
      <c r="E108" s="367" t="inlineStr">
        <is>
          <t>2+ major projects delayed 6mo+</t>
        </is>
      </c>
      <c r="F108" s="368" t="inlineStr">
        <is>
          <t>Mass cancellations; Gartner 40% constraint confirmed</t>
        </is>
      </c>
    </row>
    <row r="109" ht="36" customHeight="1" s="197">
      <c r="A109" s="252" t="inlineStr">
        <is>
          <t>14</t>
        </is>
      </c>
      <c r="B109" s="365" t="inlineStr">
        <is>
          <t>Sell-side EPS revisions breadth</t>
        </is>
      </c>
      <c r="C109" s="333" t="inlineStr">
        <is>
          <t>FactSet / Bloomberg</t>
        </is>
      </c>
      <c r="D109" s="366" t="inlineStr">
        <is>
          <t>Net positive</t>
        </is>
      </c>
      <c r="E109" s="367" t="inlineStr">
        <is>
          <t>Breadth narrows to &lt;+5%</t>
        </is>
      </c>
      <c r="F109" s="368" t="inlineStr">
        <is>
          <t>Turns negative = revision cycle peak</t>
        </is>
      </c>
    </row>
    <row r="110" ht="36" customHeight="1" s="197">
      <c r="A110" s="252" t="inlineStr">
        <is>
          <t>15</t>
        </is>
      </c>
      <c r="B110" s="365" t="inlineStr">
        <is>
          <t>GSTHCAPX vs GSTHCASH basket</t>
        </is>
      </c>
      <c r="C110" s="333" t="inlineStr">
        <is>
          <t>Bloomberg baskets</t>
        </is>
      </c>
      <c r="D110" s="366" t="inlineStr">
        <is>
          <t>CAPX outperforms</t>
        </is>
      </c>
      <c r="E110" s="367" t="inlineStr">
        <is>
          <t>Gap narrows to &lt;5pp over 3mo</t>
        </is>
      </c>
      <c r="F110" s="368" t="inlineStr">
        <is>
          <t>CASH outperforms CAPX = market rotating to quality/defense</t>
        </is>
      </c>
    </row>
    <row r="111" ht="36" customHeight="1" s="197">
      <c r="A111" s="252" t="inlineStr">
        <is>
          <t>16</t>
        </is>
      </c>
      <c r="B111" s="365" t="inlineStr">
        <is>
          <t>Insider selling patterns</t>
        </is>
      </c>
      <c r="C111" s="333" t="inlineStr">
        <is>
          <t>SEC Form 4 / OpenInsider</t>
        </is>
      </c>
      <c r="D111" s="366" t="inlineStr">
        <is>
          <t>Normal scheduled sales</t>
        </is>
      </c>
      <c r="E111" s="367" t="inlineStr">
        <is>
          <t>Cluster selling at 2+ hyperscalers</t>
        </is>
      </c>
      <c r="F111" s="368" t="inlineStr">
        <is>
          <t>CEO/CFO selling unscheduled at 3+ names = extreme signal</t>
        </is>
      </c>
    </row>
    <row r="112" ht="36" customHeight="1" s="197">
      <c r="A112" s="252" t="inlineStr">
        <is>
          <t>17</t>
        </is>
      </c>
      <c r="B112" s="365" t="inlineStr">
        <is>
          <t>Momentum factor (GSMEFMOM)</t>
        </is>
      </c>
      <c r="C112" s="333" t="inlineStr">
        <is>
          <t>Bloomberg</t>
        </is>
      </c>
      <c r="D112" s="366" t="inlineStr">
        <is>
          <t>Steady uptrend</t>
        </is>
      </c>
      <c r="E112" s="367" t="inlineStr">
        <is>
          <t>Reversal &gt;5% in 2 weeks</t>
        </is>
      </c>
      <c r="F112" s="368" t="inlineStr">
        <is>
          <t>Reversal &gt;10% = crowded trade unwinding</t>
        </is>
      </c>
    </row>
    <row r="114" ht="15" customHeight="1" s="197">
      <c r="A114" s="370" t="inlineStr">
        <is>
          <t>QUARTERLY FUNDAMENTAL SIGNALS (earnings season)</t>
        </is>
      </c>
    </row>
    <row r="115" ht="27.75" customHeight="1" s="197">
      <c r="A115" s="237" t="inlineStr">
        <is>
          <t>#</t>
        </is>
      </c>
      <c r="B115" s="237" t="inlineStr">
        <is>
          <t>Indicator</t>
        </is>
      </c>
      <c r="C115" s="237" t="inlineStr">
        <is>
          <t>Where to Find</t>
        </is>
      </c>
      <c r="D115" s="237" t="inlineStr">
        <is>
          <t>Normal Range</t>
        </is>
      </c>
      <c r="E115" s="237" t="inlineStr">
        <is>
          <t>Yellow Flag</t>
        </is>
      </c>
      <c r="F115" s="237" t="inlineStr">
        <is>
          <t>Red Flag = ACT</t>
        </is>
      </c>
    </row>
    <row r="116" ht="36" customHeight="1" s="197">
      <c r="A116" s="252" t="inlineStr">
        <is>
          <t>18</t>
        </is>
      </c>
      <c r="B116" s="365" t="inlineStr">
        <is>
          <t>AWS / Azure / GCP YoY growth</t>
        </is>
      </c>
      <c r="C116" s="333" t="inlineStr">
        <is>
          <t>Earnings calls + 10-Q</t>
        </is>
      </c>
      <c r="D116" s="366" t="inlineStr">
        <is>
          <t>+28-40% (current)</t>
        </is>
      </c>
      <c r="E116" s="367" t="inlineStr">
        <is>
          <t>Any name &lt;25%</t>
        </is>
      </c>
      <c r="F116" s="368" t="inlineStr">
        <is>
          <t>Any &lt;20% or 2Q sequential decel = demand crack</t>
        </is>
      </c>
    </row>
    <row r="117" ht="36" customHeight="1" s="197">
      <c r="A117" s="252" t="inlineStr">
        <is>
          <t>19</t>
        </is>
      </c>
      <c r="B117" s="365" t="inlineStr">
        <is>
          <t>MSFT cRPO QoQ growth</t>
        </is>
      </c>
      <c r="C117" s="333" t="inlineStr">
        <is>
          <t>MSFT earnings call</t>
        </is>
      </c>
      <c r="D117" s="366" t="inlineStr">
        <is>
          <t>+35-40% QoQ</t>
        </is>
      </c>
      <c r="E117" s="367" t="inlineStr">
        <is>
          <t>&lt;20%</t>
        </is>
      </c>
      <c r="F117" s="368" t="inlineStr">
        <is>
          <t>&lt;10% or turns negative = pipeline drying up</t>
        </is>
      </c>
    </row>
    <row r="118" ht="36" customHeight="1" s="197">
      <c r="A118" s="252" t="inlineStr">
        <is>
          <t>20</t>
        </is>
      </c>
      <c r="B118" s="365" t="inlineStr">
        <is>
          <t>ORCL RPO level + disclosure</t>
        </is>
      </c>
      <c r="C118" s="333" t="inlineStr">
        <is>
          <t>ORCL earnings call</t>
        </is>
      </c>
      <c r="D118" s="366" t="inlineStr">
        <is>
          <t>$130B+ growing</t>
        </is>
      </c>
      <c r="E118" s="367" t="inlineStr">
        <is>
          <t>Growth slowing; OpenAI &gt;50% of total</t>
        </is>
      </c>
      <c r="F118" s="368" t="inlineStr">
        <is>
          <t>RPO declines QoQ; any customer renegotiation = EXTREME</t>
        </is>
      </c>
    </row>
    <row r="119" ht="36" customHeight="1" s="197">
      <c r="A119" s="252" t="inlineStr">
        <is>
          <t>21</t>
        </is>
      </c>
      <c r="B119" s="365" t="inlineStr">
        <is>
          <t>Hyperscaler capex guidance</t>
        </is>
      </c>
      <c r="C119" s="333" t="inlineStr">
        <is>
          <t>Earnings calls + CapIQ</t>
        </is>
      </c>
      <c r="D119" s="366" t="inlineStr">
        <is>
          <t>Maintained or raised</t>
        </is>
      </c>
      <c r="E119" s="367" t="inlineStr">
        <is>
          <t>Any single name cuts 2027E guide</t>
        </is>
      </c>
      <c r="F119" s="368" t="inlineStr">
        <is>
          <t>2+ names cut = industry inflection confirmed</t>
        </is>
      </c>
    </row>
    <row r="120" ht="36" customHeight="1" s="197">
      <c r="A120" s="252" t="inlineStr">
        <is>
          <t>22</t>
        </is>
      </c>
      <c r="B120" s="365" t="inlineStr">
        <is>
          <t>D&amp;A as % of incremental revenue</t>
        </is>
      </c>
      <c r="C120" s="333" t="inlineStr">
        <is>
          <t>Our model (Sheet 10 Section A)</t>
        </is>
      </c>
      <c r="D120" s="366" t="inlineStr">
        <is>
          <t>&lt;35%</t>
        </is>
      </c>
      <c r="E120" s="367" t="inlineStr">
        <is>
          <t>35-50% for 2+ companies</t>
        </is>
      </c>
      <c r="F120" s="368" t="inlineStr">
        <is>
          <t>&gt;50% for any company = margin compression locked in</t>
        </is>
      </c>
    </row>
    <row r="121" ht="36" customHeight="1" s="197">
      <c r="A121" s="252" t="inlineStr">
        <is>
          <t>23</t>
        </is>
      </c>
      <c r="B121" s="365" t="inlineStr">
        <is>
          <t>'Other income' from AI stakes</t>
        </is>
      </c>
      <c r="C121" s="333" t="inlineStr">
        <is>
          <t>10-Q other income line</t>
        </is>
      </c>
      <c r="D121" s="366" t="inlineStr">
        <is>
          <t>Gains from Anthropic/OpenAI stakes</t>
        </is>
      </c>
      <c r="E121" s="367" t="inlineStr">
        <is>
          <t>Gains shrink or reverse</t>
        </is>
      </c>
      <c r="F121" s="368" t="inlineStr">
        <is>
          <t>Write-down disclosed = circular financing breaks</t>
        </is>
      </c>
    </row>
    <row r="122" ht="36" customHeight="1" s="197">
      <c r="A122" s="252" t="inlineStr">
        <is>
          <t>24</t>
        </is>
      </c>
      <c r="B122" s="365" t="inlineStr">
        <is>
          <t>PP&amp;E useful life changes (10-K)</t>
        </is>
      </c>
      <c r="C122" s="333" t="inlineStr">
        <is>
          <t>Annual 10-K filing footnotes</t>
        </is>
      </c>
      <c r="D122" s="366" t="inlineStr">
        <is>
          <t>Stable at 5-6yr</t>
        </is>
      </c>
      <c r="E122" s="367" t="inlineStr">
        <is>
          <t>Any company shortens by 0.5yr+</t>
        </is>
      </c>
      <c r="F122" s="368" t="inlineStr">
        <is>
          <t>Shortens by 1yr+ or takes impairment = Burry thesis confirmed</t>
        </is>
      </c>
    </row>
    <row r="123" ht="36" customHeight="1" s="197">
      <c r="A123" s="252" t="inlineStr">
        <is>
          <t>25</t>
        </is>
      </c>
      <c r="B123" s="365" t="inlineStr">
        <is>
          <t>OpenAI / Anthropic revenue run rate</t>
        </is>
      </c>
      <c r="C123" s="333" t="inlineStr">
        <is>
          <t>Press / earnings call references</t>
        </is>
      </c>
      <c r="D123" s="366" t="inlineStr">
        <is>
          <t>Growing &gt;50% YoY</t>
        </is>
      </c>
      <c r="E123" s="367" t="inlineStr">
        <is>
          <t>Growth decelerates to &lt;30%</t>
        </is>
      </c>
      <c r="F123" s="368" t="inlineStr">
        <is>
          <t>Flat or declining = demand plateau = existential for ORCL</t>
        </is>
      </c>
    </row>
    <row r="126" ht="15" customHeight="1" s="197">
      <c r="A126" s="298" t="inlineStr">
        <is>
          <t>CRASH RISK SCOREBOARD: Count the Red Flags</t>
        </is>
      </c>
    </row>
    <row r="127" ht="30" customHeight="1" s="197">
      <c r="A127" s="371" t="inlineStr">
        <is>
          <t>0-1 Red Flags</t>
        </is>
      </c>
      <c r="B127" s="372" t="inlineStr">
        <is>
          <t>CALM</t>
        </is>
      </c>
      <c r="C127" s="337" t="inlineStr">
        <is>
          <t>Normal market. Stay invested per thesis. Monitor weekly.</t>
        </is>
      </c>
      <c r="D127" s="251" t="n"/>
      <c r="E127" s="251" t="n"/>
      <c r="F127" s="251" t="n"/>
    </row>
    <row r="128" ht="30" customHeight="1" s="197">
      <c r="A128" s="373" t="inlineStr">
        <is>
          <t>2-3 Red Flags</t>
        </is>
      </c>
      <c r="B128" s="374" t="inlineStr">
        <is>
          <t>ALERT</t>
        </is>
      </c>
      <c r="C128" s="337" t="inlineStr">
        <is>
          <t>Elevated risk. Trim ORCL. Tighten stops on AMZN/META. Add hedges (SOX puts, VIX calls).</t>
        </is>
      </c>
      <c r="D128" s="251" t="n"/>
      <c r="E128" s="251" t="n"/>
      <c r="F128" s="251" t="n"/>
    </row>
    <row r="129" ht="30" customHeight="1" s="197">
      <c r="A129" s="373" t="inlineStr">
        <is>
          <t>4-5 Red Flags</t>
        </is>
      </c>
      <c r="B129" s="374" t="inlineStr">
        <is>
          <t>DANGER</t>
        </is>
      </c>
      <c r="C129" s="337" t="inlineStr">
        <is>
          <t>High risk. Exit ORCL entirely. Reduce AMZN/META to half position. Hold only MSFT/GOOGL core.</t>
        </is>
      </c>
      <c r="D129" s="251" t="n"/>
      <c r="E129" s="251" t="n"/>
      <c r="F129" s="251" t="n"/>
    </row>
    <row r="130" ht="30" customHeight="1" s="197">
      <c r="A130" s="375" t="inlineStr">
        <is>
          <t>6+ Red Flags</t>
        </is>
      </c>
      <c r="B130" s="376" t="inlineStr">
        <is>
          <t>PANIC</t>
        </is>
      </c>
      <c r="C130" s="337" t="inlineStr">
        <is>
          <t>Crisis mode. Go to minimum equity exposure. Heavy hedges. This is the 2000.4 or 2008.9 equivalent.</t>
        </is>
      </c>
      <c r="D130" s="251" t="n"/>
      <c r="E130" s="251" t="n"/>
      <c r="F130" s="251" t="n"/>
    </row>
    <row r="132" ht="42" customHeight="1" s="197">
      <c r="A132" s="357" t="inlineStr">
        <is>
          <t>Current Status (May 2026): 0-1 Red Flags. All daily/weekly signals in normal range. GPU prices firm. Cloud growth accelerating. AI lab funding strong ($122B OpenAI round in Mar'26). No immediate crash risk. Next key checkpoint: Q2 2026 earnings (Jul-Aug) — watch AWS/Azure growth + ORCL RPO disclosure.</t>
        </is>
      </c>
      <c r="B132" s="251" t="n"/>
      <c r="C132" s="251" t="n"/>
      <c r="D132" s="251" t="n"/>
      <c r="E132" s="251" t="n"/>
      <c r="F132" s="251" t="n"/>
    </row>
    <row r="135">
      <c r="A135" s="377" t="inlineStr">
        <is>
          <t>I. S&amp;P 500 Impact: How Much and Which Direction?</t>
        </is>
      </c>
    </row>
    <row r="136" ht="36" customHeight="1" s="197">
      <c r="A136" s="378" t="inlineStr">
        <is>
          <t>Scenario (Prob)</t>
        </is>
      </c>
      <c r="B136" s="378" t="inlineStr">
        <is>
          <t>AI EPS
2027E</t>
        </is>
      </c>
      <c r="C136" s="378" t="inlineStr">
        <is>
          <t>Non-AI
EPS 2027</t>
        </is>
      </c>
      <c r="D136" s="378" t="inlineStr">
        <is>
          <t>AI PE</t>
        </is>
      </c>
      <c r="E136" s="378" t="inlineStr">
        <is>
          <t>Non-AI
PE</t>
        </is>
      </c>
      <c r="F136" s="378" t="inlineStr">
        <is>
          <t>Implied
SPX 2027</t>
        </is>
      </c>
      <c r="G136" s="378" t="inlineStr">
        <is>
          <t>vs 7,337
Current</t>
        </is>
      </c>
      <c r="H136" s="378" t="inlineStr">
        <is>
          <t>Impact</t>
        </is>
      </c>
      <c r="I136" s="378" t="inlineStr">
        <is>
          <t>Positioning</t>
        </is>
      </c>
    </row>
    <row r="137" ht="28" customHeight="1" s="197">
      <c r="A137" s="379" t="inlineStr">
        <is>
          <t>Bull 30%: AI=Internet</t>
        </is>
      </c>
      <c r="B137" s="380" t="n">
        <v>50</v>
      </c>
      <c r="C137" s="380" t="n">
        <v>280</v>
      </c>
      <c r="D137" s="381" t="n">
        <v>45</v>
      </c>
      <c r="E137" s="381" t="n">
        <v>20</v>
      </c>
      <c r="F137" s="382" t="n">
        <v>7850</v>
      </c>
      <c r="G137" s="383" t="n">
        <v>0.06991958566171452</v>
      </c>
      <c r="H137" s="328" t="inlineStr">
        <is>
          <t>GOOD</t>
        </is>
      </c>
      <c r="I137" s="326" t="inlineStr">
        <is>
          <t>OW AI infra+semis</t>
        </is>
      </c>
    </row>
    <row r="138" ht="28" customHeight="1" s="197">
      <c r="A138" s="384" t="inlineStr">
        <is>
          <t>Base 45%: AI=Mobile</t>
        </is>
      </c>
      <c r="B138" s="380" t="n">
        <v>38</v>
      </c>
      <c r="C138" s="380" t="n">
        <v>280</v>
      </c>
      <c r="D138" s="381" t="n">
        <v>30</v>
      </c>
      <c r="E138" s="381" t="n">
        <v>19</v>
      </c>
      <c r="F138" s="385" t="n">
        <v>6460</v>
      </c>
      <c r="G138" s="386" t="n">
        <v>-0.1195311435191495</v>
      </c>
      <c r="H138" s="387" t="inlineStr">
        <is>
          <t>BAD</t>
        </is>
      </c>
      <c r="I138" s="326" t="inlineStr">
        <is>
          <t>Hold MSFT/GOOGL; trim ORCL</t>
        </is>
      </c>
    </row>
    <row r="139" ht="28" customHeight="1" s="197">
      <c r="A139" s="384" t="inlineStr">
        <is>
          <t>Slow 15%: D&amp;A Drag</t>
        </is>
      </c>
      <c r="B139" s="380" t="n">
        <v>30</v>
      </c>
      <c r="C139" s="380" t="n">
        <v>275</v>
      </c>
      <c r="D139" s="381" t="n">
        <v>22</v>
      </c>
      <c r="E139" s="381" t="n">
        <v>18</v>
      </c>
      <c r="F139" s="385" t="n">
        <v>5610</v>
      </c>
      <c r="G139" s="386" t="n">
        <v>-0.2353823088455772</v>
      </c>
      <c r="H139" s="387" t="inlineStr">
        <is>
          <t>BAD</t>
        </is>
      </c>
      <c r="I139" s="326" t="inlineStr">
        <is>
          <t>MW equities; quality tilt</t>
        </is>
      </c>
    </row>
    <row r="140" ht="28" customHeight="1" s="197">
      <c r="A140" s="388" t="inlineStr">
        <is>
          <t>Bear 10%: AI=Fiber</t>
        </is>
      </c>
      <c r="B140" s="380" t="n">
        <v>15</v>
      </c>
      <c r="C140" s="380" t="n">
        <v>265</v>
      </c>
      <c r="D140" s="381" t="n">
        <v>12</v>
      </c>
      <c r="E140" s="381" t="n">
        <v>17</v>
      </c>
      <c r="F140" s="389" t="n">
        <v>4685</v>
      </c>
      <c r="G140" s="386" t="n">
        <v>-0.3614556358184544</v>
      </c>
      <c r="H140" s="387" t="inlineStr">
        <is>
          <t>BAD</t>
        </is>
      </c>
      <c r="I140" s="326" t="inlineStr">
        <is>
          <t>UW equities; heavy hedges</t>
        </is>
      </c>
    </row>
    <row r="142">
      <c r="A142" s="390" t="inlineStr">
        <is>
          <t>Probability-Weighted EV</t>
        </is>
      </c>
      <c r="F142" s="391" t="n">
        <v>6572</v>
      </c>
      <c r="G142" s="392" t="n">
        <v>-0.1042660487937849</v>
      </c>
    </row>
    <row r="144" ht="42" customHeight="1" s="197">
      <c r="A144" s="393" t="inlineStr">
        <is>
          <t>Bottom Line: EV = 6,572 (-10% from 7,337). Distribution is LEFT-SKEWED: bull +7% but bear -36%. Risk/reward favors hedging downside (SOX puts, ORCL puts) while holding MSFT/GOOGL core.</t>
        </is>
      </c>
      <c r="B144" s="394" t="n"/>
      <c r="C144" s="394" t="n"/>
      <c r="D144" s="394" t="n"/>
      <c r="E144" s="394" t="n"/>
      <c r="F144" s="394" t="n"/>
      <c r="G144" s="394" t="n"/>
      <c r="H144" s="394" t="n"/>
      <c r="I144" s="395" t="n"/>
    </row>
    <row r="147">
      <c r="A147" s="377" t="inlineStr">
        <is>
          <t>J. Plateau Scenario: AI Demand Real, But Scaling Laws Hit the Wall</t>
        </is>
      </c>
    </row>
    <row r="148" ht="40" customHeight="1" s="197">
      <c r="A148" s="396" t="inlineStr">
        <is>
          <t>This is the most probable bear case (not crash, but disappointment). AI works but: (1) more compute stops improving models; (2) open source matches closed source; (3) inference becomes a commodity. Revenue grows 10% organic instead of 20-30% AI-boosted. D&amp;A from 2024-2026 capex is LOCKED IN and non-discretionary.</t>
        </is>
      </c>
    </row>
    <row r="149">
      <c r="A149" s="397" t="inlineStr">
        <is>
          <t>How It Unfolds: Quarter-by-Quarter Impact</t>
        </is>
      </c>
    </row>
    <row r="150" ht="60" customHeight="1" s="197">
      <c r="A150" s="393" t="inlineStr">
        <is>
          <t>Q3 2026
(Signal)</t>
        </is>
      </c>
      <c r="B150" s="326" t="inlineStr">
        <is>
          <t>Open-source Llama 5 benchmarks within 5% of GPT-5 on enterprise tasks. Token prices drop 40% in 3 months. Cloud AI revenue growth decelerates from +60% to +35%. NVDA guides Q4 below street.</t>
        </is>
      </c>
      <c r="F150" s="398" t="inlineStr">
        <is>
          <t>NVDA -15-20%. SOX -10%. S&amp;P 500 -3-5%. 'Peak AI' narrative begins. Sell-side starts cutting 2027E numbers.</t>
        </is>
      </c>
    </row>
    <row r="151" ht="60" customHeight="1" s="197">
      <c r="A151" s="393" t="inlineStr">
        <is>
          <t>Q4 2026
(Confirmation)</t>
        </is>
      </c>
      <c r="B151" s="326" t="inlineStr">
        <is>
          <t>2+ hyperscalers signal 2027 capex 'moderation' (code for cuts). MSFT: 'optimizing capital efficiency'. META: 'disciplined approach'. Cloud growth slows to +25%. Enterprise AI pilots don't convert to production at expected rate.</t>
        </is>
      </c>
      <c r="F151" s="398" t="inlineStr">
        <is>
          <t>Hyperscalers -10-15%. ORCL -25% (most exposed). SPX -5-8% from peak. Rotation begins: CAPX basket underperforms CASH basket. Quality factor rallies.</t>
        </is>
      </c>
    </row>
    <row r="152" ht="60" customHeight="1" s="197">
      <c r="A152" s="399" t="inlineStr">
        <is>
          <t>Q1-Q2 2027
(D&amp;A Trap)</t>
        </is>
      </c>
      <c r="B152" s="326" t="inlineStr">
        <is>
          <t>Capex is cut 20-30% but D&amp;A from 2024-2026 spending STILL RISES. This is the 'trap': margins compress even as costs are being cut. Revenue grows only 10% but D&amp;A grows 30-50%.</t>
        </is>
      </c>
      <c r="F152" s="398" t="inlineStr">
        <is>
          <t>ORCL EPS -16% (already in consensus!). META margin 42%-&gt;32%. AMZN FCF goes negative. Multiple compression: AI names from 30x to 20-22x.</t>
        </is>
      </c>
    </row>
    <row r="153" ht="60" customHeight="1" s="197">
      <c r="A153" s="399" t="inlineStr">
        <is>
          <t>H2 2027
(Trough)</t>
        </is>
      </c>
      <c r="B153" s="326" t="inlineStr">
        <is>
          <t>D&amp;A peaks. Capex fully adjusted down. Revenue growth stabilizes at 8-12% organic. Open-source inference at commodity pricing. GPU secondary market prices -40%. NVDA margin compresses to 55%.</t>
        </is>
      </c>
      <c r="F153" s="398" t="inlineStr">
        <is>
          <t>SPX at 5,500-6,000 (-15-20% from peak). ORCL -40-50%. META -25-30%. But MSFT/GOOGL hold relatively better (-10-15%) due to enterprise lock-in.</t>
        </is>
      </c>
    </row>
    <row r="154" ht="60" customHeight="1" s="197">
      <c r="A154" s="400" t="inlineStr">
        <is>
          <t>2028+
(Recovery)</t>
        </is>
      </c>
      <c r="B154" s="326" t="inlineStr">
        <is>
          <t>D&amp;A starts declining as old capex fully depreciates. Margins gradually recover. AI becomes embedded utility (like cloud was by 2015). Winners: MSFT, GOOGL. Survivors: AMZN, META. Casualty: ORCL.</t>
        </is>
      </c>
      <c r="F154" s="398" t="inlineStr">
        <is>
          <t>Market re-rates to 18-20x on 2029E EPS ~$340. SPX recovers to 6,500-7,000. But the 'AI premium' in valuations is permanently gone. Semis settle at 15-20x, not 30-40x.</t>
        </is>
      </c>
    </row>
    <row r="156">
      <c r="A156" s="316" t="inlineStr">
        <is>
          <t>Company-Level Financial Impact: Consensus vs Plateau (2027E)</t>
        </is>
      </c>
    </row>
    <row r="157" ht="36" customHeight="1" s="197">
      <c r="A157" s="378" t="inlineStr">
        <is>
          <t>Company</t>
        </is>
      </c>
      <c r="B157" s="378" t="inlineStr">
        <is>
          <t>Consensus
Rev ($B)</t>
        </is>
      </c>
      <c r="C157" s="378" t="inlineStr">
        <is>
          <t>Plateau
Rev ($B)</t>
        </is>
      </c>
      <c r="D157" s="378" t="inlineStr">
        <is>
          <t>Rev
Miss</t>
        </is>
      </c>
      <c r="E157" s="378" t="inlineStr">
        <is>
          <t>Consensus
EPS</t>
        </is>
      </c>
      <c r="F157" s="378" t="inlineStr">
        <is>
          <t>D&amp;A/Rev
(Plateau)</t>
        </is>
      </c>
      <c r="G157" s="378" t="inlineStr">
        <is>
          <t>Plateau
EPS</t>
        </is>
      </c>
      <c r="H157" s="378" t="inlineStr">
        <is>
          <t>EPS
Delta</t>
        </is>
      </c>
      <c r="I157" s="378" t="inlineStr">
        <is>
          <t>Recovery
Speed</t>
        </is>
      </c>
      <c r="J157" s="378" t="inlineStr">
        <is>
          <t>Key Risk</t>
        </is>
      </c>
    </row>
    <row r="158" ht="36" customHeight="1" s="197">
      <c r="A158" s="401" t="inlineStr">
        <is>
          <t>MSFT</t>
        </is>
      </c>
      <c r="B158" s="402" t="n">
        <v>387</v>
      </c>
      <c r="C158" s="402" t="n">
        <v>362</v>
      </c>
      <c r="D158" s="403" t="n">
        <v>-0.06385742466792688</v>
      </c>
      <c r="E158" s="404" t="n">
        <v>19.47</v>
      </c>
      <c r="F158" s="405" t="n">
        <v>0.1723086960530935</v>
      </c>
      <c r="G158" s="404" t="n">
        <v>16.58</v>
      </c>
      <c r="H158" s="406" t="n">
        <v>-0.1483724270406533</v>
      </c>
      <c r="I158" s="407" t="inlineStr">
        <is>
          <t>Fast (2yr)</t>
        </is>
      </c>
      <c r="J158" s="408" t="inlineStr">
        <is>
          <t>Copilot attach rate disappoints; Azure growth slows to +15%</t>
        </is>
      </c>
    </row>
    <row r="159" ht="36" customHeight="1" s="197">
      <c r="A159" s="401" t="inlineStr">
        <is>
          <t>AMZN</t>
        </is>
      </c>
      <c r="B159" s="402" t="n">
        <v>947</v>
      </c>
      <c r="C159" s="402" t="n">
        <v>910</v>
      </c>
      <c r="D159" s="403" t="n">
        <v>-0.03831635816751422</v>
      </c>
      <c r="E159" s="404" t="n">
        <v>10.58</v>
      </c>
      <c r="F159" s="405" t="n">
        <v>0.0996495712807229</v>
      </c>
      <c r="G159" s="404" t="n">
        <v>9.5</v>
      </c>
      <c r="H159" s="406" t="n">
        <v>-0.1020860933227838</v>
      </c>
      <c r="I159" s="407" t="inlineStr">
        <is>
          <t>Medium (3yr)</t>
        </is>
      </c>
      <c r="J159" s="408" t="inlineStr">
        <is>
          <t>AWS margin compression; Anthropic write-down risk; FCF goes negative</t>
        </is>
      </c>
    </row>
    <row r="160" ht="36" customHeight="1" s="197">
      <c r="A160" s="401" t="inlineStr">
        <is>
          <t>GOOGL</t>
        </is>
      </c>
      <c r="B160" s="402" t="n">
        <v>592</v>
      </c>
      <c r="C160" s="402" t="n">
        <v>537</v>
      </c>
      <c r="D160" s="403" t="n">
        <v>-0.09262708144637466</v>
      </c>
      <c r="E160" s="404" t="n">
        <v>14.16</v>
      </c>
      <c r="F160" s="405" t="n">
        <v>0.1295510763359651</v>
      </c>
      <c r="G160" s="404" t="n">
        <v>11.26</v>
      </c>
      <c r="H160" s="409" t="n">
        <v>-0.2051401766488831</v>
      </c>
      <c r="I160" s="407" t="inlineStr">
        <is>
          <t>Fast (2yr)</t>
        </is>
      </c>
      <c r="J160" s="408" t="inlineStr">
        <is>
          <t>Cloud growth slows but search moat holds; TPU efficiency helps; best positioned</t>
        </is>
      </c>
    </row>
    <row r="161" ht="36" customHeight="1" s="197">
      <c r="A161" s="401" t="inlineStr">
        <is>
          <t>META</t>
        </is>
      </c>
      <c r="B161" s="402" t="n">
        <v>306</v>
      </c>
      <c r="C161" s="402" t="n">
        <v>281</v>
      </c>
      <c r="D161" s="403" t="n">
        <v>-0.08393120445081315</v>
      </c>
      <c r="E161" s="404" t="n">
        <v>34.94</v>
      </c>
      <c r="F161" s="410" t="n">
        <v>0.2016540370017482</v>
      </c>
      <c r="G161" s="404" t="n">
        <v>28.46</v>
      </c>
      <c r="H161" s="406" t="n">
        <v>-0.1855942738595354</v>
      </c>
      <c r="I161" s="407" t="inlineStr">
        <is>
          <t>Slow (3yr+)</t>
        </is>
      </c>
      <c r="J161" s="408" t="inlineStr">
        <is>
          <t>Ad targeting AI works but market won't pay growth premium; RL losses continue</t>
        </is>
      </c>
    </row>
    <row r="162" ht="36" customHeight="1" s="197">
      <c r="A162" s="401" t="inlineStr">
        <is>
          <t>ORCL</t>
        </is>
      </c>
      <c r="B162" s="402" t="n">
        <v>56</v>
      </c>
      <c r="C162" s="402" t="n">
        <v>37</v>
      </c>
      <c r="D162" s="403" t="n">
        <v>-0.3268379342550046</v>
      </c>
      <c r="E162" s="404" t="n">
        <v>6.09</v>
      </c>
      <c r="F162" s="411" t="n">
        <v>0.4507632141123263</v>
      </c>
      <c r="G162" s="404" t="n">
        <v>6.06</v>
      </c>
      <c r="H162" s="386" t="n">
        <v>-0.00492338789666813</v>
      </c>
      <c r="I162" s="407" t="inlineStr">
        <is>
          <t>Very Slow (4yr+)</t>
        </is>
      </c>
      <c r="J162" s="408" t="inlineStr">
        <is>
          <t>Existential: OpenAI is 40%+ of RPO. If OpenAI shifts to self-hosted, ORCL loses both customer + capex justification</t>
        </is>
      </c>
    </row>
    <row r="164">
      <c r="A164" s="316" t="inlineStr">
        <is>
          <t>The D&amp;A Trap: Why Cutting Capex Doesn't Help for 2-3 Years</t>
        </is>
      </c>
    </row>
    <row r="165" ht="24" customHeight="1" s="197">
      <c r="A165" s="401" t="inlineStr">
        <is>
          <t>2026</t>
        </is>
      </c>
      <c r="B165" s="412" t="inlineStr">
        <is>
          <t>Capex committed. D&amp;A rising.</t>
        </is>
      </c>
      <c r="D165" s="412" t="inlineStr">
        <is>
          <t>Revenue at consensus.</t>
        </is>
      </c>
      <c r="G165" s="412" t="inlineStr">
        <is>
          <t>Margins OK. No pain yet.</t>
        </is>
      </c>
    </row>
    <row r="166" ht="24" customHeight="1" s="197">
      <c r="A166" s="401" t="inlineStr">
        <is>
          <t>2027</t>
        </is>
      </c>
      <c r="B166" s="412" t="inlineStr">
        <is>
          <t>Capex CUT 20-30%.</t>
        </is>
      </c>
      <c r="D166" s="412" t="inlineStr">
        <is>
          <t>Revenue misses 10-15%.</t>
        </is>
      </c>
      <c r="G166" s="413" t="inlineStr">
        <is>
          <t>D&amp;A STILL RISES from prior capex. Margins compress. EPS misses.</t>
        </is>
      </c>
    </row>
    <row r="167" ht="24" customHeight="1" s="197">
      <c r="A167" s="401" t="inlineStr">
        <is>
          <t>2028</t>
        </is>
      </c>
      <c r="B167" s="412" t="inlineStr">
        <is>
          <t>Capex at maintenance.</t>
        </is>
      </c>
      <c r="D167" s="412" t="inlineStr">
        <is>
          <t>Revenue grows 8% organic.</t>
        </is>
      </c>
      <c r="G167" s="413" t="inlineStr">
        <is>
          <t>D&amp;A PEAKS. Margin trough. Worst year for EPS.</t>
        </is>
      </c>
    </row>
    <row r="168" ht="24" customHeight="1" s="197">
      <c r="A168" s="401" t="inlineStr">
        <is>
          <t>2029</t>
        </is>
      </c>
      <c r="B168" s="412" t="inlineStr">
        <is>
          <t>Capex low. Old assets depreciate.</t>
        </is>
      </c>
      <c r="D168" s="412" t="inlineStr">
        <is>
          <t>Revenue 8-10%.</t>
        </is>
      </c>
      <c r="G168" s="414" t="inlineStr">
        <is>
          <t>D&amp;A finally declines. Margins start recovering.</t>
        </is>
      </c>
    </row>
    <row r="169" ht="24" customHeight="1" s="197">
      <c r="A169" s="401" t="inlineStr">
        <is>
          <t>2030</t>
        </is>
      </c>
      <c r="B169" s="412" t="inlineStr">
        <is>
          <t>New equilibrium.</t>
        </is>
      </c>
      <c r="D169" s="412" t="inlineStr">
        <is>
          <t>Revenue 8-10%.</t>
        </is>
      </c>
      <c r="G169" s="412" t="inlineStr">
        <is>
          <t>Margins normalize. But PE permanently re-rated from 30x to 18-20x.</t>
        </is>
      </c>
    </row>
    <row r="171">
      <c r="A171" s="316" t="inlineStr">
        <is>
          <t>S&amp;P 500 Impact Under Plateau Scenario</t>
        </is>
      </c>
    </row>
    <row r="172">
      <c r="A172" s="317" t="inlineStr"/>
      <c r="B172" s="317" t="inlineStr">
        <is>
          <t>2026E</t>
        </is>
      </c>
      <c r="C172" s="317" t="inlineStr">
        <is>
          <t>2027E</t>
        </is>
      </c>
      <c r="D172" s="317" t="inlineStr">
        <is>
          <t>2028E (trough)</t>
        </is>
      </c>
      <c r="E172" s="317" t="inlineStr">
        <is>
          <t>2029E</t>
        </is>
      </c>
      <c r="F172" s="317" t="inlineStr">
        <is>
          <t>2030E</t>
        </is>
      </c>
    </row>
    <row r="173">
      <c r="A173" s="318" t="inlineStr">
        <is>
          <t>S&amp;P 500 EPS</t>
        </is>
      </c>
      <c r="B173" s="319" t="inlineStr">
        <is>
          <t>$309</t>
        </is>
      </c>
      <c r="C173" s="319" t="inlineStr">
        <is>
          <t>$285</t>
        </is>
      </c>
      <c r="D173" s="319" t="inlineStr">
        <is>
          <t>$270</t>
        </is>
      </c>
      <c r="E173" s="319" t="inlineStr">
        <is>
          <t>$300</t>
        </is>
      </c>
      <c r="F173" s="319" t="inlineStr">
        <is>
          <t>$330</t>
        </is>
      </c>
    </row>
    <row r="174">
      <c r="A174" s="318" t="inlineStr">
        <is>
          <t>vs Consensus</t>
        </is>
      </c>
      <c r="B174" s="319" t="inlineStr">
        <is>
          <t>—</t>
        </is>
      </c>
      <c r="C174" s="415" t="inlineStr">
        <is>
          <t>-$57 (-17%)</t>
        </is>
      </c>
      <c r="D174" s="415" t="inlineStr">
        <is>
          <t>-$100 (-27%)</t>
        </is>
      </c>
      <c r="E174" s="415" t="inlineStr">
        <is>
          <t>-$66 (-18%)</t>
        </is>
      </c>
      <c r="F174" s="415" t="inlineStr">
        <is>
          <t>-$36 (-10%)</t>
        </is>
      </c>
    </row>
    <row r="175">
      <c r="A175" s="318" t="inlineStr">
        <is>
          <t>Forward PE</t>
        </is>
      </c>
      <c r="B175" s="319" t="inlineStr">
        <is>
          <t>21x</t>
        </is>
      </c>
      <c r="C175" s="319" t="inlineStr">
        <is>
          <t>20x → 18x</t>
        </is>
      </c>
      <c r="D175" s="319" t="inlineStr">
        <is>
          <t>17x → 16x</t>
        </is>
      </c>
      <c r="E175" s="319" t="inlineStr">
        <is>
          <t>18x</t>
        </is>
      </c>
      <c r="F175" s="319" t="inlineStr">
        <is>
          <t>19x</t>
        </is>
      </c>
    </row>
    <row r="176">
      <c r="A176" s="318" t="inlineStr">
        <is>
          <t>Implied SPX</t>
        </is>
      </c>
      <c r="B176" s="319" t="inlineStr">
        <is>
          <t>6,500</t>
        </is>
      </c>
      <c r="C176" s="319" t="inlineStr">
        <is>
          <t>5,130-5,700</t>
        </is>
      </c>
      <c r="D176" s="323" t="inlineStr">
        <is>
          <t>4,320-4,590</t>
        </is>
      </c>
      <c r="E176" s="319" t="inlineStr">
        <is>
          <t>5,400</t>
        </is>
      </c>
      <c r="F176" s="319" t="inlineStr">
        <is>
          <t>6,270</t>
        </is>
      </c>
    </row>
    <row r="177">
      <c r="A177" s="318" t="inlineStr">
        <is>
          <t>vs Current 7,337</t>
        </is>
      </c>
      <c r="B177" s="319" t="inlineStr">
        <is>
          <t>—</t>
        </is>
      </c>
      <c r="C177" s="323" t="inlineStr">
        <is>
          <t>-22% to -30%</t>
        </is>
      </c>
      <c r="D177" s="323" t="inlineStr">
        <is>
          <t>-37% to -41%</t>
        </is>
      </c>
      <c r="E177" s="415" t="inlineStr">
        <is>
          <t>-26%</t>
        </is>
      </c>
      <c r="F177" s="415" t="inlineStr">
        <is>
          <t>-15%</t>
        </is>
      </c>
    </row>
    <row r="180" ht="60" customHeight="1" s="197">
      <c r="A180" s="393" t="inlineStr">
        <is>
          <t>Bottom Line: The plateau scenario is NOT a crash — it's a slow grind. SPX drops -20-30% over 12 months as EPS estimates are cut and PE compresses from 21x to 17-18x. The pain lasts 2-3 years because D&amp;A is locked in. This is closer to 2015-2016 (oil capex bust, -14%) than 2000 (-49%). Key difference: hyperscaler balance sheets are healthy ($300B cash), so no bankruptcy risk — just multiple compression and dead money. ORCL is the exception: -40-50% with potential credit stress.</t>
        </is>
      </c>
    </row>
  </sheetData>
  <mergeCells count="119">
    <mergeCell ref="C61:F61"/>
    <mergeCell ref="B165:C165"/>
    <mergeCell ref="G62:I62"/>
    <mergeCell ref="A91:J91"/>
    <mergeCell ref="G167:I167"/>
    <mergeCell ref="A156:J156"/>
    <mergeCell ref="A171:J171"/>
    <mergeCell ref="D166:F166"/>
    <mergeCell ref="B56:I56"/>
    <mergeCell ref="B48:I48"/>
    <mergeCell ref="G65:I65"/>
    <mergeCell ref="B84:D84"/>
    <mergeCell ref="D168:F168"/>
    <mergeCell ref="C62:F62"/>
    <mergeCell ref="A148:J148"/>
    <mergeCell ref="D165:F165"/>
    <mergeCell ref="H79:I79"/>
    <mergeCell ref="G63:I63"/>
    <mergeCell ref="C64:F64"/>
    <mergeCell ref="B76:G76"/>
    <mergeCell ref="A69:J69"/>
    <mergeCell ref="B19:I19"/>
    <mergeCell ref="B151:E151"/>
    <mergeCell ref="C63:F63"/>
    <mergeCell ref="E85:F85"/>
    <mergeCell ref="A3:J3"/>
    <mergeCell ref="F153:I153"/>
    <mergeCell ref="A104:J104"/>
    <mergeCell ref="B47:I47"/>
    <mergeCell ref="A4:J4"/>
    <mergeCell ref="B22:I22"/>
    <mergeCell ref="C67:F67"/>
    <mergeCell ref="A147:J147"/>
    <mergeCell ref="B78:G78"/>
    <mergeCell ref="B154:E154"/>
    <mergeCell ref="B21:I21"/>
    <mergeCell ref="B39:I39"/>
    <mergeCell ref="A58:J58"/>
    <mergeCell ref="A126:F126"/>
    <mergeCell ref="G64:I64"/>
    <mergeCell ref="A24:J24"/>
    <mergeCell ref="A73:J73"/>
    <mergeCell ref="B83:D83"/>
    <mergeCell ref="A82:J82"/>
    <mergeCell ref="B166:C166"/>
    <mergeCell ref="B85:D85"/>
    <mergeCell ref="B168:C168"/>
    <mergeCell ref="H75:I75"/>
    <mergeCell ref="H80:I80"/>
    <mergeCell ref="A149:J149"/>
    <mergeCell ref="B51:I51"/>
    <mergeCell ref="B169:C169"/>
    <mergeCell ref="A50:J50"/>
    <mergeCell ref="B41:I41"/>
    <mergeCell ref="F150:I150"/>
    <mergeCell ref="B77:G77"/>
    <mergeCell ref="G66:I66"/>
    <mergeCell ref="A135:J135"/>
    <mergeCell ref="F152:I152"/>
    <mergeCell ref="E83:F83"/>
    <mergeCell ref="A72:J72"/>
    <mergeCell ref="G83:I83"/>
    <mergeCell ref="C66:F66"/>
    <mergeCell ref="B153:E153"/>
    <mergeCell ref="A114:J114"/>
    <mergeCell ref="G168:I168"/>
    <mergeCell ref="A59:J59"/>
    <mergeCell ref="E84:F84"/>
    <mergeCell ref="B80:G80"/>
    <mergeCell ref="G84:I84"/>
    <mergeCell ref="C128:F128"/>
    <mergeCell ref="E86:F86"/>
    <mergeCell ref="B38:I38"/>
    <mergeCell ref="B79:G79"/>
    <mergeCell ref="C65:F65"/>
    <mergeCell ref="A54:J54"/>
    <mergeCell ref="G86:I86"/>
    <mergeCell ref="A90:J90"/>
    <mergeCell ref="B40:I40"/>
    <mergeCell ref="C127:F127"/>
    <mergeCell ref="A164:J164"/>
    <mergeCell ref="H77:I77"/>
    <mergeCell ref="C129:F129"/>
    <mergeCell ref="B55:I55"/>
    <mergeCell ref="C60:F60"/>
    <mergeCell ref="B86:D86"/>
    <mergeCell ref="A17:J17"/>
    <mergeCell ref="H78:I78"/>
    <mergeCell ref="A35:J35"/>
    <mergeCell ref="A180:J180"/>
    <mergeCell ref="F151:I151"/>
    <mergeCell ref="B43:I43"/>
    <mergeCell ref="B18:I18"/>
    <mergeCell ref="B167:C167"/>
    <mergeCell ref="B52:I52"/>
    <mergeCell ref="B42:I42"/>
    <mergeCell ref="D167:F167"/>
    <mergeCell ref="A144:I144"/>
    <mergeCell ref="B150:E150"/>
    <mergeCell ref="G85:I85"/>
    <mergeCell ref="A1:J1"/>
    <mergeCell ref="A45:J45"/>
    <mergeCell ref="D169:F169"/>
    <mergeCell ref="G165:I165"/>
    <mergeCell ref="G60:I60"/>
    <mergeCell ref="B152:E152"/>
    <mergeCell ref="B75:G75"/>
    <mergeCell ref="A37:J37"/>
    <mergeCell ref="A46:J46"/>
    <mergeCell ref="F154:I154"/>
    <mergeCell ref="A89:J89"/>
    <mergeCell ref="G169:I169"/>
    <mergeCell ref="G67:I67"/>
    <mergeCell ref="A132:F132"/>
    <mergeCell ref="B20:I20"/>
    <mergeCell ref="G61:I61"/>
    <mergeCell ref="H76:I76"/>
    <mergeCell ref="C130:F130"/>
    <mergeCell ref="G166:I16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2026-05-07T01:12:34Z</dcterms:created>
  <dcterms:modified xmlns:dcterms="http://purl.org/dc/terms/" xmlns:xsi="http://www.w3.org/2001/XMLSchema-instance" xsi:type="dcterms:W3CDTF">2026-05-17T02:56:02Z</dcterms:modified>
  <cp:revision>17</cp:revision>
</cp:coreProperties>
</file>
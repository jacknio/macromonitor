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060" windowHeight="12560" tabRatio="500" firstSheet="3" activeTab="5"/>
  </bookViews>
  <sheets>
    <sheet name="0. Database" sheetId="1" r:id="rId1"/>
    <sheet name="1. Summary" sheetId="2" r:id="rId2"/>
    <sheet name="2. Revenue &amp; Growth" sheetId="3" r:id="rId3"/>
    <sheet name="3. Capex &amp; D&amp;A" sheetId="4" r:id="rId4"/>
    <sheet name="4. FCF &amp; Cash" sheetId="5" r:id="rId5"/>
    <sheet name="5. EPS &amp; Margins" sheetId="6" r:id="rId6"/>
    <sheet name="6. Depreciation Sensitivity" sheetId="7" r:id="rId7"/>
    <sheet name="7. SP500 AI EPS Split" sheetId="8" r:id="rId8"/>
    <sheet name="8. Charts" sheetId="9" r:id="rId9"/>
    <sheet name="9. Bubble &amp; Valuation" sheetId="10" r:id="rId10"/>
    <sheet name="10. Bloomberg Data" sheetId="11" r:id="rId11"/>
  </sheets>
  <calcPr calcId="144525"/>
</workbook>
</file>

<file path=xl/sharedStrings.xml><?xml version="1.0" encoding="utf-8"?>
<sst xmlns="http://schemas.openxmlformats.org/spreadsheetml/2006/main" count="369">
  <si>
    <t>Centralized Database (USD mm except EPS/shares) — Blue = input</t>
  </si>
  <si>
    <t>Ticker</t>
  </si>
  <si>
    <t>Metric</t>
  </si>
  <si>
    <t>2013A</t>
  </si>
  <si>
    <t>2014A</t>
  </si>
  <si>
    <t>2015A</t>
  </si>
  <si>
    <t>2016A</t>
  </si>
  <si>
    <t>2017A</t>
  </si>
  <si>
    <t>2018A</t>
  </si>
  <si>
    <t>2019A</t>
  </si>
  <si>
    <t>2020A</t>
  </si>
  <si>
    <t>2021A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</si>
  <si>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</si>
  <si>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</si>
  <si>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</si>
  <si>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</si>
  <si>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</si>
  <si>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</si>
  <si>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</si>
  <si>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</si>
  <si>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>2030E</t>
  </si>
  <si>
    <t>MSFT (FY(Jun))</t>
  </si>
  <si>
    <t>MSFT</t>
  </si>
  <si>
    <t>Revenue</t>
  </si>
  <si>
    <t>Operating Income</t>
  </si>
  <si>
    <t>Net Income</t>
  </si>
  <si>
    <t>EPS</t>
  </si>
  <si>
    <t>Diluted Shares (mm)</t>
  </si>
  <si>
    <t>SBC</t>
  </si>
  <si>
    <t>D&amp;A</t>
  </si>
  <si>
    <t>Capex</t>
  </si>
  <si>
    <t>CFO</t>
  </si>
  <si>
    <t>FCF</t>
  </si>
  <si>
    <t>Buybacks</t>
  </si>
  <si>
    <t>Intell Cloud</t>
  </si>
  <si>
    <t>PP&amp;ENet</t>
  </si>
  <si>
    <t>Useful Life(yr)</t>
  </si>
  <si>
    <t>AMZN (CY)</t>
  </si>
  <si>
    <t>AMZN</t>
  </si>
  <si>
    <t>AWS Rev</t>
  </si>
  <si>
    <t>AWS OI</t>
  </si>
  <si>
    <t>GOOGL (CY)</t>
  </si>
  <si>
    <t>GOOGL</t>
  </si>
  <si>
    <t>Cloud Rev</t>
  </si>
  <si>
    <t>Search Rev</t>
  </si>
  <si>
    <t>YouTube Rev</t>
  </si>
  <si>
    <t>GCloud OI</t>
  </si>
  <si>
    <t>META (CY)</t>
  </si>
  <si>
    <t>META</t>
  </si>
  <si>
    <t>Ad Rev(META)</t>
  </si>
  <si>
    <t>FOA Rev</t>
  </si>
  <si>
    <t>FOA OI</t>
  </si>
  <si>
    <t>RL Rev</t>
  </si>
  <si>
    <t>RL OI</t>
  </si>
  <si>
    <t>ORCL (FY(May))</t>
  </si>
  <si>
    <t>ORCL</t>
  </si>
  <si>
    <t>CloudTotalRevenue(ORCL)</t>
  </si>
  <si>
    <t>IaaS Rev</t>
  </si>
  <si>
    <t>SaaS Rev</t>
  </si>
  <si>
    <t>RPO</t>
  </si>
  <si>
    <t>Operating Income(Adjusted)</t>
  </si>
  <si>
    <t>EPS(Adjusted)</t>
  </si>
  <si>
    <t>NVDA (FY Jan)</t>
  </si>
  <si>
    <t>NVDA</t>
  </si>
  <si>
    <t>Free Cash Flow</t>
  </si>
  <si>
    <t>MU (FY Aug)</t>
  </si>
  <si>
    <t>MU</t>
  </si>
  <si>
    <t>AI Capex Cycle: Hyperscaler Deep-Dive (2013-2030)</t>
  </si>
  <si>
    <t>MSFT | AMZN | GOOGL | META | ORCL + S&amp;P 500 AI EPS Decomposition</t>
  </si>
  <si>
    <t>CONTENTS</t>
  </si>
  <si>
    <t>0. Database — 2013-2030 centralized data. Blue=input. All other sheets reference this.</t>
  </si>
  <si>
    <t>1. Summary — This page</t>
  </si>
  <si>
    <t>2. Revenue — Total rev, YoY%, Cloud/AI proxy. Derived metrics reference SAME sheet cells (black font).</t>
  </si>
  <si>
    <t>3. Capex &amp; D&amp;A — Capex, Capex/Rev, D&amp;A, D&amp;A/Rev. Local formulas reference raw data on same sheet.</t>
  </si>
  <si>
    <t>4. FCF &amp; Cash — CFO, FCF margin, FCF/NI, Capex/CFO. All ratios use same-sheet references.</t>
  </si>
  <si>
    <t>5. EPS &amp; Margins — OpMargin, Net Margin, EPSYoY. Same-sheet referencing pattern.</t>
  </si>
  <si>
    <t>6. Burry Sensitivity — GPU life compression on 2026E EPS. Editable tax rate assumptions.</t>
  </si>
  <si>
    <t>7. S&amp;P 500 AI EPS Split — AI vs Non-AI EPS decomposition + dual P/E valuation + 4 stress scenarios.</t>
  </si>
  <si>
    <t>8. Charts — 6 visualizations (Capex/Rev, Free Cash FlowMargin, Capex absolute, Rev YoY, OpMargin, D&amp;A/Rev).</t>
  </si>
  <si>
    <t>Revenue&amp;AI/CloudSegment Detail (2013-2030E)</t>
  </si>
  <si>
    <t>A. Total Revenue ($mm)</t>
  </si>
  <si>
    <t>Company</t>
  </si>
  <si>
    <t>C. Cloud / AI Proxy Revenue ($mm)</t>
  </si>
  <si>
    <t>MSFT — Azure</t>
  </si>
  <si>
    <t>AMZN — AWS</t>
  </si>
  <si>
    <t>GOOGL — Cloud</t>
  </si>
  <si>
    <t>META — Advertising</t>
  </si>
  <si>
    <t>ORCL — CloudTotalRevenue</t>
  </si>
  <si>
    <t>B. Revenue YoY %</t>
  </si>
  <si>
    <t>Capex&amp;D&amp;A (2013-2030E)</t>
  </si>
  <si>
    <t>A. Capex ($mm)</t>
  </si>
  <si>
    <t>D. D&amp;A ($mm)</t>
  </si>
  <si>
    <t>(Revenue — for ratios)</t>
  </si>
  <si>
    <t>B. CapexYoY %</t>
  </si>
  <si>
    <t>C. Capex / Revenue %</t>
  </si>
  <si>
    <t>E. D&amp;A / Revenue %</t>
  </si>
  <si>
    <t>F. D&amp;AYoY %</t>
  </si>
  <si>
    <t>Free Cash Flow&amp;Cash Quality (2013-2030E)</t>
  </si>
  <si>
    <t>A. CFO ($mm)</t>
  </si>
  <si>
    <t>B. FCF ($mm)</t>
  </si>
  <si>
    <t>E. Buybacks ($mm)</t>
  </si>
  <si>
    <t>(Revenue)</t>
  </si>
  <si>
    <t>(NI)</t>
  </si>
  <si>
    <t>(Capex)</t>
  </si>
  <si>
    <t>C. Free Cash FlowMargin %</t>
  </si>
  <si>
    <t>D. FCF / Net Income %</t>
  </si>
  <si>
    <t>F. Capex/CFO %</t>
  </si>
  <si>
    <t>EPS、Operating IncomeMargin&amp;Profitability (2013-2030E)</t>
  </si>
  <si>
    <t>A. Operating Income ($mm)</t>
  </si>
  <si>
    <t>C. Net Income ($mm)</t>
  </si>
  <si>
    <t>E. EPS ($)</t>
  </si>
  <si>
    <t>G. Diluted Shares (mm)</t>
  </si>
  <si>
    <t>H. SBC ($mm)</t>
  </si>
  <si>
    <t>B. Operating IncomeMargin %</t>
  </si>
  <si>
    <t>D. Net Margin %</t>
  </si>
  <si>
    <t>F. EPSYoY %</t>
  </si>
  <si>
    <t>D&amp;AAnalysis: Based on MSFT Actual PP&amp;E Breakdown's Proxy</t>
  </si>
  <si>
    <t>A. MSFT Actual PP&amp;E/Capex Breakdown (SEC filing)</t>
  </si>
  <si>
    <t>MSFT Capex Sheet actual PP&amp;E analysis. Company-level asset breakdown.</t>
  </si>
  <si>
    <t>Metric (MSFT FY)</t>
  </si>
  <si>
    <t>FY2020A</t>
  </si>
  <si>
    <t>FY2021A</t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</si>
  <si>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</si>
  <si>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</si>
  <si>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</si>
  <si>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</si>
  <si>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</si>
  <si>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</si>
  <si>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</si>
  <si>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</si>
  <si>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</si>
  <si>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IT Equipment Capex ($mm)</t>
  </si>
  <si>
    <t>Buildings Capex ($mm)</t>
  </si>
  <si>
    <t>Finance Leases Capex ($mm)</t>
  </si>
  <si>
    <t>Capex ($mm)</t>
  </si>
  <si>
    <t>Total Capex ($mm)</t>
  </si>
  <si>
    <t>IT Equipment % of Capex</t>
  </si>
  <si>
    <t>IT Equipment D&amp;A ($mm)</t>
  </si>
  <si>
    <t>Buildings D&amp;A ($mm)</t>
  </si>
  <si>
    <t>Total D&amp;A ($mm)</t>
  </si>
  <si>
    <t>IT D&amp;A % of TotalD&amp;A</t>
  </si>
  <si>
    <t>IT EquipmentUseful Life</t>
  </si>
  <si>
    <t>BuildingsUseful Life</t>
  </si>
  <si>
    <t>📌 Key Finding: IT Equipment pre-AI 's ~35% jumped to AI 's 59%. IT contributes 66-73% 'sTotalD&amp;A (because IT 6Year vs Buildings 15Year). This is Burry thesis attack surface.</t>
  </si>
  <si>
    <t>B. IT EquipmentShare ofEstimation: MSFT Hard Data →  4  Proxy (⚠️ Estimate)</t>
  </si>
  <si>
    <t>IT EquipmentShare of
Capex</t>
  </si>
  <si>
    <t>Estimation Basis
(Confidence)</t>
  </si>
  <si>
    <t>IT Equipment
Useful Life</t>
  </si>
  <si>
    <t>Buildings+
Share ofCapex%</t>
  </si>
  <si>
    <t>Buildings
Useful Life</t>
  </si>
  <si>
    <t>(/)%</t>
  </si>
  <si>
    <t>Useful Life</t>
  </si>
  <si>
    <t>✅ Hard Data:  Capex sheet Row 90 = 50.1% gross PP&amp;E; capex share 59%</t>
  </si>
  <si>
    <t>⚠️ : 10-K Equipment $185B //; AWS ~40-45% (Behind the Balance SheetAnalysis)</t>
  </si>
  <si>
    <t>⚠️ : MBI Deep Dives IT assets  ~45% of PP&amp;E; capex share (TPUIT)</t>
  </si>
  <si>
    <t>⚠️ : Company, /; 1.3M GPU; server+networkPP&amp;E (MBI)</t>
  </si>
  <si>
    <t>⚠️ : OCI,  buildings; But+GPU; ITShare of</t>
  </si>
  <si>
    <t>C. 2026E / 2027E Base Data (From Database Sheet)</t>
  </si>
  <si>
    <t>2026E Capex
($mm)</t>
  </si>
  <si>
    <t>2026E D&amp;A
($mm)</t>
  </si>
  <si>
    <t>2026E NI
($mm)</t>
  </si>
  <si>
    <t>2026E EPS
($)</t>
  </si>
  <si>
    <t>Shares
(mm)</t>
  </si>
  <si>
    <t>Tax Rate
(Editable)</t>
  </si>
  <si>
    <t>Depr Base
= Capex×wtd life</t>
  </si>
  <si>
    <t>2027E Capex
($mm)</t>
  </si>
  <si>
    <t>2027E D&amp;A
($mm)</t>
  </si>
  <si>
    <t>2027E NI
($mm)</t>
  </si>
  <si>
    <t>2027E EPS
($)</t>
  </si>
  <si>
    <t>D. Core Sensitivity: Compress Only IT Equipment (Buildings/) — Straight-Line</t>
  </si>
  <si>
    <t>Logic: D&amp;A = ITD&amp;A + Buildings + . ITBurry.</t>
  </si>
  <si>
    <t>IT Equipment = 6 Year (Buildings/)</t>
  </si>
  <si>
    <t>ITD&amp;A
($mm)</t>
  </si>
  <si>
    <t>BuildingsD&amp;A
(,$mm)</t>
  </si>
  <si>
    <t>D&amp;A
(,$mm)</t>
  </si>
  <si>
    <t>New Total D&amp;A
($mm)</t>
  </si>
  <si>
    <t>Current D&amp;A
($mm)</t>
  </si>
  <si>
    <t>ΔD&amp;A
($mm)</t>
  </si>
  <si>
    <t>Δ
($mm)</t>
  </si>
  <si>
    <t>Adj NI
($mm)</t>
  </si>
  <si>
    <t>Adj EPS
($)</t>
  </si>
  <si>
    <t>EPS Change%</t>
  </si>
  <si>
    <t>IT Equipment = 5 Year (Buildings/)</t>
  </si>
  <si>
    <t>IT Equipment = 4 Year (Buildings/)</t>
  </si>
  <si>
    <t>IT Equipment = 3 Year (Buildings/)</t>
  </si>
  <si>
    <t>IT Equipment = 2 Year (Buildings/)</t>
  </si>
  <si>
    <t>E. Summary: 2026E EPS  (%) — Compress OnlyIT Equipment vs Burry'sFull Compression Comparison</t>
  </si>
  <si>
    <t>★ Adjusted Method = IT Equipment, Buildings/. BurryFull Compression = D&amp;A ().</t>
  </si>
  <si>
    <t>ITShare of
(Source)</t>
  </si>
  <si>
    <t>Current</t>
  </si>
  <si>
    <t>★Adjusted Method
IT→4yr
EPS Δ%</t>
  </si>
  <si>
    <t>★Adjusted Method
IT→3yr
EPS Δ%</t>
  </si>
  <si>
    <t>Burry
→4yr
EPS Δ%</t>
  </si>
  <si>
    <t>Burry
→3yr
EPS Δ%</t>
  </si>
  <si>
    <t>Adjusted Method
(vs)</t>
  </si>
  <si>
    <t>Conclusion</t>
  </si>
  <si>
    <t>. ITShare ofHard Data. 4.9yr.</t>
  </si>
  <si>
    <t>. ButD&amp;A, .</t>
  </si>
  <si>
    <t>TPU. ITShare of.</t>
  </si>
  <si>
    <t>GPU'sDCCompany. .</t>
  </si>
  <si>
    <t>OCI, building. ButNI, .</t>
  </si>
  <si>
    <t>S&amp;P 500: AI vs Non-AI EPSBreakdown + Dual P/E Valuation</t>
  </si>
  <si>
    <t>S&amp;P 500 EPS — Bloomberg Consensus ($)</t>
  </si>
  <si>
    <t>EPS: FactSet actual (2018-2024), sell-side/consensus estimates (2025+). Capex/Buybacks: sell-side data (May 7 2026 report). Yellow = editable.</t>
  </si>
  <si>
    <t>2025A</t>
  </si>
  <si>
    <t>2028E (ext)</t>
  </si>
  <si>
    <t>2029E (ext)</t>
  </si>
  <si>
    <t>2030E (ext)</t>
  </si>
  <si>
    <t>S&amp;P 500 Operating EPS ($)</t>
  </si>
  <si>
    <t>S&amp;P 500Capex ($B) — sell-side data</t>
  </si>
  <si>
    <t>AICapex ($B) — 5 cos</t>
  </si>
  <si>
    <t>S&amp;P 500 Buybacks ($B) — sell-side data</t>
  </si>
  <si>
    <t>B. AI-Driven EPS Estimation: Hyperscaler Capex → Supply Chain Profit → S&amp;P 500 EPS</t>
  </si>
  <si>
    <t>Logic: Hyperscaler capex = revenue for NVDA/AVGO/MU/ANET/etc. Their net margin × capex = AI-driven NI. Divide by S&amp;P 500 share count ≈ AI EPS.</t>
  </si>
  <si>
    <t>% of Hyp Capex → S&amp;P 500 co revenue (editable)</t>
  </si>
  <si>
    <t>Wtd avg net margin of AI supply chain (editable)</t>
  </si>
  <si>
    <t>AI Revenue to S&amp;P 500 cos ($B)</t>
  </si>
  <si>
    <t>AI Net Income to S&amp;P 500 cos ($B)</t>
  </si>
  <si>
    <t>S&amp;P 500TotalNet Income ($B) ≈ EPS × 8.8B shares (S&amp;P 500 Index Divisor)</t>
  </si>
  <si>
    <t>AI-Driven EPS ($) = AI NI / 8.8B shares (S&amp;P 500 Index Divisor)</t>
  </si>
  <si>
    <t>Non-AI EPS ($) = Total - AI</t>
  </si>
  <si>
    <t>AI % of Total EPS</t>
  </si>
  <si>
    <t>AI EPS YoY %</t>
  </si>
  <si>
    <t>C. Dual P/E Valuation — Separate Multiples for AI vs Non-AI EPS</t>
  </si>
  <si>
    <t>AI P/E (editable) — hist avg ~18x</t>
  </si>
  <si>
    <t>AI P/E (editable) — NVDA ~30-40x fwd</t>
  </si>
  <si>
    <t>Valuation Component</t>
  </si>
  <si>
    <t>AI = Non-AI EPS × P/E</t>
  </si>
  <si>
    <t>AI = AI EPS × P/E</t>
  </si>
  <si>
    <t>Implied S&amp;P 500 Level</t>
  </si>
  <si>
    <t>Blended P/E (implied)</t>
  </si>
  <si>
    <t>D. Scenario Grid: 2026E Implied S&amp;P 500 Under Different P/E Assumptions</t>
  </si>
  <si>
    <t>Reads: 'If Non-AI trades at Xpe and AI trades at Ype, 2026E S&amp;P 500 = Z'. Uses AI/Non-AI EPS from Section B. Change yellow cells above to update.</t>
  </si>
  <si>
    <t>AI P/E ↓  AI P/E →</t>
  </si>
  <si>
    <t>22x</t>
  </si>
  <si>
    <t>20x</t>
  </si>
  <si>
    <t>18x</t>
  </si>
  <si>
    <t>16x</t>
  </si>
  <si>
    <t>14x</t>
  </si>
  <si>
    <t>40x</t>
  </si>
  <si>
    <t>35x</t>
  </si>
  <si>
    <t>30x</t>
  </si>
  <si>
    <t>25x</t>
  </si>
  <si>
    <t>15x</t>
  </si>
  <si>
    <t>10x</t>
  </si>
  <si>
    <t>E. Stress Test: What Happens to S&amp;P 500 if AI Capex Slows?</t>
  </si>
  <si>
    <t>Base Case (AI PE=35x, Non-AI PE=18x)</t>
  </si>
  <si>
    <t>Current. AI capex sustains. NVDA margin holds.</t>
  </si>
  <si>
    <t>AI EPS ($)</t>
  </si>
  <si>
    <t>Non-AI EPS ($)</t>
  </si>
  <si>
    <t>Implied S&amp;P 500</t>
  </si>
  <si>
    <t>Capex (AI PE=25x, Non-AI PE=18x)</t>
  </si>
  <si>
    <t>2027+ capex growth decelerates to +10%. NVDA margin compresses. AI PE de-rates.</t>
  </si>
  <si>
    <t>AI PE:</t>
  </si>
  <si>
    <t>Non-AI PE:</t>
  </si>
  <si>
    <t>vs Base Delta</t>
  </si>
  <si>
    <t>AI Bust (AI PE=15x, Non-AI PE=17x)</t>
  </si>
  <si>
    <t>Customer Crack. Capex cut 30% from 2027. Massive write-downs. AI PE crashes to market avg.</t>
  </si>
  <si>
    <t>Visual Summary (2013-2030)</t>
  </si>
  <si>
    <t>Capex / Revenue %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</si>
  <si>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</si>
  <si>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</si>
  <si>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</si>
  <si>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</si>
  <si>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</si>
  <si>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</si>
  <si>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</si>
  <si>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</si>
  <si>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</si>
  <si>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</si>
  <si>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</si>
  <si>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</si>
  <si>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</si>
  <si>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</si>
  <si>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</si>
  <si>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</si>
  <si>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</si>
  <si>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</si>
  <si>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Operating Margin %</t>
  </si>
  <si>
    <t>Bubble Risk: 2000 vs 2026 + Valuation + Triggers</t>
  </si>
  <si>
    <t>A. S&amp;P 500 Forecasts (May 2026)</t>
  </si>
  <si>
    <t>Source</t>
  </si>
  <si>
    <t>YE2026 Target</t>
  </si>
  <si>
    <t>Notes</t>
  </si>
  <si>
    <t>Sell-side Top-Down</t>
  </si>
  <si>
    <t>$239</t>
  </si>
  <si>
    <t>$269</t>
  </si>
  <si>
    <t>$309 (+15%)</t>
  </si>
  <si>
    <t>$342 (+11%)</t>
  </si>
  <si>
    <t>7,600</t>
  </si>
  <si>
    <t>Top-down</t>
  </si>
  <si>
    <t>Bottom-Up Consensus</t>
  </si>
  <si>
    <t>$337 (+25%)</t>
  </si>
  <si>
    <t>$386 (+15%)</t>
  </si>
  <si>
    <t>—</t>
  </si>
  <si>
    <t>Bloomberg FA1</t>
  </si>
  <si>
    <t>Our AI Split Model</t>
  </si>
  <si>
    <t>$337</t>
  </si>
  <si>
    <t>$386</t>
  </si>
  <si>
    <t>5,780*</t>
  </si>
  <si>
    <t>*Non-AI 21x + AI 40x</t>
  </si>
  <si>
    <t>B. 2027E Implied S&amp;P 500 = EPS x P/E</t>
  </si>
  <si>
    <t>EPS Scenario</t>
  </si>
  <si>
    <t>19x</t>
  </si>
  <si>
    <t>21x</t>
  </si>
  <si>
    <t>23x</t>
  </si>
  <si>
    <t>24x</t>
  </si>
  <si>
    <t>Top-Down $342</t>
  </si>
  <si>
    <t>Bloomberg $386</t>
  </si>
  <si>
    <t>Stress $300</t>
  </si>
  <si>
    <t>Crash $260</t>
  </si>
  <si>
    <t>C. Current Valuation vs History</t>
  </si>
  <si>
    <t>10yr %ile</t>
  </si>
  <si>
    <t>30yr %ile</t>
  </si>
  <si>
    <t>2000 Peak</t>
  </si>
  <si>
    <t>Verdict</t>
  </si>
  <si>
    <t>S&amp;P 500 Fwd P/E</t>
  </si>
  <si>
    <t>64%</t>
  </si>
  <si>
    <t>82%</t>
  </si>
  <si>
    <t>Expensive but not extreme</t>
  </si>
  <si>
    <t>IT Weight</t>
  </si>
  <si>
    <t>36%</t>
  </si>
  <si>
    <t>99%</t>
  </si>
  <si>
    <t>33%</t>
  </si>
  <si>
    <t>EXCEEDS 2000</t>
  </si>
  <si>
    <t>D. 2000 Bubble 5-Phase Timeline vs AI 2026</t>
  </si>
  <si>
    <t>Phase</t>
  </si>
  <si>
    <t>2000 Telecom</t>
  </si>
  <si>
    <t>AI 2026</t>
  </si>
  <si>
    <t>Status</t>
  </si>
  <si>
    <t>Next Trigger</t>
  </si>
  <si>
    <t>1. Valuation Mania</t>
  </si>
  <si>
    <t>Nasdaq 200x PE</t>
  </si>
  <si>
    <t>NVDA 30-40x; S&amp;P 21x (82nd %ile)</t>
  </si>
  <si>
    <t>PARTIAL</t>
  </si>
  <si>
    <t>PE&gt;25x</t>
  </si>
  <si>
    <t>2. Liquidity Signal</t>
  </si>
  <si>
    <t>Greenspan hikes</t>
  </si>
  <si>
    <t>Fed hold; not cutting</t>
  </si>
  <si>
    <t>BORDERLINE</t>
  </si>
  <si>
    <t>Fed hawkish or IG&gt;100bp</t>
  </si>
  <si>
    <t>3. Customer Deaths</t>
  </si>
  <si>
    <t>Pets.com 9mo post-IPO</t>
  </si>
  <si>
    <t>OpenAI burns $17B/yr, still raising</t>
  </si>
  <si>
    <t>NOT YET</t>
  </si>
  <si>
    <t>AI lab funding delay/down round</t>
  </si>
  <si>
    <t>4. Capex Crack</t>
  </si>
  <si>
    <t>Telcos;fiber</t>
  </si>
  <si>
    <t>Hyperscalers +83%; cRPO record</t>
  </si>
  <si>
    <t>Any name cuts 2027 guide</t>
  </si>
  <si>
    <t>5. Accounting</t>
  </si>
  <si>
    <t>Enron $38B; WorldCom bankrupt</t>
  </si>
  <si>
    <t>Circular financing exists</t>
  </si>
  <si>
    <t>AI stake write-down</t>
  </si>
  <si>
    <t>Position: Between Phase 1-2. Phases 3/4/5 NOT occurred. Burst window: 2027 H1-H2 (D&amp;A wave locked in). Distance: 2-4 quarters.</t>
  </si>
  <si>
    <t>S&amp;P 500 Fundamentals — Bloomberg Terminal (FA1.xlsx)</t>
  </si>
  <si>
    <t>2009A</t>
  </si>
  <si>
    <t>2010A</t>
  </si>
  <si>
    <t>2011A</t>
  </si>
  <si>
    <t>2012A</t>
  </si>
  <si>
    <t>Sales/Share ($)</t>
  </si>
  <si>
    <t>Gross Margin (%)</t>
  </si>
  <si>
    <t>EBIT/Share ($)</t>
  </si>
  <si>
    <t>Op Margin (%)</t>
  </si>
  <si>
    <t>EBITDA/Share ($)</t>
  </si>
  <si>
    <t>EPS Aggregate ($)</t>
  </si>
  <si>
    <t>EPS YoY %</t>
  </si>
  <si>
    <t>Sales YoY %</t>
  </si>
  <si>
    <t>Key: 2026E OpMargin jumps from 15.0% to 19.5% = 450bp expansion. Most aggressive in 15 years. If only 200bp (to 17%), EPS~$295 vs $337 = 12% miss. Consensus is a bet on AI margin expansion.</t>
  </si>
</sst>
</file>

<file path=xl/styles.xml><?xml version="1.0" encoding="utf-8"?>
<styleSheet xmlns="http://schemas.openxmlformats.org/spreadsheetml/2006/main">
  <numFmts count="17">
    <numFmt numFmtId="176" formatCode="\$#,##0.00;\(\$#,##0.00\);\-"/>
    <numFmt numFmtId="177" formatCode="\$#,##0.00;&quot;($&quot;#,##0.00\);\-"/>
    <numFmt numFmtId="178" formatCode="\$0.00;&quot;($&quot;0.00\);\-"/>
    <numFmt numFmtId="179" formatCode="#,##0;\(#,##0\);\-"/>
    <numFmt numFmtId="180" formatCode="\$0.00"/>
    <numFmt numFmtId="181" formatCode="0#"/>
    <numFmt numFmtId="182" formatCode="0.0%;\(0.0%\);\-"/>
    <numFmt numFmtId="183" formatCode="0.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84" formatCode="0.0\x"/>
    <numFmt numFmtId="185" formatCode="0%;\(0%\);\-"/>
    <numFmt numFmtId="186" formatCode="\$#,##0"/>
    <numFmt numFmtId="187" formatCode="0.0%"/>
    <numFmt numFmtId="43" formatCode="_ * #,##0.00_ ;_ * \-#,##0.00_ ;_ * &quot;-&quot;??_ ;_ @_ "/>
    <numFmt numFmtId="188" formatCode="\$#,##0.0"/>
    <numFmt numFmtId="41" formatCode="_ * #,##0_ ;_ * \-#,##0_ ;_ * &quot;-&quot;_ ;_ @_ "/>
  </numFmts>
  <fonts count="79">
    <font>
      <sz val="11"/>
      <color theme="1"/>
      <name val="Calibri"/>
      <charset val="1"/>
    </font>
    <font>
      <b/>
      <sz val="12"/>
      <color rgb="FFFFFFFF"/>
      <name val="Arial"/>
      <charset val="134"/>
    </font>
    <font>
      <b/>
      <sz val="8"/>
      <color rgb="FFFFFFFF"/>
      <name val="Arial"/>
      <charset val="134"/>
    </font>
    <font>
      <b/>
      <sz val="7"/>
      <color rgb="FFFFFFFF"/>
      <name val="Arial"/>
      <charset val="134"/>
    </font>
    <font>
      <b/>
      <sz val="9"/>
      <color rgb="FF000000"/>
      <name val="Arial"/>
      <charset val="134"/>
    </font>
    <font>
      <sz val="9"/>
      <color rgb="FF0000FF"/>
      <name val="Arial"/>
      <charset val="134"/>
    </font>
    <font>
      <sz val="9"/>
      <name val="Arial"/>
      <charset val="134"/>
    </font>
    <font>
      <b/>
      <sz val="10"/>
      <color rgb="FF000000"/>
      <name val="Arial"/>
      <charset val="134"/>
    </font>
    <font>
      <b/>
      <sz val="10"/>
      <color rgb="FFFFFFFF"/>
      <name val="Arial"/>
      <charset val="134"/>
    </font>
    <font>
      <sz val="9"/>
      <color rgb="FF000000"/>
      <name val="Arial"/>
      <charset val="134"/>
    </font>
    <font>
      <b/>
      <sz val="9"/>
      <name val="Arial"/>
      <charset val="134"/>
    </font>
    <font>
      <sz val="8"/>
      <color rgb="FF595959"/>
      <name val="Arial"/>
      <charset val="134"/>
    </font>
    <font>
      <sz val="8"/>
      <color rgb="FF000000"/>
      <name val="Arial"/>
      <charset val="134"/>
    </font>
    <font>
      <b/>
      <sz val="10"/>
      <color rgb="FFC00000"/>
      <name val="Arial"/>
      <charset val="134"/>
    </font>
    <font>
      <b/>
      <sz val="9"/>
      <color rgb="FFC00000"/>
      <name val="Arial"/>
      <charset val="134"/>
    </font>
    <font>
      <b/>
      <sz val="13"/>
      <color rgb="FFFFFFFF"/>
      <name val="Arial"/>
      <charset val="134"/>
    </font>
    <font>
      <b/>
      <sz val="7"/>
      <name val="Arial"/>
      <charset val="134"/>
    </font>
    <font>
      <b/>
      <sz val="8"/>
      <name val="Arial"/>
      <charset val="134"/>
    </font>
    <font>
      <sz val="7"/>
      <name val="Arial"/>
      <charset val="134"/>
    </font>
    <font>
      <b/>
      <sz val="12"/>
      <color rgb="FFFFFFFF"/>
      <name val="Noto Sans CJK SC"/>
      <charset val="1"/>
    </font>
    <font>
      <b/>
      <sz val="10"/>
      <color rgb="FFFFFFFF"/>
      <name val="Arial"/>
      <charset val="1"/>
    </font>
    <font>
      <i/>
      <sz val="8"/>
      <color rgb="FF595959"/>
      <name val="Arial"/>
      <charset val="1"/>
    </font>
    <font>
      <b/>
      <sz val="8"/>
      <color rgb="FFFFFFFF"/>
      <name val="Noto Sans CJK SC"/>
      <charset val="1"/>
    </font>
    <font>
      <b/>
      <sz val="8"/>
      <color rgb="FFFFFFFF"/>
      <name val="Arial"/>
      <charset val="1"/>
    </font>
    <font>
      <b/>
      <sz val="9"/>
      <color rgb="FF000000"/>
      <name val="Noto Sans CJK SC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000000"/>
      <name val="Noto Sans CJK SC"/>
      <charset val="1"/>
    </font>
    <font>
      <b/>
      <sz val="10"/>
      <color rgb="FF000000"/>
      <name val="Arial"/>
      <charset val="1"/>
    </font>
    <font>
      <b/>
      <sz val="9"/>
      <name val="Arial"/>
      <charset val="1"/>
    </font>
    <font>
      <b/>
      <sz val="10"/>
      <color rgb="FF000000"/>
      <name val="Noto Sans CJK SC"/>
      <charset val="1"/>
    </font>
    <font>
      <b/>
      <sz val="10"/>
      <name val="Arial"/>
      <charset val="1"/>
    </font>
    <font>
      <b/>
      <sz val="9"/>
      <color rgb="FFFFFFFF"/>
      <name val="Arial"/>
      <charset val="1"/>
    </font>
    <font>
      <i/>
      <sz val="8"/>
      <color rgb="FF595959"/>
      <name val="Noto Sans CJK SC"/>
      <charset val="1"/>
    </font>
    <font>
      <sz val="9"/>
      <color rgb="FF008000"/>
      <name val="Arial"/>
      <charset val="134"/>
    </font>
    <font>
      <b/>
      <sz val="9"/>
      <color rgb="FFC00000"/>
      <name val="Arial"/>
      <charset val="1"/>
    </font>
    <font>
      <b/>
      <sz val="10"/>
      <color rgb="FFC00000"/>
      <name val="Noto Sans CJK SC"/>
      <charset val="1"/>
    </font>
    <font>
      <b/>
      <sz val="7"/>
      <color rgb="FFFFFFFF"/>
      <name val="Noto Sans CJK SC"/>
      <charset val="1"/>
    </font>
    <font>
      <b/>
      <sz val="7"/>
      <color rgb="FFFFFFFF"/>
      <name val="Arial"/>
      <charset val="1"/>
    </font>
    <font>
      <sz val="7"/>
      <color rgb="FF595959"/>
      <name val="Noto Sans CJK SC"/>
      <charset val="1"/>
    </font>
    <font>
      <sz val="9"/>
      <color rgb="FF008000"/>
      <name val="Arial"/>
      <charset val="1"/>
    </font>
    <font>
      <sz val="9"/>
      <name val="Arial"/>
      <charset val="1"/>
    </font>
    <font>
      <sz val="7"/>
      <color rgb="FF595959"/>
      <name val="Arial"/>
      <charset val="1"/>
    </font>
    <font>
      <b/>
      <sz val="13"/>
      <color rgb="FFFFFFFF"/>
      <name val="Arial"/>
      <charset val="1"/>
    </font>
    <font>
      <b/>
      <sz val="8"/>
      <color rgb="FF000000"/>
      <name val="Arial"/>
      <charset val="1"/>
    </font>
    <font>
      <b/>
      <sz val="13"/>
      <color rgb="FFFFFFFF"/>
      <name val="Noto Sans CJK SC"/>
      <charset val="1"/>
    </font>
    <font>
      <b/>
      <sz val="18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Noto Sans CJK SC"/>
      <charset val="1"/>
    </font>
    <font>
      <sz val="10"/>
      <color rgb="FF000000"/>
      <name val="Arial"/>
      <charset val="1"/>
    </font>
    <font>
      <b/>
      <sz val="9"/>
      <color rgb="FFFFFFFF"/>
      <name val="Noto Sans CJK SC"/>
      <charset val="1"/>
    </font>
    <font>
      <b/>
      <sz val="8"/>
      <color rgb="FF1F3864"/>
      <name val="Arial"/>
      <charset val="1"/>
    </font>
    <font>
      <sz val="8"/>
      <color rgb="FF000000"/>
      <name val="Noto Sans CJK SC"/>
      <charset val="1"/>
    </font>
    <font>
      <sz val="8"/>
      <color rgb="FF000000"/>
      <name val="Arial"/>
      <charset val="1"/>
    </font>
    <font>
      <b/>
      <sz val="11"/>
      <color rgb="FFFFFFFF"/>
      <name val="Arial"/>
      <charset val="134"/>
    </font>
    <font>
      <b/>
      <sz val="8"/>
      <color rgb="FF1F3864"/>
      <name val="Arial"/>
      <charset val="134"/>
    </font>
    <font>
      <sz val="8"/>
      <name val="Arial"/>
      <charset val="134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1F3864"/>
        <bgColor rgb="FF404040"/>
      </patternFill>
    </fill>
    <fill>
      <patternFill patternType="solid">
        <fgColor rgb="FF2F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0078D4"/>
        <bgColor rgb="FF0668E1"/>
      </patternFill>
    </fill>
    <fill>
      <patternFill patternType="solid">
        <fgColor rgb="FFFF9900"/>
        <bgColor rgb="FFD4762C"/>
      </patternFill>
    </fill>
    <fill>
      <patternFill patternType="solid">
        <fgColor rgb="FF4285F4"/>
        <bgColor rgb="FF0078D4"/>
      </patternFill>
    </fill>
    <fill>
      <patternFill patternType="solid">
        <fgColor rgb="FF0668E1"/>
        <bgColor rgb="FF0078D4"/>
      </patternFill>
    </fill>
    <fill>
      <patternFill patternType="solid">
        <fgColor rgb="FFF80000"/>
        <bgColor rgb="FFC00000"/>
      </patternFill>
    </fill>
    <fill>
      <patternFill patternType="solid">
        <fgColor rgb="FF76B900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1" fillId="51" borderId="0">
      <alignment vertical="center"/>
    </xf>
    <xf numFmtId="0" fontId="59" fillId="45" borderId="0">
      <alignment vertical="center"/>
    </xf>
    <xf numFmtId="0" fontId="61" fillId="47" borderId="0">
      <alignment vertical="center"/>
    </xf>
    <xf numFmtId="0" fontId="64" fillId="29" borderId="8">
      <alignment vertical="center"/>
    </xf>
    <xf numFmtId="0" fontId="59" fillId="49" borderId="0">
      <alignment vertical="center"/>
    </xf>
    <xf numFmtId="0" fontId="59" fillId="32" borderId="0">
      <alignment vertical="center"/>
    </xf>
    <xf numFmtId="44" fontId="62" fillId="0" borderId="0"/>
    <xf numFmtId="0" fontId="61" fillId="34" borderId="0">
      <alignment vertical="center"/>
    </xf>
    <xf numFmtId="9" fontId="62" fillId="0" borderId="0"/>
    <xf numFmtId="0" fontId="61" fillId="43" borderId="0">
      <alignment vertical="center"/>
    </xf>
    <xf numFmtId="0" fontId="61" fillId="42" borderId="0">
      <alignment vertical="center"/>
    </xf>
    <xf numFmtId="0" fontId="61" fillId="24" borderId="0">
      <alignment vertical="center"/>
    </xf>
    <xf numFmtId="0" fontId="61" fillId="40" borderId="0">
      <alignment vertical="center"/>
    </xf>
    <xf numFmtId="0" fontId="61" fillId="41" borderId="0">
      <alignment vertical="center"/>
    </xf>
    <xf numFmtId="0" fontId="66" fillId="4" borderId="8">
      <alignment vertical="center"/>
    </xf>
    <xf numFmtId="0" fontId="61" fillId="46" borderId="0">
      <alignment vertical="center"/>
    </xf>
    <xf numFmtId="0" fontId="74" fillId="37" borderId="0">
      <alignment vertical="center"/>
    </xf>
    <xf numFmtId="0" fontId="59" fillId="36" borderId="0">
      <alignment vertical="center"/>
    </xf>
    <xf numFmtId="0" fontId="73" fillId="35" borderId="0">
      <alignment vertical="center"/>
    </xf>
    <xf numFmtId="0" fontId="59" fillId="48" borderId="0">
      <alignment vertical="center"/>
    </xf>
    <xf numFmtId="0" fontId="72" fillId="0" borderId="11">
      <alignment vertical="center"/>
    </xf>
    <xf numFmtId="0" fontId="75" fillId="39" borderId="0">
      <alignment vertical="center"/>
    </xf>
    <xf numFmtId="0" fontId="71" fillId="33" borderId="10">
      <alignment vertical="center"/>
    </xf>
    <xf numFmtId="0" fontId="70" fillId="4" borderId="9">
      <alignment vertical="center"/>
    </xf>
    <xf numFmtId="0" fontId="69" fillId="0" borderId="6">
      <alignment vertical="center"/>
    </xf>
    <xf numFmtId="0" fontId="68" fillId="0" borderId="0">
      <alignment vertical="center"/>
    </xf>
    <xf numFmtId="0" fontId="59" fillId="30" borderId="0">
      <alignment vertical="center"/>
    </xf>
    <xf numFmtId="0" fontId="76" fillId="0" borderId="0">
      <alignment vertical="center"/>
    </xf>
    <xf numFmtId="42" fontId="62" fillId="0" borderId="0"/>
    <xf numFmtId="0" fontId="59" fillId="44" borderId="0">
      <alignment vertical="center"/>
    </xf>
    <xf numFmtId="43" fontId="62" fillId="0" borderId="0"/>
    <xf numFmtId="0" fontId="67" fillId="0" borderId="0">
      <alignment vertical="center"/>
    </xf>
    <xf numFmtId="0" fontId="78" fillId="0" borderId="0">
      <alignment vertical="center"/>
    </xf>
    <xf numFmtId="0" fontId="59" fillId="50" borderId="0">
      <alignment vertical="center"/>
    </xf>
    <xf numFmtId="0" fontId="65" fillId="0" borderId="0">
      <alignment vertical="center"/>
    </xf>
    <xf numFmtId="0" fontId="61" fillId="28" borderId="0">
      <alignment vertical="center"/>
    </xf>
    <xf numFmtId="0" fontId="63" fillId="26" borderId="7">
      <alignment vertical="center"/>
    </xf>
    <xf numFmtId="0" fontId="59" fillId="31" borderId="0">
      <alignment vertical="center"/>
    </xf>
    <xf numFmtId="0" fontId="61" fillId="25" borderId="0">
      <alignment vertical="center"/>
    </xf>
    <xf numFmtId="0" fontId="59" fillId="27" borderId="0">
      <alignment vertical="center"/>
    </xf>
    <xf numFmtId="0" fontId="77" fillId="0" borderId="0">
      <alignment vertical="center"/>
    </xf>
    <xf numFmtId="41" fontId="62" fillId="0" borderId="0"/>
    <xf numFmtId="0" fontId="60" fillId="0" borderId="6">
      <alignment vertical="center"/>
    </xf>
    <xf numFmtId="0" fontId="59" fillId="23" borderId="0">
      <alignment vertical="center"/>
    </xf>
    <xf numFmtId="0" fontId="76" fillId="0" borderId="12">
      <alignment vertical="center"/>
    </xf>
    <xf numFmtId="0" fontId="61" fillId="38" borderId="0">
      <alignment vertical="center"/>
    </xf>
    <xf numFmtId="0" fontId="59" fillId="22" borderId="0">
      <alignment vertical="center"/>
    </xf>
    <xf numFmtId="0" fontId="58" fillId="0" borderId="5">
      <alignment vertical="center"/>
    </xf>
  </cellStyleXfs>
  <cellXfs count="1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3" fontId="5" fillId="0" borderId="1" xfId="0" applyNumberFormat="1" applyFont="1" applyBorder="1" applyAlignment="1">
      <alignment horizontal="right" vertical="center"/>
    </xf>
    <xf numFmtId="183" fontId="5" fillId="0" borderId="1" xfId="0" applyNumberFormat="1" applyFont="1" applyBorder="1" applyAlignment="1">
      <alignment horizontal="right" vertical="center"/>
    </xf>
    <xf numFmtId="187" fontId="6" fillId="0" borderId="1" xfId="0" applyNumberFormat="1" applyFont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8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2" fillId="8" borderId="0" xfId="0" applyFont="1" applyFill="1"/>
    <xf numFmtId="0" fontId="0" fillId="0" borderId="1" xfId="0" applyBorder="1"/>
    <xf numFmtId="0" fontId="16" fillId="4" borderId="1" xfId="0" applyFont="1" applyFill="1" applyBorder="1" applyAlignment="1">
      <alignment horizontal="center" vertical="center"/>
    </xf>
    <xf numFmtId="0" fontId="17" fillId="4" borderId="1" xfId="0" applyFont="1" applyFill="1" applyBorder="1"/>
    <xf numFmtId="187" fontId="18" fillId="0" borderId="1" xfId="0" applyNumberFormat="1" applyFont="1" applyBorder="1" applyAlignment="1">
      <alignment horizontal="right" vertical="center"/>
    </xf>
    <xf numFmtId="3" fontId="18" fillId="0" borderId="1" xfId="0" applyNumberFormat="1" applyFont="1" applyBorder="1" applyAlignment="1">
      <alignment horizontal="right" vertical="center"/>
    </xf>
    <xf numFmtId="0" fontId="19" fillId="9" borderId="0" xfId="0" applyFont="1" applyFill="1" applyAlignment="1">
      <alignment horizontal="center" vertical="center" wrapText="1"/>
    </xf>
    <xf numFmtId="0" fontId="20" fillId="9" borderId="0" xfId="0" applyFont="1" applyFill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left" vertical="center" wrapText="1"/>
    </xf>
    <xf numFmtId="186" fontId="5" fillId="0" borderId="1" xfId="0" applyNumberFormat="1" applyFont="1" applyBorder="1" applyAlignment="1">
      <alignment horizontal="right" vertical="center"/>
    </xf>
    <xf numFmtId="3" fontId="25" fillId="0" borderId="1" xfId="0" applyNumberFormat="1" applyFont="1" applyBorder="1" applyAlignment="1">
      <alignment horizontal="right" vertical="center"/>
    </xf>
    <xf numFmtId="0" fontId="26" fillId="11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left" vertical="center" wrapText="1"/>
    </xf>
    <xf numFmtId="9" fontId="25" fillId="12" borderId="1" xfId="0" applyNumberFormat="1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left" vertical="center" wrapText="1"/>
    </xf>
    <xf numFmtId="3" fontId="27" fillId="0" borderId="1" xfId="0" applyNumberFormat="1" applyFont="1" applyBorder="1" applyAlignment="1">
      <alignment horizontal="right" vertical="center"/>
    </xf>
    <xf numFmtId="0" fontId="28" fillId="11" borderId="1" xfId="0" applyFont="1" applyFill="1" applyBorder="1" applyAlignment="1">
      <alignment horizontal="left" vertical="center" wrapText="1"/>
    </xf>
    <xf numFmtId="0" fontId="29" fillId="13" borderId="1" xfId="0" applyFont="1" applyFill="1" applyBorder="1" applyAlignment="1">
      <alignment horizontal="left" vertical="center" wrapText="1"/>
    </xf>
    <xf numFmtId="188" fontId="30" fillId="13" borderId="1" xfId="0" applyNumberFormat="1" applyFont="1" applyFill="1" applyBorder="1" applyAlignment="1">
      <alignment horizontal="right" vertical="center"/>
    </xf>
    <xf numFmtId="0" fontId="31" fillId="11" borderId="1" xfId="0" applyFont="1" applyFill="1" applyBorder="1" applyAlignment="1">
      <alignment horizontal="left" vertical="center" wrapText="1"/>
    </xf>
    <xf numFmtId="188" fontId="30" fillId="0" borderId="1" xfId="0" applyNumberFormat="1" applyFont="1" applyBorder="1" applyAlignment="1">
      <alignment horizontal="right" vertical="center"/>
    </xf>
    <xf numFmtId="187" fontId="27" fillId="0" borderId="1" xfId="0" applyNumberFormat="1" applyFont="1" applyBorder="1" applyAlignment="1">
      <alignment horizontal="right" vertical="center"/>
    </xf>
    <xf numFmtId="185" fontId="27" fillId="0" borderId="1" xfId="0" applyNumberFormat="1" applyFont="1" applyBorder="1" applyAlignment="1">
      <alignment horizontal="right" vertical="center"/>
    </xf>
    <xf numFmtId="0" fontId="24" fillId="11" borderId="1" xfId="0" applyFont="1" applyFill="1" applyBorder="1"/>
    <xf numFmtId="184" fontId="25" fillId="12" borderId="1" xfId="0" applyNumberFormat="1" applyFont="1" applyFill="1" applyBorder="1" applyAlignment="1">
      <alignment horizontal="center" vertical="center" wrapText="1"/>
    </xf>
    <xf numFmtId="0" fontId="26" fillId="11" borderId="1" xfId="0" applyFont="1" applyFill="1" applyBorder="1"/>
    <xf numFmtId="0" fontId="28" fillId="11" borderId="1" xfId="0" applyFont="1" applyFill="1" applyBorder="1"/>
    <xf numFmtId="0" fontId="27" fillId="11" borderId="1" xfId="0" applyFont="1" applyFill="1" applyBorder="1"/>
    <xf numFmtId="0" fontId="31" fillId="13" borderId="1" xfId="0" applyFont="1" applyFill="1" applyBorder="1"/>
    <xf numFmtId="3" fontId="32" fillId="13" borderId="1" xfId="0" applyNumberFormat="1" applyFont="1" applyFill="1" applyBorder="1" applyAlignment="1">
      <alignment horizontal="right" vertical="center"/>
    </xf>
    <xf numFmtId="184" fontId="27" fillId="0" borderId="1" xfId="0" applyNumberFormat="1" applyFont="1" applyBorder="1" applyAlignment="1">
      <alignment horizontal="right" vertical="center"/>
    </xf>
    <xf numFmtId="0" fontId="33" fillId="10" borderId="1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right" vertical="center"/>
    </xf>
    <xf numFmtId="0" fontId="31" fillId="13" borderId="4" xfId="0" applyFont="1" applyFill="1" applyBorder="1"/>
    <xf numFmtId="0" fontId="34" fillId="0" borderId="0" xfId="0" applyFont="1" applyAlignment="1">
      <alignment horizontal="left" vertical="center" wrapText="1"/>
    </xf>
    <xf numFmtId="0" fontId="23" fillId="10" borderId="1" xfId="0" applyFont="1" applyFill="1" applyBorder="1"/>
    <xf numFmtId="188" fontId="35" fillId="0" borderId="1" xfId="0" applyNumberFormat="1" applyFont="1" applyBorder="1" applyAlignment="1">
      <alignment horizontal="right" vertical="center"/>
    </xf>
    <xf numFmtId="188" fontId="27" fillId="0" borderId="1" xfId="0" applyNumberFormat="1" applyFont="1" applyBorder="1" applyAlignment="1">
      <alignment horizontal="right" vertical="center"/>
    </xf>
    <xf numFmtId="3" fontId="35" fillId="13" borderId="1" xfId="0" applyNumberFormat="1" applyFont="1" applyFill="1" applyBorder="1" applyAlignment="1">
      <alignment horizontal="right" vertical="center"/>
    </xf>
    <xf numFmtId="0" fontId="31" fillId="12" borderId="4" xfId="0" applyFont="1" applyFill="1" applyBorder="1"/>
    <xf numFmtId="0" fontId="31" fillId="12" borderId="1" xfId="0" applyFont="1" applyFill="1" applyBorder="1"/>
    <xf numFmtId="3" fontId="35" fillId="12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/>
    <xf numFmtId="182" fontId="36" fillId="0" borderId="1" xfId="0" applyNumberFormat="1" applyFont="1" applyBorder="1" applyAlignment="1">
      <alignment horizontal="right" vertical="center"/>
    </xf>
    <xf numFmtId="0" fontId="29" fillId="14" borderId="4" xfId="0" applyFont="1" applyFill="1" applyBorder="1"/>
    <xf numFmtId="0" fontId="17" fillId="0" borderId="0" xfId="0" applyFont="1"/>
    <xf numFmtId="181" fontId="5" fillId="5" borderId="0" xfId="0" applyNumberFormat="1" applyFont="1" applyFill="1"/>
    <xf numFmtId="0" fontId="31" fillId="14" borderId="1" xfId="0" applyFont="1" applyFill="1" applyBorder="1"/>
    <xf numFmtId="3" fontId="35" fillId="14" borderId="1" xfId="0" applyNumberFormat="1" applyFont="1" applyFill="1" applyBorder="1" applyAlignment="1">
      <alignment horizontal="right" vertical="center"/>
    </xf>
    <xf numFmtId="9" fontId="2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" fontId="25" fillId="0" borderId="1" xfId="0" applyNumberFormat="1" applyFont="1" applyBorder="1" applyAlignment="1">
      <alignment horizontal="right" vertical="center"/>
    </xf>
    <xf numFmtId="0" fontId="37" fillId="12" borderId="0" xfId="0" applyFont="1" applyFill="1" applyAlignment="1">
      <alignment horizontal="left" vertical="top" wrapText="1"/>
    </xf>
    <xf numFmtId="0" fontId="38" fillId="10" borderId="1" xfId="0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top" wrapText="1"/>
    </xf>
    <xf numFmtId="183" fontId="25" fillId="12" borderId="1" xfId="0" applyNumberFormat="1" applyFont="1" applyFill="1" applyBorder="1" applyAlignment="1">
      <alignment horizontal="center" vertical="center" wrapText="1"/>
    </xf>
    <xf numFmtId="3" fontId="41" fillId="0" borderId="1" xfId="0" applyNumberFormat="1" applyFont="1" applyBorder="1" applyAlignment="1">
      <alignment horizontal="right" vertical="center"/>
    </xf>
    <xf numFmtId="0" fontId="29" fillId="13" borderId="4" xfId="0" applyFont="1" applyFill="1" applyBorder="1"/>
    <xf numFmtId="0" fontId="26" fillId="11" borderId="1" xfId="0" applyFont="1" applyFill="1" applyBorder="1" applyAlignment="1">
      <alignment horizontal="center" vertical="center" wrapText="1"/>
    </xf>
    <xf numFmtId="3" fontId="42" fillId="0" borderId="1" xfId="0" applyNumberFormat="1" applyFont="1" applyBorder="1" applyAlignment="1">
      <alignment horizontal="right" vertical="center"/>
    </xf>
    <xf numFmtId="0" fontId="29" fillId="12" borderId="4" xfId="0" applyFont="1" applyFill="1" applyBorder="1"/>
    <xf numFmtId="1" fontId="25" fillId="12" borderId="1" xfId="0" applyNumberFormat="1" applyFont="1" applyFill="1" applyBorder="1" applyAlignment="1">
      <alignment horizontal="center" vertical="center" wrapText="1"/>
    </xf>
    <xf numFmtId="180" fontId="41" fillId="0" borderId="1" xfId="0" applyNumberFormat="1" applyFont="1" applyBorder="1" applyAlignment="1">
      <alignment horizontal="right" vertical="center"/>
    </xf>
    <xf numFmtId="187" fontId="25" fillId="12" borderId="1" xfId="0" applyNumberFormat="1" applyFont="1" applyFill="1" applyBorder="1" applyAlignment="1">
      <alignment horizontal="center" vertical="center" wrapText="1"/>
    </xf>
    <xf numFmtId="179" fontId="42" fillId="0" borderId="1" xfId="0" applyNumberFormat="1" applyFont="1" applyBorder="1" applyAlignment="1">
      <alignment horizontal="right" vertical="center"/>
    </xf>
    <xf numFmtId="3" fontId="41" fillId="0" borderId="1" xfId="0" applyNumberFormat="1" applyFont="1" applyBorder="1"/>
    <xf numFmtId="180" fontId="41" fillId="0" borderId="1" xfId="0" applyNumberFormat="1" applyFont="1" applyBorder="1"/>
    <xf numFmtId="178" fontId="42" fillId="0" borderId="1" xfId="0" applyNumberFormat="1" applyFont="1" applyBorder="1" applyAlignment="1">
      <alignment horizontal="right" vertical="center"/>
    </xf>
    <xf numFmtId="182" fontId="42" fillId="0" borderId="1" xfId="0" applyNumberFormat="1" applyFont="1" applyBorder="1" applyAlignment="1">
      <alignment horizontal="right" vertical="center"/>
    </xf>
    <xf numFmtId="9" fontId="42" fillId="0" borderId="1" xfId="0" applyNumberFormat="1" applyFont="1" applyBorder="1" applyAlignment="1">
      <alignment horizontal="center" vertical="center" wrapText="1"/>
    </xf>
    <xf numFmtId="183" fontId="42" fillId="0" borderId="1" xfId="0" applyNumberFormat="1" applyFont="1" applyBorder="1" applyAlignment="1">
      <alignment horizontal="center" vertical="center" wrapText="1"/>
    </xf>
    <xf numFmtId="182" fontId="36" fillId="12" borderId="1" xfId="0" applyNumberFormat="1" applyFont="1" applyFill="1" applyBorder="1" applyAlignment="1">
      <alignment horizontal="center" vertical="center" wrapText="1"/>
    </xf>
    <xf numFmtId="182" fontId="42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left" vertical="top" wrapText="1"/>
    </xf>
    <xf numFmtId="0" fontId="44" fillId="9" borderId="0" xfId="0" applyFont="1" applyFill="1" applyAlignment="1">
      <alignment horizontal="center" vertical="center" wrapText="1"/>
    </xf>
    <xf numFmtId="0" fontId="45" fillId="11" borderId="1" xfId="0" applyFont="1" applyFill="1" applyBorder="1" applyAlignment="1">
      <alignment horizontal="left" vertical="center" wrapText="1"/>
    </xf>
    <xf numFmtId="179" fontId="41" fillId="0" borderId="1" xfId="0" applyNumberFormat="1" applyFont="1" applyBorder="1" applyAlignment="1">
      <alignment horizontal="right" vertical="center"/>
    </xf>
    <xf numFmtId="182" fontId="27" fillId="0" borderId="1" xfId="0" applyNumberFormat="1" applyFont="1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0" fontId="46" fillId="9" borderId="0" xfId="0" applyFont="1" applyFill="1" applyAlignment="1">
      <alignment horizontal="center" vertical="center" wrapText="1"/>
    </xf>
    <xf numFmtId="179" fontId="0" fillId="0" borderId="1" xfId="0" applyNumberFormat="1" applyBorder="1" applyAlignment="1">
      <alignment horizontal="right" vertical="center"/>
    </xf>
    <xf numFmtId="0" fontId="47" fillId="9" borderId="0" xfId="0" applyFont="1" applyFill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9" fillId="9" borderId="0" xfId="0" applyFont="1" applyFill="1" applyAlignment="1">
      <alignment horizontal="center" vertical="center" wrapText="1"/>
    </xf>
    <xf numFmtId="0" fontId="50" fillId="0" borderId="0" xfId="0" applyFont="1" applyAlignment="1">
      <alignment horizontal="left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51" fillId="9" borderId="1" xfId="0" applyFont="1" applyFill="1" applyBorder="1" applyAlignment="1">
      <alignment horizontal="center" vertical="center" wrapText="1"/>
    </xf>
    <xf numFmtId="0" fontId="20" fillId="15" borderId="0" xfId="0" applyFont="1" applyFill="1" applyAlignment="1">
      <alignment horizontal="left" vertical="center" wrapText="1"/>
    </xf>
    <xf numFmtId="0" fontId="52" fillId="0" borderId="1" xfId="0" applyFont="1" applyBorder="1" applyAlignment="1">
      <alignment horizontal="center" vertical="center" wrapText="1"/>
    </xf>
    <xf numFmtId="0" fontId="53" fillId="11" borderId="1" xfId="0" applyFont="1" applyFill="1" applyBorder="1" applyAlignment="1">
      <alignment horizontal="left" vertical="center" wrapText="1"/>
    </xf>
    <xf numFmtId="0" fontId="54" fillId="11" borderId="1" xfId="0" applyFont="1" applyFill="1" applyBorder="1" applyAlignment="1">
      <alignment horizontal="left" vertical="center" wrapText="1"/>
    </xf>
    <xf numFmtId="177" fontId="5" fillId="0" borderId="1" xfId="0" applyNumberFormat="1" applyFont="1" applyBorder="1" applyAlignment="1">
      <alignment horizontal="right" vertical="center"/>
    </xf>
    <xf numFmtId="2" fontId="25" fillId="0" borderId="1" xfId="0" applyNumberFormat="1" applyFont="1" applyBorder="1" applyAlignment="1">
      <alignment horizontal="right" vertical="center"/>
    </xf>
    <xf numFmtId="0" fontId="20" fillId="16" borderId="0" xfId="0" applyFont="1" applyFill="1" applyAlignment="1">
      <alignment horizontal="left" vertical="center" wrapText="1"/>
    </xf>
    <xf numFmtId="0" fontId="20" fillId="17" borderId="0" xfId="0" applyFont="1" applyFill="1" applyAlignment="1">
      <alignment horizontal="left" vertical="center" wrapText="1"/>
    </xf>
    <xf numFmtId="0" fontId="20" fillId="18" borderId="0" xfId="0" applyFont="1" applyFill="1" applyAlignment="1">
      <alignment horizontal="left" vertical="center" wrapText="1"/>
    </xf>
    <xf numFmtId="0" fontId="20" fillId="19" borderId="0" xfId="0" applyFont="1" applyFill="1" applyAlignment="1">
      <alignment horizontal="left" vertical="center" wrapText="1"/>
    </xf>
    <xf numFmtId="177" fontId="25" fillId="0" borderId="1" xfId="0" applyNumberFormat="1" applyFont="1" applyBorder="1" applyAlignment="1">
      <alignment horizontal="right" vertical="center"/>
    </xf>
    <xf numFmtId="0" fontId="55" fillId="20" borderId="0" xfId="0" applyFont="1" applyFill="1"/>
    <xf numFmtId="0" fontId="56" fillId="0" borderId="1" xfId="0" applyFont="1" applyBorder="1" applyAlignment="1">
      <alignment horizontal="center" vertical="center"/>
    </xf>
    <xf numFmtId="0" fontId="57" fillId="4" borderId="1" xfId="0" applyFont="1" applyFill="1" applyBorder="1" applyAlignment="1">
      <alignment horizontal="left" vertical="center"/>
    </xf>
    <xf numFmtId="176" fontId="5" fillId="0" borderId="1" xfId="0" applyNumberFormat="1" applyFont="1" applyBorder="1" applyAlignment="1">
      <alignment horizontal="right" vertical="center"/>
    </xf>
    <xf numFmtId="0" fontId="55" fillId="21" borderId="0" xfId="0" applyFont="1" applyFill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B0000"/>
      <rgbColor rgb="00008000"/>
      <rgbColor rgb="00000080"/>
      <rgbColor rgb="00808000"/>
      <rgbColor rgb="00800080"/>
      <rgbColor rgb="000078D4"/>
      <rgbColor rgb="00BFBFBF"/>
      <rgbColor rgb="00808080"/>
      <rgbColor rgb="009999FF"/>
      <rgbColor rgb="00993366"/>
      <rgbColor rgb="00F2F2F2"/>
      <rgbColor rgb="00CCFFFF"/>
      <rgbColor rgb="00660066"/>
      <rgbColor rgb="00FF8080"/>
      <rgbColor rgb="000668E1"/>
      <rgbColor rgb="00D9D9D9"/>
      <rgbColor rgb="00000080"/>
      <rgbColor rgb="00FF00FF"/>
      <rgbColor rgb="00FFFF00"/>
      <rgbColor rgb="0000FFFF"/>
      <rgbColor rgb="00800080"/>
      <rgbColor rgb="00C00000"/>
      <rgbColor rgb="00008080"/>
      <rgbColor rgb="000000FF"/>
      <rgbColor rgb="0000CCFF"/>
      <rgbColor rgb="00CCFFFF"/>
      <rgbColor rgb="00C6E0B4"/>
      <rgbColor rgb="00FFE699"/>
      <rgbColor rgb="0099CCFF"/>
      <rgbColor rgb="00FF99CC"/>
      <rgbColor rgb="00CC99FF"/>
      <rgbColor rgb="00F8CBAD"/>
      <rgbColor rgb="004285F4"/>
      <rgbColor rgb="0033CCCC"/>
      <rgbColor rgb="0099CC00"/>
      <rgbColor rgb="00FFCC00"/>
      <rgbColor rgb="00FF9900"/>
      <rgbColor rgb="00D4762C"/>
      <rgbColor rgb="00595959"/>
      <rgbColor rgb="00B3B3B3"/>
      <rgbColor rgb="001F3864"/>
      <rgbColor rgb="00339966"/>
      <rgbColor rgb="00006400"/>
      <rgbColor rgb="00333300"/>
      <rgbColor rgb="00993300"/>
      <rgbColor rgb="00993366"/>
      <rgbColor rgb="002F5496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Capex / Revenue %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0550892913485202"/>
          <c:y val="0.116557879312642"/>
          <c:w val="0.857386256073705"/>
          <c:h val="0.815905155188491"/>
        </c:manualLayout>
      </c:layout>
      <c:lineChart>
        <c:grouping val="standard"/>
        <c:varyColors val="0"/>
        <c:ser>
          <c:idx val="0"/>
          <c:order val="0"/>
          <c:tx>
            <c:strRef>
              <c:f>'8. Charts'!$A$5</c:f>
              <c:strCache>
                <c:ptCount val="1"/>
                <c:pt idx="0">
                  <c:v>MSFT</c:v>
                </c:pt>
              </c:strCache>
            </c:strRef>
          </c:tx>
          <c:spPr>
            <a:ln w="31750" cap="rnd" cmpd="sng" algn="ctr">
              <a:solidFill>
                <a:schemeClr val="accent2">
                  <a:shade val="53333"/>
                </a:schemeClr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>
                  <a:shade val="53333"/>
                </a:schemeClr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Charts'!$B$5:$S$5</c:f>
              <c:numCache>
                <c:formatCode>0.0%</c:formatCode>
                <c:ptCount val="18"/>
                <c:pt idx="0">
                  <c:v>0.0546827833369729</c:v>
                </c:pt>
                <c:pt idx="1">
                  <c:v>0.0631672290488639</c:v>
                </c:pt>
                <c:pt idx="2">
                  <c:v>0.0635178456935243</c:v>
                </c:pt>
                <c:pt idx="3">
                  <c:v>0.0971260180724857</c:v>
                </c:pt>
                <c:pt idx="4">
                  <c:v>0.105527794158726</c:v>
                </c:pt>
                <c:pt idx="5">
                  <c:v>0.123233055454875</c:v>
                </c:pt>
                <c:pt idx="6">
                  <c:v>0.134294319111909</c:v>
                </c:pt>
                <c:pt idx="7">
                  <c:v>0.132853197217075</c:v>
                </c:pt>
                <c:pt idx="8">
                  <c:v>0.143972205035458</c:v>
                </c:pt>
                <c:pt idx="9">
                  <c:v>0.147273919402834</c:v>
                </c:pt>
                <c:pt idx="10">
                  <c:v>0.150532052945757</c:v>
                </c:pt>
                <c:pt idx="11">
                  <c:v>0.227233785625117</c:v>
                </c:pt>
                <c:pt idx="12">
                  <c:v>0.313072368701282</c:v>
                </c:pt>
                <c:pt idx="13">
                  <c:v>0.443090624180242</c:v>
                </c:pt>
                <c:pt idx="14">
                  <c:v>0.639691526233061</c:v>
                </c:pt>
                <c:pt idx="15">
                  <c:v>0.637070891312097</c:v>
                </c:pt>
                <c:pt idx="16">
                  <c:v>0.562339355346876</c:v>
                </c:pt>
                <c:pt idx="17">
                  <c:v>0.487612196923998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Charts'!$A$6</c:f>
              <c:strCache>
                <c:ptCount val="1"/>
                <c:pt idx="0">
                  <c:v>AMZN</c:v>
                </c:pt>
              </c:strCache>
            </c:strRef>
          </c:tx>
          <c:spPr>
            <a:ln w="31750" cap="rnd" cmpd="sng" algn="ctr">
              <a:solidFill>
                <a:schemeClr val="accent2">
                  <a:shade val="76667"/>
                </a:schemeClr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>
                  <a:shade val="76667"/>
                </a:schemeClr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Charts'!$B$6:$S$6</c:f>
              <c:numCache>
                <c:formatCode>0.0%</c:formatCode>
                <c:ptCount val="18"/>
                <c:pt idx="0">
                  <c:v>0.0462445602535862</c:v>
                </c:pt>
                <c:pt idx="1">
                  <c:v>0.0549737043196836</c:v>
                </c:pt>
                <c:pt idx="2">
                  <c:v>0.0428761004055847</c:v>
                </c:pt>
                <c:pt idx="3">
                  <c:v>0.0495341466463706</c:v>
                </c:pt>
                <c:pt idx="4">
                  <c:v>0.0565425657517457</c:v>
                </c:pt>
                <c:pt idx="5">
                  <c:v>0.0486158523232297</c:v>
                </c:pt>
                <c:pt idx="6">
                  <c:v>0.0452370937038806</c:v>
                </c:pt>
                <c:pt idx="7">
                  <c:v>0.0907776948899664</c:v>
                </c:pt>
                <c:pt idx="8">
                  <c:v>0.117908484489871</c:v>
                </c:pt>
                <c:pt idx="9">
                  <c:v>0.113468733401688</c:v>
                </c:pt>
                <c:pt idx="10">
                  <c:v>0.0837408770235827</c:v>
                </c:pt>
                <c:pt idx="11">
                  <c:v>0.121728825833635</c:v>
                </c:pt>
                <c:pt idx="12">
                  <c:v>0.178986894008291</c:v>
                </c:pt>
                <c:pt idx="13">
                  <c:v>0.242626231552105</c:v>
                </c:pt>
                <c:pt idx="14">
                  <c:v>0.289464388424061</c:v>
                </c:pt>
                <c:pt idx="15">
                  <c:v>0.27390282699997</c:v>
                </c:pt>
                <c:pt idx="16">
                  <c:v>0.255176738301661</c:v>
                </c:pt>
                <c:pt idx="17">
                  <c:v>0.239922302759585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Charts'!$A$7</c:f>
              <c:strCache>
                <c:ptCount val="1"/>
                <c:pt idx="0">
                  <c:v>GOOGL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Charts'!$B$7:$S$7</c:f>
              <c:numCache>
                <c:formatCode>0.0%</c:formatCode>
                <c:ptCount val="18"/>
                <c:pt idx="0">
                  <c:v>0.132531205533241</c:v>
                </c:pt>
                <c:pt idx="1">
                  <c:v>0.166042938743352</c:v>
                </c:pt>
                <c:pt idx="2">
                  <c:v>0.132219392177519</c:v>
                </c:pt>
                <c:pt idx="3">
                  <c:v>0.112803527118043</c:v>
                </c:pt>
                <c:pt idx="4">
                  <c:v>0.118930133958775</c:v>
                </c:pt>
                <c:pt idx="5">
                  <c:v>0.183739100563518</c:v>
                </c:pt>
                <c:pt idx="6">
                  <c:v>0.145486447913899</c:v>
                </c:pt>
                <c:pt idx="7">
                  <c:v>0.122069611619103</c:v>
                </c:pt>
                <c:pt idx="8">
                  <c:v>0.0956384370257378</c:v>
                </c:pt>
                <c:pt idx="9">
                  <c:v>0.111318926869281</c:v>
                </c:pt>
                <c:pt idx="10">
                  <c:v>0.104917467484726</c:v>
                </c:pt>
                <c:pt idx="11">
                  <c:v>0.150092280968407</c:v>
                </c:pt>
                <c:pt idx="12">
                  <c:v>0.227008013186508</c:v>
                </c:pt>
                <c:pt idx="13">
                  <c:v>0.380783380129981</c:v>
                </c:pt>
                <c:pt idx="14">
                  <c:v>0.448269679110198</c:v>
                </c:pt>
                <c:pt idx="15">
                  <c:v>0.417042591427592</c:v>
                </c:pt>
                <c:pt idx="16">
                  <c:v>0.371890339294814</c:v>
                </c:pt>
                <c:pt idx="17">
                  <c:v>0.334131885469669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Charts'!$A$8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 cmpd="sng" algn="ctr">
              <a:solidFill>
                <a:schemeClr val="accent2">
                  <a:tint val="76667"/>
                </a:schemeClr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>
                  <a:tint val="76667"/>
                </a:schemeClr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Charts'!$B$8:$S$8</c:f>
              <c:numCache>
                <c:formatCode>0.0%</c:formatCode>
                <c:ptCount val="18"/>
                <c:pt idx="0">
                  <c:v>0.173018292682927</c:v>
                </c:pt>
                <c:pt idx="1">
                  <c:v>0.146879512273384</c:v>
                </c:pt>
                <c:pt idx="2">
                  <c:v>0.140729585006693</c:v>
                </c:pt>
                <c:pt idx="3">
                  <c:v>0.162493668138071</c:v>
                </c:pt>
                <c:pt idx="4">
                  <c:v>0.165596634934691</c:v>
                </c:pt>
                <c:pt idx="5">
                  <c:v>0.25036713349332</c:v>
                </c:pt>
                <c:pt idx="6">
                  <c:v>0.213615853572287</c:v>
                </c:pt>
                <c:pt idx="7">
                  <c:v>0.175827371604723</c:v>
                </c:pt>
                <c:pt idx="8">
                  <c:v>0.157442189792163</c:v>
                </c:pt>
                <c:pt idx="9">
                  <c:v>0.267440763577425</c:v>
                </c:pt>
                <c:pt idx="10">
                  <c:v>0.200478866139864</c:v>
                </c:pt>
                <c:pt idx="11">
                  <c:v>0.22647886638987</c:v>
                </c:pt>
                <c:pt idx="12">
                  <c:v>0.346780052347163</c:v>
                </c:pt>
                <c:pt idx="13">
                  <c:v>0.536119817404754</c:v>
                </c:pt>
                <c:pt idx="14">
                  <c:v>0.550122407338345</c:v>
                </c:pt>
                <c:pt idx="15">
                  <c:v>0.526986302116654</c:v>
                </c:pt>
                <c:pt idx="16">
                  <c:v>0.48736678840751</c:v>
                </c:pt>
                <c:pt idx="17">
                  <c:v>0.456624870401654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Charts'!$A$9</c:f>
              <c:strCache>
                <c:ptCount val="1"/>
                <c:pt idx="0">
                  <c:v>ORCL</c:v>
                </c:pt>
              </c:strCache>
            </c:strRef>
          </c:tx>
          <c:spPr>
            <a:ln w="31750" cap="rnd" cmpd="sng" algn="ctr">
              <a:solidFill>
                <a:schemeClr val="accent2">
                  <a:tint val="53333"/>
                </a:schemeClr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>
                  <a:tint val="53333"/>
                </a:schemeClr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 Charts'!$B$4:$S$4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Charts'!$B$9:$S$9</c:f>
              <c:numCache>
                <c:formatCode>0.0%</c:formatCode>
                <c:ptCount val="18"/>
                <c:pt idx="0">
                  <c:v>0.476190476190476</c:v>
                </c:pt>
                <c:pt idx="1">
                  <c:v>0.015141231138725</c:v>
                </c:pt>
                <c:pt idx="2">
                  <c:v>0.0363631610592633</c:v>
                </c:pt>
                <c:pt idx="3">
                  <c:v>0.0320857058045713</c:v>
                </c:pt>
                <c:pt idx="4">
                  <c:v>0.0533259452756009</c:v>
                </c:pt>
                <c:pt idx="5">
                  <c:v>0.0435327749636391</c:v>
                </c:pt>
                <c:pt idx="6">
                  <c:v>0.0419976724181551</c:v>
                </c:pt>
                <c:pt idx="7">
                  <c:v>0.0400327633869151</c:v>
                </c:pt>
                <c:pt idx="8">
                  <c:v>0.0527407919764828</c:v>
                </c:pt>
                <c:pt idx="9">
                  <c:v>0.10629123468426</c:v>
                </c:pt>
                <c:pt idx="10">
                  <c:v>0.174060135324498</c:v>
                </c:pt>
                <c:pt idx="11">
                  <c:v>0.12964256717207</c:v>
                </c:pt>
                <c:pt idx="12">
                  <c:v>0.369605742260318</c:v>
                </c:pt>
                <c:pt idx="13">
                  <c:v>0.77140396205041</c:v>
                </c:pt>
                <c:pt idx="14">
                  <c:v>0.585158715801013</c:v>
                </c:pt>
                <c:pt idx="15">
                  <c:v>0.535470443379201</c:v>
                </c:pt>
                <c:pt idx="16">
                  <c:v>0.442430168392192</c:v>
                </c:pt>
                <c:pt idx="17">
                  <c:v>0.297968501533604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0.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Capex ($mm)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 Charts'!$A$28</c:f>
              <c:strCache>
                <c:ptCount val="1"/>
                <c:pt idx="0">
                  <c:v>MSFT</c:v>
                </c:pt>
              </c:strCache>
            </c:strRef>
          </c:tx>
          <c:spPr>
            <a:ln w="9525" cap="flat" cmpd="sng" algn="ctr">
              <a:noFill/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'8. Charts'!$B$27:$S$27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Charts'!$B$28:$S$28</c:f>
              <c:numCache>
                <c:formatCode>#,##0</c:formatCode>
                <c:ptCount val="18"/>
                <c:pt idx="0">
                  <c:v>4257</c:v>
                </c:pt>
                <c:pt idx="1">
                  <c:v>5485</c:v>
                </c:pt>
                <c:pt idx="2">
                  <c:v>5944</c:v>
                </c:pt>
                <c:pt idx="3">
                  <c:v>8932</c:v>
                </c:pt>
                <c:pt idx="4">
                  <c:v>10200</c:v>
                </c:pt>
                <c:pt idx="5">
                  <c:v>13600</c:v>
                </c:pt>
                <c:pt idx="6">
                  <c:v>16900</c:v>
                </c:pt>
                <c:pt idx="7">
                  <c:v>19000</c:v>
                </c:pt>
                <c:pt idx="8">
                  <c:v>24200</c:v>
                </c:pt>
                <c:pt idx="9">
                  <c:v>29200</c:v>
                </c:pt>
                <c:pt idx="10">
                  <c:v>31900</c:v>
                </c:pt>
                <c:pt idx="11">
                  <c:v>55700</c:v>
                </c:pt>
                <c:pt idx="12">
                  <c:v>88200</c:v>
                </c:pt>
                <c:pt idx="13">
                  <c:v>145871.3</c:v>
                </c:pt>
                <c:pt idx="14">
                  <c:v>245263.45</c:v>
                </c:pt>
                <c:pt idx="15">
                  <c:v>286760.35</c:v>
                </c:pt>
                <c:pt idx="16">
                  <c:v>300210.91</c:v>
                </c:pt>
                <c:pt idx="17">
                  <c:v>304616.04</c:v>
                </c:pt>
              </c:numCache>
            </c:numRef>
          </c:val>
        </c:ser>
        <c:ser>
          <c:idx val="1"/>
          <c:order val="1"/>
          <c:tx>
            <c:strRef>
              <c:f>'8. Charts'!$A$29</c:f>
              <c:strCache>
                <c:ptCount val="1"/>
                <c:pt idx="0">
                  <c:v>AMZN</c:v>
                </c:pt>
              </c:strCache>
            </c:strRef>
          </c:tx>
          <c:spPr>
            <a:ln w="9525" cap="flat" cmpd="sng" algn="ctr">
              <a:noFill/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'8. Charts'!$B$27:$S$27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Charts'!$B$29:$S$29</c:f>
              <c:numCache>
                <c:formatCode>#,##0</c:formatCode>
                <c:ptCount val="18"/>
                <c:pt idx="0">
                  <c:v>3443</c:v>
                </c:pt>
                <c:pt idx="1">
                  <c:v>4892</c:v>
                </c:pt>
                <c:pt idx="2">
                  <c:v>4588</c:v>
                </c:pt>
                <c:pt idx="3">
                  <c:v>6736</c:v>
                </c:pt>
                <c:pt idx="4">
                  <c:v>10057</c:v>
                </c:pt>
                <c:pt idx="5">
                  <c:v>11322</c:v>
                </c:pt>
                <c:pt idx="6">
                  <c:v>12690</c:v>
                </c:pt>
                <c:pt idx="7">
                  <c:v>35046</c:v>
                </c:pt>
                <c:pt idx="8">
                  <c:v>55396</c:v>
                </c:pt>
                <c:pt idx="9">
                  <c:v>58321</c:v>
                </c:pt>
                <c:pt idx="10">
                  <c:v>48133</c:v>
                </c:pt>
                <c:pt idx="11">
                  <c:v>77658</c:v>
                </c:pt>
                <c:pt idx="12">
                  <c:v>128320</c:v>
                </c:pt>
                <c:pt idx="13">
                  <c:v>200104.98</c:v>
                </c:pt>
                <c:pt idx="14">
                  <c:v>270141.72</c:v>
                </c:pt>
                <c:pt idx="15">
                  <c:v>283648.81</c:v>
                </c:pt>
                <c:pt idx="16">
                  <c:v>297831.25</c:v>
                </c:pt>
                <c:pt idx="17">
                  <c:v>312722.81</c:v>
                </c:pt>
              </c:numCache>
            </c:numRef>
          </c:val>
        </c:ser>
        <c:ser>
          <c:idx val="2"/>
          <c:order val="2"/>
          <c:tx>
            <c:strRef>
              <c:f>'8. Charts'!$A$30</c:f>
              <c:strCache>
                <c:ptCount val="1"/>
                <c:pt idx="0">
                  <c:v>GOOGL</c:v>
                </c:pt>
              </c:strCache>
            </c:strRef>
          </c:tx>
          <c:spPr>
            <a:ln w="9525" cap="flat" cmpd="sng" algn="ctr">
              <a:noFill/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'8. Charts'!$B$27:$S$27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Charts'!$B$30:$S$30</c:f>
              <c:numCache>
                <c:formatCode>#,##0</c:formatCode>
                <c:ptCount val="18"/>
                <c:pt idx="0">
                  <c:v>7358</c:v>
                </c:pt>
                <c:pt idx="1">
                  <c:v>10959</c:v>
                </c:pt>
                <c:pt idx="2">
                  <c:v>9915</c:v>
                </c:pt>
                <c:pt idx="3">
                  <c:v>10183</c:v>
                </c:pt>
                <c:pt idx="4">
                  <c:v>13184</c:v>
                </c:pt>
                <c:pt idx="5">
                  <c:v>25139</c:v>
                </c:pt>
                <c:pt idx="6">
                  <c:v>23548</c:v>
                </c:pt>
                <c:pt idx="7">
                  <c:v>22281</c:v>
                </c:pt>
                <c:pt idx="8">
                  <c:v>24640</c:v>
                </c:pt>
                <c:pt idx="9">
                  <c:v>31485</c:v>
                </c:pt>
                <c:pt idx="10">
                  <c:v>32251</c:v>
                </c:pt>
                <c:pt idx="11">
                  <c:v>52535</c:v>
                </c:pt>
                <c:pt idx="12">
                  <c:v>91447</c:v>
                </c:pt>
                <c:pt idx="13">
                  <c:v>185234.28</c:v>
                </c:pt>
                <c:pt idx="14">
                  <c:v>259327.99</c:v>
                </c:pt>
                <c:pt idx="15">
                  <c:v>285260.79</c:v>
                </c:pt>
                <c:pt idx="16">
                  <c:v>299523.83</c:v>
                </c:pt>
                <c:pt idx="17">
                  <c:v>314500.02</c:v>
                </c:pt>
              </c:numCache>
            </c:numRef>
          </c:val>
        </c:ser>
        <c:ser>
          <c:idx val="3"/>
          <c:order val="3"/>
          <c:tx>
            <c:strRef>
              <c:f>'8. Charts'!$A$31</c:f>
              <c:strCache>
                <c:ptCount val="1"/>
                <c:pt idx="0">
                  <c:v>META</c:v>
                </c:pt>
              </c:strCache>
            </c:strRef>
          </c:tx>
          <c:spPr>
            <a:ln w="9525" cap="flat" cmpd="sng" algn="ctr">
              <a:noFill/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'8. Charts'!$B$27:$S$27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Charts'!$B$31:$S$31</c:f>
              <c:numCache>
                <c:formatCode>#,##0</c:formatCode>
                <c:ptCount val="18"/>
                <c:pt idx="0">
                  <c:v>1362</c:v>
                </c:pt>
                <c:pt idx="1">
                  <c:v>1831</c:v>
                </c:pt>
                <c:pt idx="2">
                  <c:v>2523</c:v>
                </c:pt>
                <c:pt idx="3">
                  <c:v>4491</c:v>
                </c:pt>
                <c:pt idx="4">
                  <c:v>6732</c:v>
                </c:pt>
                <c:pt idx="5">
                  <c:v>13980</c:v>
                </c:pt>
                <c:pt idx="6">
                  <c:v>15102</c:v>
                </c:pt>
                <c:pt idx="7">
                  <c:v>15115</c:v>
                </c:pt>
                <c:pt idx="8">
                  <c:v>18567</c:v>
                </c:pt>
                <c:pt idx="9">
                  <c:v>31186</c:v>
                </c:pt>
                <c:pt idx="10">
                  <c:v>27045</c:v>
                </c:pt>
                <c:pt idx="11">
                  <c:v>37256</c:v>
                </c:pt>
                <c:pt idx="12">
                  <c:v>69691</c:v>
                </c:pt>
                <c:pt idx="13">
                  <c:v>135583.71</c:v>
                </c:pt>
                <c:pt idx="14">
                  <c:v>165714.44</c:v>
                </c:pt>
                <c:pt idx="15">
                  <c:v>185600.17</c:v>
                </c:pt>
                <c:pt idx="16">
                  <c:v>196736.18</c:v>
                </c:pt>
                <c:pt idx="17">
                  <c:v>208540.35</c:v>
                </c:pt>
              </c:numCache>
            </c:numRef>
          </c:val>
        </c:ser>
        <c:ser>
          <c:idx val="4"/>
          <c:order val="4"/>
          <c:tx>
            <c:strRef>
              <c:f>'8. Charts'!$A$32</c:f>
              <c:strCache>
                <c:ptCount val="1"/>
                <c:pt idx="0">
                  <c:v>ORCL</c:v>
                </c:pt>
              </c:strCache>
            </c:strRef>
          </c:tx>
          <c:spPr>
            <a:ln w="9525" cap="flat" cmpd="sng" algn="ctr">
              <a:noFill/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'8. Charts'!$B$27:$S$27</c:f>
              <c:strCache>
                <c:ptCount val="18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  <c:pt idx="14">
                  <c:v>2027</c:v>
                </c:pt>
                <c:pt idx="15">
                  <c:v>2028</c:v>
                </c:pt>
                <c:pt idx="16">
                  <c:v>2029</c:v>
                </c:pt>
                <c:pt idx="17">
                  <c:v>2030</c:v>
                </c:pt>
              </c:strCache>
            </c:strRef>
          </c:cat>
          <c:val>
            <c:numRef>
              <c:f>'8. Charts'!$B$32:$S$32</c:f>
              <c:numCache>
                <c:formatCode>#,##0</c:formatCode>
                <c:ptCount val="18"/>
                <c:pt idx="0">
                  <c:v>650</c:v>
                </c:pt>
                <c:pt idx="1">
                  <c:v>580</c:v>
                </c:pt>
                <c:pt idx="2">
                  <c:v>1391</c:v>
                </c:pt>
                <c:pt idx="3">
                  <c:v>1189</c:v>
                </c:pt>
                <c:pt idx="4">
                  <c:v>2021</c:v>
                </c:pt>
                <c:pt idx="5">
                  <c:v>1736</c:v>
                </c:pt>
                <c:pt idx="6">
                  <c:v>1660</c:v>
                </c:pt>
                <c:pt idx="7">
                  <c:v>1564</c:v>
                </c:pt>
                <c:pt idx="8">
                  <c:v>2135</c:v>
                </c:pt>
                <c:pt idx="9">
                  <c:v>4511</c:v>
                </c:pt>
                <c:pt idx="10">
                  <c:v>8695</c:v>
                </c:pt>
                <c:pt idx="11">
                  <c:v>6866</c:v>
                </c:pt>
                <c:pt idx="12">
                  <c:v>21215</c:v>
                </c:pt>
                <c:pt idx="13">
                  <c:v>51882</c:v>
                </c:pt>
                <c:pt idx="14">
                  <c:v>52141.41</c:v>
                </c:pt>
                <c:pt idx="15">
                  <c:v>69869.49</c:v>
                </c:pt>
                <c:pt idx="16">
                  <c:v>81048.61</c:v>
                </c:pt>
                <c:pt idx="17">
                  <c:v>66459.86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Operating Margin %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0128730990092762"/>
          <c:y val="0.114293326228853"/>
          <c:w val="0.972234492332934"/>
          <c:h val="0.761209537764753"/>
        </c:manualLayout>
      </c:layout>
      <c:lineChart>
        <c:grouping val="standard"/>
        <c:varyColors val="0"/>
        <c:ser>
          <c:idx val="0"/>
          <c:order val="0"/>
          <c:tx>
            <c:strRef>
              <c:f>'8. Charts'!$A$51</c:f>
              <c:strCache>
                <c:ptCount val="1"/>
                <c:pt idx="0">
                  <c:v>MSFT</c:v>
                </c:pt>
              </c:strCache>
            </c:strRef>
          </c:tx>
          <c:spPr>
            <a:ln w="31750" cap="rnd" cmpd="sng" algn="ctr">
              <a:solidFill>
                <a:schemeClr val="accent2">
                  <a:shade val="53333"/>
                </a:schemeClr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>
                  <a:shade val="53333"/>
                </a:schemeClr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 Charts'!$C$50:$S$50</c:f>
              <c:strCache>
                <c:ptCount val="1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</c:strCache>
            </c:strRef>
          </c:cat>
          <c:val>
            <c:numRef>
              <c:f>'8. Charts'!$C$51:$S$51</c:f>
              <c:numCache>
                <c:formatCode>0.0%</c:formatCode>
                <c:ptCount val="17"/>
                <c:pt idx="0">
                  <c:v>0.319682609146292</c:v>
                </c:pt>
                <c:pt idx="1">
                  <c:v>0.142754862150032</c:v>
                </c:pt>
                <c:pt idx="2">
                  <c:v>0.127834020203778</c:v>
                </c:pt>
                <c:pt idx="3">
                  <c:v>0.117829024281738</c:v>
                </c:pt>
                <c:pt idx="4">
                  <c:v>0.117107647698441</c:v>
                </c:pt>
                <c:pt idx="5">
                  <c:v>0.128882814300358</c:v>
                </c:pt>
                <c:pt idx="6">
                  <c:v>0.130923329720659</c:v>
                </c:pt>
                <c:pt idx="7">
                  <c:v>0.144870544000761</c:v>
                </c:pt>
                <c:pt idx="8">
                  <c:v>0.149730165935341</c:v>
                </c:pt>
                <c:pt idx="9">
                  <c:v>0.23629285326664</c:v>
                </c:pt>
                <c:pt idx="10">
                  <c:v>0.243393085891923</c:v>
                </c:pt>
                <c:pt idx="11">
                  <c:v>0.247664380741435</c:v>
                </c:pt>
                <c:pt idx="12">
                  <c:v>0.241611242609805</c:v>
                </c:pt>
                <c:pt idx="13">
                  <c:v>0.223335846055128</c:v>
                </c:pt>
                <c:pt idx="14">
                  <c:v>0.155240874752629</c:v>
                </c:pt>
                <c:pt idx="15">
                  <c:v>0.189883391877002</c:v>
                </c:pt>
                <c:pt idx="16">
                  <c:v>0.173695878936653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'8. Charts'!$A$52</c:f>
              <c:strCache>
                <c:ptCount val="1"/>
                <c:pt idx="0">
                  <c:v>AMZN</c:v>
                </c:pt>
              </c:strCache>
            </c:strRef>
          </c:tx>
          <c:spPr>
            <a:ln w="31750" cap="rnd" cmpd="sng" algn="ctr">
              <a:solidFill>
                <a:schemeClr val="accent2">
                  <a:shade val="76667"/>
                </a:schemeClr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>
                  <a:shade val="76667"/>
                </a:schemeClr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 Charts'!$C$50:$S$50</c:f>
              <c:strCache>
                <c:ptCount val="1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</c:strCache>
            </c:strRef>
          </c:cat>
          <c:val>
            <c:numRef>
              <c:f>'8. Charts'!$C$52:$S$52</c:f>
              <c:numCache>
                <c:formatCode>0.0%</c:formatCode>
                <c:ptCount val="17"/>
                <c:pt idx="0">
                  <c:v>0.00514676136108239</c:v>
                </c:pt>
                <c:pt idx="1">
                  <c:v>0.0140833224305179</c:v>
                </c:pt>
                <c:pt idx="2">
                  <c:v>0.0228551258576187</c:v>
                </c:pt>
                <c:pt idx="3">
                  <c:v>0.0243497914160098</c:v>
                </c:pt>
                <c:pt idx="4">
                  <c:v>0.0313284983704543</c:v>
                </c:pt>
                <c:pt idx="5">
                  <c:v>0.0327995665224118</c:v>
                </c:pt>
                <c:pt idx="6">
                  <c:v>0.0350485929794024</c:v>
                </c:pt>
                <c:pt idx="7">
                  <c:v>0.0394447258749058</c:v>
                </c:pt>
                <c:pt idx="8">
                  <c:v>0.0444392129700788</c:v>
                </c:pt>
                <c:pt idx="9">
                  <c:v>0.0428525448646015</c:v>
                </c:pt>
                <c:pt idx="10">
                  <c:v>0.0624397492628837</c:v>
                </c:pt>
                <c:pt idx="11">
                  <c:v>0.0636134374075913</c:v>
                </c:pt>
                <c:pt idx="12">
                  <c:v>0.0714067846306012</c:v>
                </c:pt>
                <c:pt idx="13">
                  <c:v>0.08159074145037</c:v>
                </c:pt>
                <c:pt idx="14">
                  <c:v>0.0949921778277507</c:v>
                </c:pt>
                <c:pt idx="15">
                  <c:v>0.105667650087854</c:v>
                </c:pt>
                <c:pt idx="16">
                  <c:v>0.11670332931707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'8. Charts'!$A$53</c:f>
              <c:strCache>
                <c:ptCount val="1"/>
                <c:pt idx="0">
                  <c:v>GOOGL</c:v>
                </c:pt>
              </c:strCache>
            </c:strRef>
          </c:tx>
          <c:spPr>
            <a:ln w="317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/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 Charts'!$C$50:$S$50</c:f>
              <c:strCache>
                <c:ptCount val="1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</c:strCache>
            </c:strRef>
          </c:cat>
          <c:val>
            <c:numRef>
              <c:f>'8. Charts'!$C$53:$S$53</c:f>
              <c:numCache>
                <c:formatCode>0.0%</c:formatCode>
                <c:ptCount val="17"/>
                <c:pt idx="0">
                  <c:v>0.287344131149528</c:v>
                </c:pt>
                <c:pt idx="1">
                  <c:v>0.310965608289216</c:v>
                </c:pt>
                <c:pt idx="2">
                  <c:v>0.299705334987593</c:v>
                </c:pt>
                <c:pt idx="3">
                  <c:v>0.292778855261377</c:v>
                </c:pt>
                <c:pt idx="4">
                  <c:v>0.315285157763176</c:v>
                </c:pt>
                <c:pt idx="5">
                  <c:v>0.30273018775833</c:v>
                </c:pt>
                <c:pt idx="6">
                  <c:v>0.299166698625409</c:v>
                </c:pt>
                <c:pt idx="7">
                  <c:v>0.356528759456134</c:v>
                </c:pt>
                <c:pt idx="8">
                  <c:v>0.292392057588143</c:v>
                </c:pt>
                <c:pt idx="9">
                  <c:v>0.311840829684379</c:v>
                </c:pt>
                <c:pt idx="10">
                  <c:v>0.346447896965299</c:v>
                </c:pt>
                <c:pt idx="11">
                  <c:v>0.346056459700722</c:v>
                </c:pt>
                <c:pt idx="12">
                  <c:v>0.341343886563669</c:v>
                </c:pt>
                <c:pt idx="13">
                  <c:v>0.325672166000287</c:v>
                </c:pt>
                <c:pt idx="14">
                  <c:v>0.303334166314856</c:v>
                </c:pt>
                <c:pt idx="15">
                  <c:v>0.284571661297904</c:v>
                </c:pt>
                <c:pt idx="16">
                  <c:v>0.274826762455809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'8. Charts'!$A$54</c:f>
              <c:strCache>
                <c:ptCount val="1"/>
                <c:pt idx="0">
                  <c:v>META</c:v>
                </c:pt>
              </c:strCache>
            </c:strRef>
          </c:tx>
          <c:spPr>
            <a:ln w="31750" cap="rnd" cmpd="sng" algn="ctr">
              <a:solidFill>
                <a:schemeClr val="accent2">
                  <a:tint val="76667"/>
                </a:schemeClr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>
                  <a:tint val="76667"/>
                </a:schemeClr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 Charts'!$C$50:$S$50</c:f>
              <c:strCache>
                <c:ptCount val="1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</c:strCache>
            </c:strRef>
          </c:cat>
          <c:val>
            <c:numRef>
              <c:f>'8. Charts'!$C$54:$S$54</c:f>
              <c:numCache>
                <c:formatCode>0.0%</c:formatCode>
                <c:ptCount val="17"/>
                <c:pt idx="0">
                  <c:v>0.400673832825285</c:v>
                </c:pt>
                <c:pt idx="1">
                  <c:v>0.347222222222222</c:v>
                </c:pt>
                <c:pt idx="2">
                  <c:v>0.449634561111513</c:v>
                </c:pt>
                <c:pt idx="3">
                  <c:v>0.496937495387794</c:v>
                </c:pt>
                <c:pt idx="4">
                  <c:v>0.446165693613668</c:v>
                </c:pt>
                <c:pt idx="5">
                  <c:v>0.40297325204747</c:v>
                </c:pt>
                <c:pt idx="6">
                  <c:v>0.457093002966323</c:v>
                </c:pt>
                <c:pt idx="7">
                  <c:v>0.482883769047478</c:v>
                </c:pt>
                <c:pt idx="8">
                  <c:v>0.365846547007521</c:v>
                </c:pt>
                <c:pt idx="9">
                  <c:v>0.466049428474003</c:v>
                </c:pt>
                <c:pt idx="10">
                  <c:v>0.52953477486459</c:v>
                </c:pt>
                <c:pt idx="11">
                  <c:v>0.509882268642457</c:v>
                </c:pt>
                <c:pt idx="12">
                  <c:v>0.424108875450453</c:v>
                </c:pt>
                <c:pt idx="13">
                  <c:v>0.409427333635338</c:v>
                </c:pt>
                <c:pt idx="14">
                  <c:v>0.405256638118951</c:v>
                </c:pt>
                <c:pt idx="15">
                  <c:v>0.44456344103389</c:v>
                </c:pt>
                <c:pt idx="16">
                  <c:v>0.421163719250842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'8. Charts'!$A$55</c:f>
              <c:strCache>
                <c:ptCount val="1"/>
                <c:pt idx="0">
                  <c:v>ORCL</c:v>
                </c:pt>
              </c:strCache>
            </c:strRef>
          </c:tx>
          <c:spPr>
            <a:ln w="31750" cap="rnd" cmpd="sng" algn="ctr">
              <a:solidFill>
                <a:schemeClr val="accent2">
                  <a:tint val="53333"/>
                </a:schemeClr>
              </a:solidFill>
              <a:prstDash val="solid"/>
              <a:round/>
            </a:ln>
          </c:spPr>
          <c:marker>
            <c:symbol val="circle"/>
            <c:size val="17"/>
            <c:spPr>
              <a:solidFill>
                <a:schemeClr val="accent2">
                  <a:tint val="53333"/>
                </a:schemeClr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dLbl>
              <c:idx val="0"/>
              <c:layout/>
              <c:dLblPos val="r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'8. Charts'!$C$50:$S$50</c:f>
              <c:strCache>
                <c:ptCount val="1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</c:strCache>
            </c:strRef>
          </c:cat>
          <c:val>
            <c:numRef>
              <c:f>'8. Charts'!$C$55:$S$55</c:f>
              <c:numCache>
                <c:formatCode>0.0%</c:formatCode>
                <c:ptCount val="17"/>
                <c:pt idx="0">
                  <c:v>0.472719678379366</c:v>
                </c:pt>
                <c:pt idx="1">
                  <c:v>0.454761718035187</c:v>
                </c:pt>
                <c:pt idx="2">
                  <c:v>0.425965404646895</c:v>
                </c:pt>
                <c:pt idx="3">
                  <c:v>0.426607562204807</c:v>
                </c:pt>
                <c:pt idx="4">
                  <c:v>0.430187070565224</c:v>
                </c:pt>
                <c:pt idx="5">
                  <c:v>0.439811769468198</c:v>
                </c:pt>
                <c:pt idx="6">
                  <c:v>0.444942152144978</c:v>
                </c:pt>
                <c:pt idx="7">
                  <c:v>0.469355994170104</c:v>
                </c:pt>
                <c:pt idx="8">
                  <c:v>0.461639962299717</c:v>
                </c:pt>
                <c:pt idx="9">
                  <c:v>0.418464987788766</c:v>
                </c:pt>
                <c:pt idx="10">
                  <c:v>0.435301448235494</c:v>
                </c:pt>
                <c:pt idx="11">
                  <c:v>0.436140002439067</c:v>
                </c:pt>
                <c:pt idx="12">
                  <c:v>0.417996808937236</c:v>
                </c:pt>
                <c:pt idx="13">
                  <c:v>0.319720549940049</c:v>
                </c:pt>
                <c:pt idx="14">
                  <c:v>0.354689335975017</c:v>
                </c:pt>
                <c:pt idx="15">
                  <c:v>0.35137418546827</c:v>
                </c:pt>
                <c:pt idx="16">
                  <c:v>0.312759624546344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alpha val="42000"/>
                      <a:lumMod val="95000"/>
                      <a:lumOff val="5000"/>
                    </a:schemeClr>
                  </a:gs>
                  <a:gs pos="0">
                    <a:schemeClr val="lt1">
                      <a:alpha val="36000"/>
                      <a:lumMod val="7500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majorGridlines>
        <c:numFmt formatCode="0.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286385</xdr:colOff>
      <xdr:row>3</xdr:row>
      <xdr:rowOff>29845</xdr:rowOff>
    </xdr:from>
    <xdr:ext cx="10080000" cy="4709800"/>
    <xdr:graphicFrame>
      <xdr:nvGraphicFramePr>
        <xdr:cNvPr id="2" name="Chart 1"/>
        <xdr:cNvGraphicFramePr/>
      </xdr:nvGraphicFramePr>
      <xdr:xfrm>
        <a:off x="2480945" y="583565"/>
        <a:ext cx="10079990" cy="4709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244475</xdr:colOff>
      <xdr:row>34</xdr:row>
      <xdr:rowOff>113665</xdr:rowOff>
    </xdr:from>
    <xdr:ext cx="10080000" cy="4709800"/>
    <xdr:graphicFrame>
      <xdr:nvGraphicFramePr>
        <xdr:cNvPr id="3" name="Chart 2"/>
        <xdr:cNvGraphicFramePr/>
      </xdr:nvGraphicFramePr>
      <xdr:xfrm>
        <a:off x="3170555" y="6179185"/>
        <a:ext cx="10079990" cy="4709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572770</xdr:colOff>
      <xdr:row>63</xdr:row>
      <xdr:rowOff>35560</xdr:rowOff>
    </xdr:from>
    <xdr:ext cx="10080000" cy="4709800"/>
    <xdr:graphicFrame>
      <xdr:nvGraphicFramePr>
        <xdr:cNvPr id="4" name="Chart 3"/>
        <xdr:cNvGraphicFramePr/>
      </xdr:nvGraphicFramePr>
      <xdr:xfrm>
        <a:off x="3498850" y="11257280"/>
        <a:ext cx="10079990" cy="4709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101"/>
  <sheetViews>
    <sheetView showGridLines="0" workbookViewId="0">
      <pane xSplit="2" ySplit="3" topLeftCell="I43" activePane="bottomRight" state="frozen"/>
      <selection/>
      <selection pane="topRight"/>
      <selection pane="bottomLeft"/>
      <selection pane="bottomRight" activeCell="R56" sqref="P56:R56"/>
    </sheetView>
  </sheetViews>
  <sheetFormatPr defaultColWidth="8.6796875" defaultRowHeight="14"/>
  <cols>
    <col min="1" max="1" width="10" customWidth="1"/>
    <col min="2" max="2" width="22" customWidth="1"/>
    <col min="3" max="21" width="10.5078125" customWidth="1"/>
  </cols>
  <sheetData>
    <row r="1" ht="24" customHeight="1" spans="1:1">
      <c r="A1" s="30" t="s">
        <v>0</v>
      </c>
    </row>
    <row r="3" ht="15" customHeight="1" spans="1:20">
      <c r="A3" s="114" t="s">
        <v>1</v>
      </c>
      <c r="B3" s="115" t="s">
        <v>2</v>
      </c>
      <c r="C3" s="34" t="s">
        <v>3</v>
      </c>
      <c r="D3" s="34" t="s">
        <v>4</v>
      </c>
      <c r="E3" s="34" t="s">
        <v>5</v>
      </c>
      <c r="F3" s="34" t="s">
        <v>6</v>
      </c>
      <c r="G3" s="34" t="s">
        <v>7</v>
      </c>
      <c r="H3" s="34" t="s">
        <v>8</v>
      </c>
      <c r="I3" s="34" t="s">
        <v>9</v>
      </c>
      <c r="J3" s="34" t="s">
        <v>10</v>
      </c>
      <c r="K3" s="34" t="s">
        <v>11</v>
      </c>
      <c r="L3" s="34" t="s">
        <v>12</v>
      </c>
      <c r="M3" s="34" t="s">
        <v>13</v>
      </c>
      <c r="N3" s="34" t="s">
        <v>14</v>
      </c>
      <c r="O3" s="34" t="s">
        <v>15</v>
      </c>
      <c r="P3" s="34" t="s">
        <v>16</v>
      </c>
      <c r="Q3" s="34" t="s">
        <v>17</v>
      </c>
      <c r="R3" s="34" t="s">
        <v>18</v>
      </c>
      <c r="S3" s="34" t="s">
        <v>19</v>
      </c>
      <c r="T3" s="34" t="s">
        <v>20</v>
      </c>
    </row>
    <row r="4" ht="15" customHeight="1" spans="1:1">
      <c r="A4" s="116" t="s">
        <v>21</v>
      </c>
    </row>
    <row r="5" ht="15" customHeight="1" spans="1:20">
      <c r="A5" s="117" t="s">
        <v>22</v>
      </c>
      <c r="B5" s="118" t="s">
        <v>23</v>
      </c>
      <c r="C5" s="5">
        <v>77849</v>
      </c>
      <c r="D5" s="5">
        <v>86833</v>
      </c>
      <c r="E5" s="5">
        <v>93580</v>
      </c>
      <c r="F5" s="5">
        <v>91963</v>
      </c>
      <c r="G5" s="5">
        <v>96657</v>
      </c>
      <c r="H5" s="5">
        <v>110360</v>
      </c>
      <c r="I5" s="5">
        <v>125843</v>
      </c>
      <c r="J5" s="5">
        <v>143015</v>
      </c>
      <c r="K5" s="5">
        <v>168088</v>
      </c>
      <c r="L5" s="5">
        <v>198270</v>
      </c>
      <c r="M5" s="5">
        <v>211915</v>
      </c>
      <c r="N5" s="5">
        <v>245122</v>
      </c>
      <c r="O5" s="5">
        <v>281724</v>
      </c>
      <c r="P5" s="5">
        <v>329213.24</v>
      </c>
      <c r="Q5" s="5">
        <v>383408.94</v>
      </c>
      <c r="R5" s="5">
        <v>450123.14</v>
      </c>
      <c r="S5" s="5">
        <v>533860.75</v>
      </c>
      <c r="T5" s="5">
        <v>624709.64</v>
      </c>
    </row>
    <row r="6" ht="15" customHeight="1" spans="1:20">
      <c r="A6" s="117" t="s">
        <v>22</v>
      </c>
      <c r="B6" s="118" t="s">
        <v>24</v>
      </c>
      <c r="C6" s="37">
        <v>26764</v>
      </c>
      <c r="D6" s="37">
        <v>27759</v>
      </c>
      <c r="E6" s="5">
        <v>13359</v>
      </c>
      <c r="F6" s="5">
        <v>11756</v>
      </c>
      <c r="G6" s="5">
        <v>11389</v>
      </c>
      <c r="H6" s="5">
        <v>12924</v>
      </c>
      <c r="I6" s="5">
        <v>16219</v>
      </c>
      <c r="J6" s="5">
        <v>18724</v>
      </c>
      <c r="K6" s="5">
        <v>24351</v>
      </c>
      <c r="L6" s="5">
        <v>29687</v>
      </c>
      <c r="M6" s="5">
        <v>50074</v>
      </c>
      <c r="N6" s="5">
        <v>59661</v>
      </c>
      <c r="O6" s="5">
        <v>69773</v>
      </c>
      <c r="P6" s="5">
        <v>79541.62</v>
      </c>
      <c r="Q6" s="5">
        <v>85628.96</v>
      </c>
      <c r="R6" s="5">
        <v>69877.51</v>
      </c>
      <c r="S6" s="5">
        <v>101371.29</v>
      </c>
      <c r="T6" s="5">
        <v>108509.49</v>
      </c>
    </row>
    <row r="7" ht="15" customHeight="1" spans="1:20">
      <c r="A7" s="117" t="s">
        <v>22</v>
      </c>
      <c r="B7" s="118" t="s">
        <v>25</v>
      </c>
      <c r="C7" s="37">
        <v>21863</v>
      </c>
      <c r="D7" s="37">
        <v>22074</v>
      </c>
      <c r="E7" s="37">
        <v>12193</v>
      </c>
      <c r="F7" s="37">
        <v>16798</v>
      </c>
      <c r="G7" s="37">
        <v>25489</v>
      </c>
      <c r="H7" s="37">
        <v>16571</v>
      </c>
      <c r="I7" s="37">
        <v>39240</v>
      </c>
      <c r="J7" s="37">
        <v>44281</v>
      </c>
      <c r="K7" s="37">
        <v>61271</v>
      </c>
      <c r="L7" s="37">
        <v>72738</v>
      </c>
      <c r="M7" s="37">
        <v>72361</v>
      </c>
      <c r="N7" s="37">
        <v>88136</v>
      </c>
      <c r="O7" s="37">
        <v>101832</v>
      </c>
      <c r="P7" s="37">
        <v>129372.86</v>
      </c>
      <c r="Q7" s="37">
        <v>144971.56</v>
      </c>
      <c r="R7" s="37">
        <v>175683.92</v>
      </c>
      <c r="S7" s="37">
        <v>215472.22</v>
      </c>
      <c r="T7" s="37">
        <v>258948.36</v>
      </c>
    </row>
    <row r="8" ht="15" customHeight="1" spans="1:20">
      <c r="A8" s="117" t="s">
        <v>22</v>
      </c>
      <c r="B8" s="119" t="s">
        <v>26</v>
      </c>
      <c r="C8" s="120">
        <v>2.58</v>
      </c>
      <c r="D8" s="120">
        <v>2.63</v>
      </c>
      <c r="E8" s="120">
        <v>1.48</v>
      </c>
      <c r="F8" s="120">
        <v>2.1</v>
      </c>
      <c r="G8" s="120">
        <v>2.71</v>
      </c>
      <c r="H8" s="120">
        <v>2.13</v>
      </c>
      <c r="I8" s="120">
        <v>5.06</v>
      </c>
      <c r="J8" s="120">
        <v>5.76</v>
      </c>
      <c r="K8" s="120">
        <v>8.05</v>
      </c>
      <c r="L8" s="120">
        <v>9.65</v>
      </c>
      <c r="M8" s="120">
        <v>9.68</v>
      </c>
      <c r="N8" s="120">
        <v>11.8</v>
      </c>
      <c r="O8" s="120">
        <v>13.64</v>
      </c>
      <c r="P8" s="120">
        <v>17.28</v>
      </c>
      <c r="Q8" s="120">
        <v>19.42</v>
      </c>
      <c r="R8" s="120">
        <v>22.81</v>
      </c>
      <c r="S8" s="120">
        <v>27</v>
      </c>
      <c r="T8" s="120">
        <v>31.49</v>
      </c>
    </row>
    <row r="9" ht="15" customHeight="1" spans="1:20">
      <c r="A9" s="117" t="s">
        <v>22</v>
      </c>
      <c r="B9" s="118" t="s">
        <v>27</v>
      </c>
      <c r="C9" s="5">
        <v>8375</v>
      </c>
      <c r="D9" s="5">
        <v>8299</v>
      </c>
      <c r="E9" s="5">
        <v>8177</v>
      </c>
      <c r="F9" s="5">
        <v>7925</v>
      </c>
      <c r="G9" s="5">
        <v>7746</v>
      </c>
      <c r="H9" s="5">
        <v>7700</v>
      </c>
      <c r="I9" s="5">
        <v>7673</v>
      </c>
      <c r="J9" s="5">
        <v>7610</v>
      </c>
      <c r="K9" s="5">
        <v>7547</v>
      </c>
      <c r="L9" s="5">
        <v>7496</v>
      </c>
      <c r="M9" s="5">
        <v>7446</v>
      </c>
      <c r="N9" s="5">
        <v>7431</v>
      </c>
      <c r="O9" s="5">
        <v>7433</v>
      </c>
      <c r="P9" s="5">
        <v>7425.9</v>
      </c>
      <c r="Q9" s="5">
        <v>7410.77</v>
      </c>
      <c r="R9" s="5">
        <v>7384.08</v>
      </c>
      <c r="S9" s="5">
        <v>7370.87</v>
      </c>
      <c r="T9" s="5">
        <v>7345.29</v>
      </c>
    </row>
    <row r="10" ht="15" customHeight="1" spans="1:20">
      <c r="A10" s="117" t="s">
        <v>22</v>
      </c>
      <c r="B10" s="119" t="s">
        <v>28</v>
      </c>
      <c r="C10" s="37">
        <v>2406</v>
      </c>
      <c r="D10" s="37">
        <v>2446</v>
      </c>
      <c r="E10" s="37">
        <v>2574</v>
      </c>
      <c r="F10" s="37">
        <v>2668</v>
      </c>
      <c r="G10" s="37">
        <v>3266</v>
      </c>
      <c r="H10" s="37">
        <v>3940</v>
      </c>
      <c r="I10" s="37">
        <v>4652</v>
      </c>
      <c r="J10" s="37">
        <v>5289</v>
      </c>
      <c r="K10" s="37">
        <v>6118</v>
      </c>
      <c r="L10" s="37">
        <v>7502</v>
      </c>
      <c r="M10" s="37">
        <v>9611</v>
      </c>
      <c r="N10" s="37">
        <v>10734</v>
      </c>
      <c r="O10" s="37">
        <v>11974</v>
      </c>
      <c r="P10" s="37">
        <v>12189</v>
      </c>
      <c r="Q10" s="37">
        <v>10478.4</v>
      </c>
      <c r="R10" s="37">
        <v>11434.24</v>
      </c>
      <c r="S10" s="37">
        <v>12826.56</v>
      </c>
      <c r="T10" s="37">
        <v>14871.62</v>
      </c>
    </row>
    <row r="11" ht="15" customHeight="1" spans="1:20">
      <c r="A11" s="117" t="s">
        <v>22</v>
      </c>
      <c r="B11" s="119" t="s">
        <v>29</v>
      </c>
      <c r="C11" s="5">
        <v>3755</v>
      </c>
      <c r="D11" s="5">
        <v>5212</v>
      </c>
      <c r="E11" s="5">
        <v>5957</v>
      </c>
      <c r="F11" s="5">
        <v>6622</v>
      </c>
      <c r="G11" s="5">
        <v>8778</v>
      </c>
      <c r="H11" s="5">
        <v>10261</v>
      </c>
      <c r="I11" s="5">
        <v>11682</v>
      </c>
      <c r="J11" s="5">
        <v>12796</v>
      </c>
      <c r="K11" s="5">
        <v>11686</v>
      </c>
      <c r="L11" s="5">
        <v>14460</v>
      </c>
      <c r="M11" s="5">
        <v>13861</v>
      </c>
      <c r="N11" s="5">
        <v>22287</v>
      </c>
      <c r="O11" s="5">
        <v>34153</v>
      </c>
      <c r="P11" s="5">
        <v>42005.11</v>
      </c>
      <c r="Q11" s="5">
        <v>55415.31</v>
      </c>
      <c r="R11" s="5">
        <v>73946.23</v>
      </c>
      <c r="S11" s="5">
        <v>97100.11</v>
      </c>
      <c r="T11" s="5">
        <v>127810.23</v>
      </c>
    </row>
    <row r="12" ht="15" customHeight="1" spans="1:20">
      <c r="A12" s="117" t="s">
        <v>22</v>
      </c>
      <c r="B12" s="119" t="s">
        <v>30</v>
      </c>
      <c r="C12" s="37">
        <v>4257</v>
      </c>
      <c r="D12" s="37">
        <v>5485</v>
      </c>
      <c r="E12" s="37">
        <v>5944</v>
      </c>
      <c r="F12" s="37">
        <v>8932</v>
      </c>
      <c r="G12" s="37">
        <v>10200</v>
      </c>
      <c r="H12" s="37">
        <v>13600</v>
      </c>
      <c r="I12" s="37">
        <v>16900</v>
      </c>
      <c r="J12" s="37">
        <v>19000</v>
      </c>
      <c r="K12" s="37">
        <v>24200</v>
      </c>
      <c r="L12" s="37">
        <v>29200</v>
      </c>
      <c r="M12" s="37">
        <v>31900</v>
      </c>
      <c r="N12" s="37">
        <v>55700</v>
      </c>
      <c r="O12" s="37">
        <v>88200</v>
      </c>
      <c r="P12" s="37">
        <v>145871.3</v>
      </c>
      <c r="Q12" s="37">
        <v>245263.45</v>
      </c>
      <c r="R12" s="37">
        <v>286760.35</v>
      </c>
      <c r="S12" s="37">
        <v>300210.91</v>
      </c>
      <c r="T12" s="37">
        <v>304616.04</v>
      </c>
    </row>
    <row r="13" ht="15" customHeight="1" spans="1:20">
      <c r="A13" s="117" t="s">
        <v>22</v>
      </c>
      <c r="B13" s="119" t="s">
        <v>31</v>
      </c>
      <c r="C13" s="37">
        <v>28833</v>
      </c>
      <c r="D13" s="37">
        <v>32231</v>
      </c>
      <c r="E13" s="37">
        <v>29080</v>
      </c>
      <c r="F13" s="37">
        <v>33325</v>
      </c>
      <c r="G13" s="37">
        <v>39507</v>
      </c>
      <c r="H13" s="37">
        <v>43884</v>
      </c>
      <c r="I13" s="37">
        <v>52185</v>
      </c>
      <c r="J13" s="37">
        <v>60675</v>
      </c>
      <c r="K13" s="37">
        <v>76740</v>
      </c>
      <c r="L13" s="37">
        <v>89035</v>
      </c>
      <c r="M13" s="37">
        <v>87582</v>
      </c>
      <c r="N13" s="37">
        <v>118548</v>
      </c>
      <c r="O13" s="37">
        <v>136162</v>
      </c>
      <c r="P13" s="37">
        <v>174558.18</v>
      </c>
      <c r="Q13" s="37">
        <v>232097.78</v>
      </c>
      <c r="R13" s="37">
        <v>294570.35</v>
      </c>
      <c r="S13" s="37">
        <v>359672.36</v>
      </c>
      <c r="T13" s="37">
        <v>438548.9</v>
      </c>
    </row>
    <row r="14" ht="15" customHeight="1" spans="1:20">
      <c r="A14" s="117" t="s">
        <v>22</v>
      </c>
      <c r="B14" s="119" t="s">
        <v>32</v>
      </c>
      <c r="C14" s="37">
        <v>24576</v>
      </c>
      <c r="D14" s="37">
        <v>26746</v>
      </c>
      <c r="E14" s="37">
        <v>23136</v>
      </c>
      <c r="F14" s="37">
        <v>24393</v>
      </c>
      <c r="G14" s="37">
        <v>29307</v>
      </c>
      <c r="H14" s="37">
        <v>30284</v>
      </c>
      <c r="I14" s="37">
        <v>35285</v>
      </c>
      <c r="J14" s="37">
        <v>41675</v>
      </c>
      <c r="K14" s="37">
        <v>52540</v>
      </c>
      <c r="L14" s="37">
        <v>59835</v>
      </c>
      <c r="M14" s="37">
        <v>55682</v>
      </c>
      <c r="N14" s="37">
        <v>62848</v>
      </c>
      <c r="O14" s="37">
        <v>47962</v>
      </c>
      <c r="P14" s="37">
        <v>28686.88</v>
      </c>
      <c r="Q14" s="37">
        <v>-13165.67</v>
      </c>
      <c r="R14" s="37">
        <v>7810</v>
      </c>
      <c r="S14" s="37">
        <v>59461.45</v>
      </c>
      <c r="T14" s="37">
        <v>133932.86</v>
      </c>
    </row>
    <row r="15" ht="15" customHeight="1" spans="1:20">
      <c r="A15" s="117" t="s">
        <v>22</v>
      </c>
      <c r="B15" s="118" t="s">
        <v>33</v>
      </c>
      <c r="C15" s="37">
        <v>5360</v>
      </c>
      <c r="D15" s="37">
        <v>7316</v>
      </c>
      <c r="E15" s="37">
        <v>14443</v>
      </c>
      <c r="F15" s="37">
        <v>15969</v>
      </c>
      <c r="G15" s="37">
        <v>11788</v>
      </c>
      <c r="H15" s="37">
        <v>10721</v>
      </c>
      <c r="I15" s="37">
        <v>19543</v>
      </c>
      <c r="J15" s="37">
        <v>22968</v>
      </c>
      <c r="K15" s="37">
        <v>27385</v>
      </c>
      <c r="L15" s="37">
        <v>32696</v>
      </c>
      <c r="M15" s="37">
        <v>22245</v>
      </c>
      <c r="N15" s="37">
        <v>17254</v>
      </c>
      <c r="O15" s="37">
        <v>18420</v>
      </c>
      <c r="P15" s="37">
        <v>22499.7</v>
      </c>
      <c r="Q15" s="37">
        <v>19070.28</v>
      </c>
      <c r="R15" s="37">
        <v>19500.41</v>
      </c>
      <c r="S15" s="37">
        <v>20126.95</v>
      </c>
      <c r="T15" s="37">
        <v>21047.23</v>
      </c>
    </row>
    <row r="16" ht="15" customHeight="1" spans="1:20">
      <c r="A16" s="117" t="s">
        <v>22</v>
      </c>
      <c r="B16" s="119" t="s">
        <v>34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72314</v>
      </c>
      <c r="N16" s="37">
        <v>87464</v>
      </c>
      <c r="O16" s="37">
        <v>106265</v>
      </c>
      <c r="P16" s="37">
        <v>136688.31</v>
      </c>
      <c r="Q16" s="37">
        <v>180358.14</v>
      </c>
      <c r="R16" s="37">
        <v>235873.55</v>
      </c>
      <c r="S16" s="37">
        <v>304531.45</v>
      </c>
      <c r="T16" s="37">
        <v>384276.13</v>
      </c>
    </row>
    <row r="17" ht="15" customHeight="1" spans="1:20">
      <c r="A17" s="117" t="s">
        <v>22</v>
      </c>
      <c r="B17" s="119" t="s">
        <v>35</v>
      </c>
      <c r="C17" s="37">
        <v>9991</v>
      </c>
      <c r="D17" s="37">
        <v>13011</v>
      </c>
      <c r="E17" s="37">
        <v>14731</v>
      </c>
      <c r="F17" s="37">
        <v>18356</v>
      </c>
      <c r="G17" s="37">
        <v>23734</v>
      </c>
      <c r="H17" s="37">
        <v>29460</v>
      </c>
      <c r="I17" s="37">
        <v>36477</v>
      </c>
      <c r="J17" s="37">
        <v>44151</v>
      </c>
      <c r="K17" s="37">
        <v>59715</v>
      </c>
      <c r="L17" s="37">
        <v>74398</v>
      </c>
      <c r="M17" s="37">
        <v>95641</v>
      </c>
      <c r="N17" s="37">
        <v>135591</v>
      </c>
      <c r="O17" s="37">
        <v>204966</v>
      </c>
      <c r="P17" s="37">
        <v>314226</v>
      </c>
      <c r="Q17" s="37">
        <v>499947.5</v>
      </c>
      <c r="R17" s="37">
        <v>693712.41</v>
      </c>
      <c r="S17" s="37">
        <v>864268.87</v>
      </c>
      <c r="T17" s="37">
        <v>1003045.34</v>
      </c>
    </row>
    <row r="18" ht="15" customHeight="1" spans="1:20">
      <c r="A18" s="117" t="s">
        <v>22</v>
      </c>
      <c r="B18" s="119" t="s">
        <v>36</v>
      </c>
      <c r="C18" s="121">
        <v>3.16</v>
      </c>
      <c r="D18" s="121">
        <v>2.69</v>
      </c>
      <c r="E18" s="121">
        <v>2.81</v>
      </c>
      <c r="F18" s="121">
        <v>2.83</v>
      </c>
      <c r="G18" s="121">
        <v>2.71</v>
      </c>
      <c r="H18" s="121">
        <v>2.73</v>
      </c>
      <c r="I18" s="121">
        <v>2.74</v>
      </c>
      <c r="J18" s="121">
        <v>3.08</v>
      </c>
      <c r="K18" s="121">
        <v>4.33</v>
      </c>
      <c r="L18" s="121">
        <v>4.12</v>
      </c>
      <c r="M18" s="121">
        <v>6.1</v>
      </c>
      <c r="N18" s="121">
        <v>5.59</v>
      </c>
      <c r="O18" s="121">
        <v>5.26</v>
      </c>
      <c r="P18" s="121">
        <v>4.89</v>
      </c>
      <c r="Q18" s="121">
        <v>4.36</v>
      </c>
      <c r="R18" s="121">
        <v>4.38</v>
      </c>
      <c r="S18" s="121">
        <v>4.6</v>
      </c>
      <c r="T18" s="121">
        <v>4.7</v>
      </c>
    </row>
    <row r="20" ht="15" customHeight="1" spans="1:1">
      <c r="A20" s="122" t="s">
        <v>37</v>
      </c>
    </row>
    <row r="21" ht="15" customHeight="1" spans="1:20">
      <c r="A21" s="117" t="s">
        <v>38</v>
      </c>
      <c r="B21" s="118" t="s">
        <v>23</v>
      </c>
      <c r="C21" s="5">
        <v>74452</v>
      </c>
      <c r="D21" s="5">
        <v>88988</v>
      </c>
      <c r="E21" s="5">
        <v>107006</v>
      </c>
      <c r="F21" s="5">
        <v>135987</v>
      </c>
      <c r="G21" s="5">
        <v>177866</v>
      </c>
      <c r="H21" s="5">
        <v>232887</v>
      </c>
      <c r="I21" s="5">
        <v>280522</v>
      </c>
      <c r="J21" s="5">
        <v>386064</v>
      </c>
      <c r="K21" s="5">
        <v>469822</v>
      </c>
      <c r="L21" s="5">
        <v>513983</v>
      </c>
      <c r="M21" s="5">
        <v>574785</v>
      </c>
      <c r="N21" s="5">
        <v>637959</v>
      </c>
      <c r="O21" s="5">
        <v>716924</v>
      </c>
      <c r="P21" s="5">
        <v>824745.86</v>
      </c>
      <c r="Q21" s="5">
        <v>933246.82</v>
      </c>
      <c r="R21" s="5">
        <v>1035581.9</v>
      </c>
      <c r="S21" s="5">
        <v>1167156.74</v>
      </c>
      <c r="T21" s="5">
        <v>1303433.68</v>
      </c>
    </row>
    <row r="22" ht="15" customHeight="1" spans="1:20">
      <c r="A22" s="117" t="s">
        <v>38</v>
      </c>
      <c r="B22" s="118" t="s">
        <v>24</v>
      </c>
      <c r="C22" s="5">
        <v>673</v>
      </c>
      <c r="D22" s="5">
        <v>458</v>
      </c>
      <c r="E22" s="5">
        <v>1507</v>
      </c>
      <c r="F22" s="5">
        <v>3108</v>
      </c>
      <c r="G22" s="5">
        <v>4331</v>
      </c>
      <c r="H22" s="5">
        <v>7296</v>
      </c>
      <c r="I22" s="5">
        <v>9201</v>
      </c>
      <c r="J22" s="5">
        <v>13531</v>
      </c>
      <c r="K22" s="5">
        <v>18532</v>
      </c>
      <c r="L22" s="5">
        <v>22841</v>
      </c>
      <c r="M22" s="5">
        <v>24631</v>
      </c>
      <c r="N22" s="5">
        <v>39834</v>
      </c>
      <c r="O22" s="5">
        <v>45606</v>
      </c>
      <c r="P22" s="5">
        <v>58892.45</v>
      </c>
      <c r="Q22" s="5">
        <v>76144.3</v>
      </c>
      <c r="R22" s="5">
        <v>98372.18</v>
      </c>
      <c r="S22" s="5">
        <v>123330.71</v>
      </c>
      <c r="T22" s="5">
        <v>152115.05</v>
      </c>
    </row>
    <row r="23" ht="15" customHeight="1" spans="1:20">
      <c r="A23" s="117" t="s">
        <v>38</v>
      </c>
      <c r="B23" s="118" t="s">
        <v>25</v>
      </c>
      <c r="C23" s="37">
        <v>273</v>
      </c>
      <c r="D23" s="37">
        <v>-240.6</v>
      </c>
      <c r="E23" s="37">
        <v>596.1</v>
      </c>
      <c r="F23" s="37">
        <v>2371</v>
      </c>
      <c r="G23" s="37">
        <v>3033</v>
      </c>
      <c r="H23" s="37">
        <v>10073</v>
      </c>
      <c r="I23" s="37">
        <v>11588</v>
      </c>
      <c r="J23" s="37">
        <v>21331</v>
      </c>
      <c r="K23" s="37">
        <v>33364</v>
      </c>
      <c r="L23" s="37">
        <v>-2722</v>
      </c>
      <c r="M23" s="37">
        <v>30425</v>
      </c>
      <c r="N23" s="37">
        <v>59248</v>
      </c>
      <c r="O23" s="37">
        <v>77670</v>
      </c>
      <c r="P23" s="37">
        <v>98333.72</v>
      </c>
      <c r="Q23" s="37">
        <v>116218.4</v>
      </c>
      <c r="R23" s="37">
        <v>145016.4</v>
      </c>
      <c r="S23" s="37">
        <v>177176.2</v>
      </c>
      <c r="T23" s="37">
        <v>211925.99</v>
      </c>
    </row>
    <row r="24" ht="15" customHeight="1" spans="1:20">
      <c r="A24" s="117" t="s">
        <v>38</v>
      </c>
      <c r="B24" s="119" t="s">
        <v>26</v>
      </c>
      <c r="C24" s="120">
        <v>0.03</v>
      </c>
      <c r="D24" s="120">
        <v>-0.03</v>
      </c>
      <c r="E24" s="120">
        <v>0.06</v>
      </c>
      <c r="F24" s="120">
        <v>0.25</v>
      </c>
      <c r="G24" s="120">
        <v>0.23</v>
      </c>
      <c r="H24" s="120">
        <v>1.01</v>
      </c>
      <c r="I24" s="120">
        <v>1.15</v>
      </c>
      <c r="J24" s="120">
        <v>2.09</v>
      </c>
      <c r="K24" s="120">
        <v>2.33</v>
      </c>
      <c r="L24" s="120">
        <v>0.72</v>
      </c>
      <c r="M24" s="120">
        <v>2.84</v>
      </c>
      <c r="N24" s="120">
        <v>5.53</v>
      </c>
      <c r="O24" s="120">
        <v>7.17</v>
      </c>
      <c r="P24" s="120">
        <v>8.79</v>
      </c>
      <c r="Q24" s="120">
        <v>10.03</v>
      </c>
      <c r="R24" s="120">
        <v>12.92</v>
      </c>
      <c r="S24" s="120">
        <v>14.34</v>
      </c>
      <c r="T24" s="120">
        <v>17.13</v>
      </c>
    </row>
    <row r="25" ht="15" customHeight="1" spans="1:20">
      <c r="A25" s="117" t="s">
        <v>38</v>
      </c>
      <c r="B25" s="118" t="s">
        <v>27</v>
      </c>
      <c r="C25" s="5">
        <v>9140</v>
      </c>
      <c r="D25" s="5">
        <v>9240</v>
      </c>
      <c r="E25" s="5">
        <v>9340</v>
      </c>
      <c r="F25" s="5">
        <v>9480</v>
      </c>
      <c r="G25" s="5">
        <v>9600</v>
      </c>
      <c r="H25" s="5">
        <v>9740</v>
      </c>
      <c r="I25" s="5">
        <v>9880</v>
      </c>
      <c r="J25" s="5">
        <v>10000</v>
      </c>
      <c r="K25" s="5">
        <v>10120</v>
      </c>
      <c r="L25" s="5">
        <v>10189</v>
      </c>
      <c r="M25" s="5">
        <v>10304</v>
      </c>
      <c r="N25" s="5">
        <v>10473</v>
      </c>
      <c r="O25" s="5">
        <v>10656</v>
      </c>
      <c r="P25" s="5">
        <v>10862.95</v>
      </c>
      <c r="Q25" s="5">
        <v>10969.88</v>
      </c>
      <c r="R25" s="5">
        <v>11057.54</v>
      </c>
      <c r="S25" s="5">
        <v>11153.52</v>
      </c>
      <c r="T25" s="5">
        <v>11258.12</v>
      </c>
    </row>
    <row r="26" ht="15" customHeight="1" spans="1:20">
      <c r="A26" s="117" t="s">
        <v>38</v>
      </c>
      <c r="B26" s="119" t="s">
        <v>28</v>
      </c>
      <c r="C26" s="37">
        <v>-1134</v>
      </c>
      <c r="D26" s="37">
        <v>-1497</v>
      </c>
      <c r="E26" s="37">
        <v>-2120</v>
      </c>
      <c r="F26" s="37">
        <v>-2975</v>
      </c>
      <c r="G26" s="37">
        <v>-4214</v>
      </c>
      <c r="H26" s="37">
        <v>-5418</v>
      </c>
      <c r="I26" s="37">
        <v>-6864</v>
      </c>
      <c r="J26" s="37">
        <v>-9208</v>
      </c>
      <c r="K26" s="37">
        <v>-12757</v>
      </c>
      <c r="L26" s="37">
        <v>-19621</v>
      </c>
      <c r="M26" s="37">
        <v>-24023</v>
      </c>
      <c r="N26" s="37">
        <v>-22077.4</v>
      </c>
      <c r="O26" s="37">
        <v>-19467</v>
      </c>
      <c r="P26" s="37">
        <v>-18863.32</v>
      </c>
      <c r="Q26" s="37">
        <v>-17920.15</v>
      </c>
      <c r="R26" s="37">
        <v>-18816.16</v>
      </c>
      <c r="S26" s="37">
        <v>-19756.97</v>
      </c>
      <c r="T26" s="37">
        <v>-20744.82</v>
      </c>
    </row>
    <row r="27" ht="15" customHeight="1" spans="1:20">
      <c r="A27" s="117" t="s">
        <v>38</v>
      </c>
      <c r="B27" s="119" t="s">
        <v>29</v>
      </c>
      <c r="C27" s="5">
        <v>3253</v>
      </c>
      <c r="D27" s="5">
        <v>4746</v>
      </c>
      <c r="E27" s="5">
        <v>6281</v>
      </c>
      <c r="F27" s="5">
        <v>8116</v>
      </c>
      <c r="G27" s="5">
        <v>11478</v>
      </c>
      <c r="H27" s="5">
        <v>15341</v>
      </c>
      <c r="I27" s="5">
        <v>21789</v>
      </c>
      <c r="J27" s="5">
        <v>25180</v>
      </c>
      <c r="K27" s="5">
        <v>34433</v>
      </c>
      <c r="L27" s="5">
        <v>41921</v>
      </c>
      <c r="M27" s="5">
        <v>48663</v>
      </c>
      <c r="N27" s="5">
        <v>52795</v>
      </c>
      <c r="O27" s="5">
        <v>65756</v>
      </c>
      <c r="P27" s="5">
        <v>84391.58</v>
      </c>
      <c r="Q27" s="5">
        <v>107181.82</v>
      </c>
      <c r="R27" s="5">
        <v>131811.18</v>
      </c>
      <c r="S27" s="5">
        <v>145951.12</v>
      </c>
      <c r="T27" s="5">
        <v>164275.19</v>
      </c>
    </row>
    <row r="28" ht="15" customHeight="1" spans="1:20">
      <c r="A28" s="117" t="s">
        <v>38</v>
      </c>
      <c r="B28" s="119" t="s">
        <v>30</v>
      </c>
      <c r="C28" s="37">
        <v>3443</v>
      </c>
      <c r="D28" s="37">
        <v>4892</v>
      </c>
      <c r="E28" s="37">
        <v>4588</v>
      </c>
      <c r="F28" s="37">
        <v>6736</v>
      </c>
      <c r="G28" s="37">
        <v>10057</v>
      </c>
      <c r="H28" s="37">
        <v>11322</v>
      </c>
      <c r="I28" s="37">
        <v>12690</v>
      </c>
      <c r="J28" s="37">
        <v>35046</v>
      </c>
      <c r="K28" s="37">
        <v>55396</v>
      </c>
      <c r="L28" s="37">
        <v>58321</v>
      </c>
      <c r="M28" s="37">
        <v>48133</v>
      </c>
      <c r="N28" s="37">
        <v>77658</v>
      </c>
      <c r="O28" s="37">
        <v>128320</v>
      </c>
      <c r="P28" s="37">
        <v>200104.98</v>
      </c>
      <c r="Q28" s="37">
        <v>270141.72</v>
      </c>
      <c r="R28" s="37">
        <v>283648.81</v>
      </c>
      <c r="S28" s="37">
        <v>297831.25</v>
      </c>
      <c r="T28" s="37">
        <v>312722.81</v>
      </c>
    </row>
    <row r="29" ht="15" customHeight="1" spans="1:20">
      <c r="A29" s="117" t="s">
        <v>38</v>
      </c>
      <c r="B29" s="119" t="s">
        <v>31</v>
      </c>
      <c r="C29" s="37">
        <v>5474</v>
      </c>
      <c r="D29" s="37">
        <v>6841.4</v>
      </c>
      <c r="E29" s="37">
        <v>11920.1</v>
      </c>
      <c r="F29" s="37">
        <v>17271</v>
      </c>
      <c r="G29" s="37">
        <v>18434</v>
      </c>
      <c r="H29" s="37">
        <v>30724</v>
      </c>
      <c r="I29" s="37">
        <v>38515</v>
      </c>
      <c r="J29" s="37">
        <v>66064</v>
      </c>
      <c r="K29" s="37">
        <v>46327</v>
      </c>
      <c r="L29" s="37">
        <v>46752</v>
      </c>
      <c r="M29" s="37">
        <v>84946</v>
      </c>
      <c r="N29" s="37">
        <v>115877</v>
      </c>
      <c r="O29" s="37">
        <v>139514</v>
      </c>
      <c r="P29" s="37">
        <v>181004.31</v>
      </c>
      <c r="Q29" s="37">
        <v>224443.7</v>
      </c>
      <c r="R29" s="37">
        <v>281471.71</v>
      </c>
      <c r="S29" s="37">
        <v>342814.42</v>
      </c>
      <c r="T29" s="37">
        <v>401080.41</v>
      </c>
    </row>
    <row r="30" ht="15" customHeight="1" spans="1:20">
      <c r="A30" s="117" t="s">
        <v>38</v>
      </c>
      <c r="B30" s="119" t="s">
        <v>32</v>
      </c>
      <c r="C30" s="37">
        <v>2031</v>
      </c>
      <c r="D30" s="37">
        <v>1949.4</v>
      </c>
      <c r="E30" s="37">
        <v>7332.1</v>
      </c>
      <c r="F30" s="37">
        <v>10535</v>
      </c>
      <c r="G30" s="37">
        <v>8377</v>
      </c>
      <c r="H30" s="37">
        <v>19402</v>
      </c>
      <c r="I30" s="37">
        <v>25825</v>
      </c>
      <c r="J30" s="37">
        <v>31018</v>
      </c>
      <c r="K30" s="37">
        <v>-9069</v>
      </c>
      <c r="L30" s="37">
        <v>-11569</v>
      </c>
      <c r="M30" s="37">
        <v>36813</v>
      </c>
      <c r="N30" s="37">
        <v>38219</v>
      </c>
      <c r="O30" s="37">
        <v>11194</v>
      </c>
      <c r="P30" s="37">
        <v>-19100.67</v>
      </c>
      <c r="Q30" s="37">
        <v>-45698.02</v>
      </c>
      <c r="R30" s="37">
        <v>-2177.1</v>
      </c>
      <c r="S30" s="37">
        <v>44983.17</v>
      </c>
      <c r="T30" s="37">
        <v>88357.6</v>
      </c>
    </row>
    <row r="31" ht="15" customHeight="1" spans="1:20">
      <c r="A31" s="117" t="s">
        <v>38</v>
      </c>
      <c r="B31" s="118" t="s">
        <v>33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6000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</row>
    <row r="32" ht="15" customHeight="1" spans="1:20">
      <c r="A32" s="117" t="s">
        <v>38</v>
      </c>
      <c r="B32" s="119" t="s">
        <v>39</v>
      </c>
      <c r="C32" s="37">
        <v>3107.57</v>
      </c>
      <c r="D32" s="37">
        <v>4644</v>
      </c>
      <c r="E32" s="37">
        <v>7880</v>
      </c>
      <c r="F32" s="37">
        <v>12219</v>
      </c>
      <c r="G32" s="37">
        <v>17458</v>
      </c>
      <c r="H32" s="37">
        <v>25656</v>
      </c>
      <c r="I32" s="37">
        <v>35026</v>
      </c>
      <c r="J32" s="37">
        <v>45370</v>
      </c>
      <c r="K32" s="37">
        <v>62202</v>
      </c>
      <c r="L32" s="37">
        <v>80096</v>
      </c>
      <c r="M32" s="37">
        <v>90757</v>
      </c>
      <c r="N32" s="37">
        <v>107556</v>
      </c>
      <c r="O32" s="37">
        <v>128725</v>
      </c>
      <c r="P32" s="37">
        <v>171284.9</v>
      </c>
      <c r="Q32" s="37">
        <v>225587.94</v>
      </c>
      <c r="R32" s="37">
        <v>274421.67</v>
      </c>
      <c r="S32" s="37">
        <v>323817.58</v>
      </c>
      <c r="T32" s="37">
        <v>374009.3</v>
      </c>
    </row>
    <row r="33" ht="15" customHeight="1" spans="1:20">
      <c r="A33" s="117" t="s">
        <v>38</v>
      </c>
      <c r="B33" s="119" t="s">
        <v>40</v>
      </c>
      <c r="C33" s="78"/>
      <c r="D33" s="37">
        <v>458</v>
      </c>
      <c r="E33" s="37">
        <v>1508</v>
      </c>
      <c r="F33" s="37">
        <v>3109</v>
      </c>
      <c r="G33" s="37">
        <v>4331</v>
      </c>
      <c r="H33" s="37">
        <v>7296</v>
      </c>
      <c r="I33" s="37">
        <v>9201</v>
      </c>
      <c r="J33" s="37">
        <v>13531</v>
      </c>
      <c r="K33" s="37">
        <v>18532</v>
      </c>
      <c r="L33" s="37">
        <v>22841</v>
      </c>
      <c r="M33" s="37">
        <v>24631</v>
      </c>
      <c r="N33" s="37">
        <v>39834</v>
      </c>
      <c r="O33" s="37">
        <v>45606</v>
      </c>
      <c r="P33" s="37">
        <v>61254.41</v>
      </c>
      <c r="Q33" s="37">
        <v>81248.3</v>
      </c>
      <c r="R33" s="37">
        <v>100888.47</v>
      </c>
      <c r="S33" s="37">
        <v>121477.03</v>
      </c>
      <c r="T33" s="37">
        <v>143111.04</v>
      </c>
    </row>
    <row r="35" ht="15" customHeight="1" spans="1:1">
      <c r="A35" s="123" t="s">
        <v>41</v>
      </c>
    </row>
    <row r="36" ht="15" customHeight="1" spans="1:20">
      <c r="A36" s="117" t="s">
        <v>42</v>
      </c>
      <c r="B36" s="118" t="s">
        <v>23</v>
      </c>
      <c r="C36" s="5">
        <v>55519</v>
      </c>
      <c r="D36" s="5">
        <v>66001</v>
      </c>
      <c r="E36" s="5">
        <v>74989</v>
      </c>
      <c r="F36" s="5">
        <v>90272</v>
      </c>
      <c r="G36" s="5">
        <v>110855</v>
      </c>
      <c r="H36" s="5">
        <v>136819</v>
      </c>
      <c r="I36" s="5">
        <v>161857</v>
      </c>
      <c r="J36" s="5">
        <v>182527</v>
      </c>
      <c r="K36" s="5">
        <v>257637</v>
      </c>
      <c r="L36" s="5">
        <v>282836</v>
      </c>
      <c r="M36" s="5">
        <v>307394</v>
      </c>
      <c r="N36" s="5">
        <v>350018</v>
      </c>
      <c r="O36" s="5">
        <v>402836</v>
      </c>
      <c r="P36" s="5">
        <v>486455.79</v>
      </c>
      <c r="Q36" s="5">
        <v>578508.88</v>
      </c>
      <c r="R36" s="5">
        <v>684008.77</v>
      </c>
      <c r="S36" s="5">
        <v>805409.01</v>
      </c>
      <c r="T36" s="5">
        <v>941245.16</v>
      </c>
    </row>
    <row r="37" ht="15" customHeight="1" spans="1:20">
      <c r="A37" s="117" t="s">
        <v>42</v>
      </c>
      <c r="B37" s="118" t="s">
        <v>24</v>
      </c>
      <c r="C37" s="5">
        <v>16260</v>
      </c>
      <c r="D37" s="5">
        <v>18965</v>
      </c>
      <c r="E37" s="5">
        <v>23319</v>
      </c>
      <c r="F37" s="5">
        <v>27055</v>
      </c>
      <c r="G37" s="5">
        <v>32456</v>
      </c>
      <c r="H37" s="5">
        <v>43137</v>
      </c>
      <c r="I37" s="5">
        <v>48999</v>
      </c>
      <c r="J37" s="5">
        <v>54606</v>
      </c>
      <c r="K37" s="5">
        <v>91855</v>
      </c>
      <c r="L37" s="5">
        <v>82699</v>
      </c>
      <c r="M37" s="5">
        <v>95858</v>
      </c>
      <c r="N37" s="5">
        <v>121263</v>
      </c>
      <c r="O37" s="5">
        <v>139404</v>
      </c>
      <c r="P37" s="5">
        <v>166048.71</v>
      </c>
      <c r="Q37" s="5">
        <v>188404.24</v>
      </c>
      <c r="R37" s="5">
        <v>207483.23</v>
      </c>
      <c r="S37" s="5">
        <v>229196.58</v>
      </c>
      <c r="T37" s="5">
        <v>258679.36</v>
      </c>
    </row>
    <row r="38" ht="15" customHeight="1" spans="1:20">
      <c r="A38" s="117" t="s">
        <v>42</v>
      </c>
      <c r="B38" s="118" t="s">
        <v>25</v>
      </c>
      <c r="C38" s="37">
        <v>12720</v>
      </c>
      <c r="D38" s="37">
        <v>14136</v>
      </c>
      <c r="E38" s="37">
        <v>16348</v>
      </c>
      <c r="F38" s="37">
        <v>19478</v>
      </c>
      <c r="G38" s="37">
        <v>12662</v>
      </c>
      <c r="H38" s="37">
        <v>30736</v>
      </c>
      <c r="I38" s="37">
        <v>34343</v>
      </c>
      <c r="J38" s="37">
        <v>40269</v>
      </c>
      <c r="K38" s="37">
        <v>76033</v>
      </c>
      <c r="L38" s="37">
        <v>59972</v>
      </c>
      <c r="M38" s="37">
        <v>73795</v>
      </c>
      <c r="N38" s="37">
        <v>100118</v>
      </c>
      <c r="O38" s="37">
        <v>132170</v>
      </c>
      <c r="P38" s="37">
        <v>168543.28</v>
      </c>
      <c r="Q38" s="37">
        <v>174626.97</v>
      </c>
      <c r="R38" s="37">
        <v>210753.44</v>
      </c>
      <c r="S38" s="37">
        <v>249488.6</v>
      </c>
      <c r="T38" s="37">
        <v>285975.76</v>
      </c>
    </row>
    <row r="39" ht="15" customHeight="1" spans="1:20">
      <c r="A39" s="117" t="s">
        <v>42</v>
      </c>
      <c r="B39" s="119" t="s">
        <v>26</v>
      </c>
      <c r="C39" s="120">
        <v>0.9</v>
      </c>
      <c r="D39" s="120">
        <v>1.01</v>
      </c>
      <c r="E39" s="120">
        <v>1.14</v>
      </c>
      <c r="F39" s="120">
        <v>1.39</v>
      </c>
      <c r="G39" s="120">
        <v>1.6</v>
      </c>
      <c r="H39" s="120">
        <v>2.19</v>
      </c>
      <c r="I39" s="120">
        <v>2.33</v>
      </c>
      <c r="J39" s="120">
        <v>2.93</v>
      </c>
      <c r="K39" s="120">
        <v>5.61</v>
      </c>
      <c r="L39" s="120">
        <v>4.56</v>
      </c>
      <c r="M39" s="120">
        <v>5.8</v>
      </c>
      <c r="N39" s="120">
        <v>8.04</v>
      </c>
      <c r="O39" s="120">
        <v>10.81</v>
      </c>
      <c r="P39" s="120">
        <v>14.19</v>
      </c>
      <c r="Q39" s="120">
        <v>14.69</v>
      </c>
      <c r="R39" s="120">
        <v>17.35</v>
      </c>
      <c r="S39" s="120">
        <v>21.25</v>
      </c>
      <c r="T39" s="120">
        <v>26.04</v>
      </c>
    </row>
    <row r="40" ht="15" customHeight="1" spans="1:20">
      <c r="A40" s="117" t="s">
        <v>42</v>
      </c>
      <c r="B40" s="118" t="s">
        <v>27</v>
      </c>
      <c r="C40" s="5">
        <v>13313.88</v>
      </c>
      <c r="D40" s="5">
        <v>13518.7</v>
      </c>
      <c r="E40" s="5">
        <v>13692.52</v>
      </c>
      <c r="F40" s="5">
        <v>13842.18</v>
      </c>
      <c r="G40" s="5">
        <v>13858.02</v>
      </c>
      <c r="H40" s="5">
        <v>13902.8</v>
      </c>
      <c r="I40" s="5">
        <v>13851.92</v>
      </c>
      <c r="J40" s="5">
        <v>13616.32</v>
      </c>
      <c r="K40" s="5">
        <v>13353</v>
      </c>
      <c r="L40" s="5">
        <v>13063</v>
      </c>
      <c r="M40" s="5">
        <v>12630</v>
      </c>
      <c r="N40" s="5">
        <v>12319</v>
      </c>
      <c r="O40" s="5">
        <v>12116</v>
      </c>
      <c r="P40" s="5">
        <v>12096.35</v>
      </c>
      <c r="Q40" s="5">
        <v>12055.53</v>
      </c>
      <c r="R40" s="5">
        <v>12150.69</v>
      </c>
      <c r="S40" s="5">
        <v>12227.42</v>
      </c>
      <c r="T40" s="5">
        <v>12193.09</v>
      </c>
    </row>
    <row r="41" ht="15" customHeight="1" spans="1:20">
      <c r="A41" s="117" t="s">
        <v>42</v>
      </c>
      <c r="B41" s="119" t="s">
        <v>28</v>
      </c>
      <c r="C41" s="37">
        <v>-3268</v>
      </c>
      <c r="D41" s="37">
        <v>-4175</v>
      </c>
      <c r="E41" s="37">
        <v>-4903</v>
      </c>
      <c r="F41" s="37">
        <v>-6703</v>
      </c>
      <c r="G41" s="37">
        <v>-7679</v>
      </c>
      <c r="H41" s="37">
        <v>-9353</v>
      </c>
      <c r="I41" s="37">
        <v>-10794</v>
      </c>
      <c r="J41" s="37">
        <v>-12991</v>
      </c>
      <c r="K41" s="37">
        <v>-15376</v>
      </c>
      <c r="L41" s="37">
        <v>-19362</v>
      </c>
      <c r="M41" s="37">
        <v>-22460</v>
      </c>
      <c r="N41" s="37">
        <v>-22785</v>
      </c>
      <c r="O41" s="37">
        <v>-24953</v>
      </c>
      <c r="P41" s="37">
        <v>-27937.33</v>
      </c>
      <c r="Q41" s="37">
        <v>-30032.63</v>
      </c>
      <c r="R41" s="37">
        <v>-31979.73</v>
      </c>
      <c r="S41" s="37">
        <v>-33657.1</v>
      </c>
      <c r="T41" s="37">
        <v>-35339.95</v>
      </c>
    </row>
    <row r="42" ht="15" customHeight="1" spans="1:20">
      <c r="A42" s="117" t="s">
        <v>42</v>
      </c>
      <c r="B42" s="119" t="s">
        <v>29</v>
      </c>
      <c r="C42" s="37">
        <v>2781</v>
      </c>
      <c r="D42" s="37">
        <v>3523</v>
      </c>
      <c r="E42" s="37">
        <v>4132</v>
      </c>
      <c r="F42" s="37">
        <v>5267</v>
      </c>
      <c r="G42" s="37">
        <v>6103</v>
      </c>
      <c r="H42" s="37">
        <v>8164</v>
      </c>
      <c r="I42" s="37">
        <v>10856</v>
      </c>
      <c r="J42" s="37">
        <v>12905</v>
      </c>
      <c r="K42" s="37">
        <v>11555</v>
      </c>
      <c r="L42" s="37">
        <v>15287</v>
      </c>
      <c r="M42" s="37">
        <v>13326</v>
      </c>
      <c r="N42" s="37">
        <v>15311</v>
      </c>
      <c r="O42" s="37">
        <v>21136</v>
      </c>
      <c r="P42" s="37">
        <v>42874.7</v>
      </c>
      <c r="Q42" s="37">
        <v>69582.72</v>
      </c>
      <c r="R42" s="37">
        <v>98340.16</v>
      </c>
      <c r="S42" s="37">
        <v>127674.93</v>
      </c>
      <c r="T42" s="37">
        <v>156155.17</v>
      </c>
    </row>
    <row r="43" ht="15" customHeight="1" spans="1:20">
      <c r="A43" s="117" t="s">
        <v>42</v>
      </c>
      <c r="B43" s="119" t="s">
        <v>30</v>
      </c>
      <c r="C43" s="37">
        <v>7358</v>
      </c>
      <c r="D43" s="37">
        <v>10959</v>
      </c>
      <c r="E43" s="37">
        <v>9915</v>
      </c>
      <c r="F43" s="37">
        <v>10183</v>
      </c>
      <c r="G43" s="37">
        <v>13184</v>
      </c>
      <c r="H43" s="37">
        <v>25139</v>
      </c>
      <c r="I43" s="37">
        <v>23548</v>
      </c>
      <c r="J43" s="37">
        <v>22281</v>
      </c>
      <c r="K43" s="37">
        <v>24640</v>
      </c>
      <c r="L43" s="37">
        <v>31485</v>
      </c>
      <c r="M43" s="37">
        <v>32251</v>
      </c>
      <c r="N43" s="37">
        <v>52535</v>
      </c>
      <c r="O43" s="37">
        <v>91447</v>
      </c>
      <c r="P43" s="37">
        <v>185234.28</v>
      </c>
      <c r="Q43" s="37">
        <v>259327.99</v>
      </c>
      <c r="R43" s="37">
        <v>285260.79</v>
      </c>
      <c r="S43" s="37">
        <v>299523.83</v>
      </c>
      <c r="T43" s="37">
        <v>314500.02</v>
      </c>
    </row>
    <row r="44" ht="15" customHeight="1" spans="1:20">
      <c r="A44" s="117" t="s">
        <v>42</v>
      </c>
      <c r="B44" s="119" t="s">
        <v>31</v>
      </c>
      <c r="C44" s="37">
        <v>18584</v>
      </c>
      <c r="D44" s="37">
        <v>22272</v>
      </c>
      <c r="E44" s="37">
        <v>25829</v>
      </c>
      <c r="F44" s="37">
        <v>36036</v>
      </c>
      <c r="G44" s="37">
        <v>37091</v>
      </c>
      <c r="H44" s="37">
        <v>47971</v>
      </c>
      <c r="I44" s="37">
        <v>54520</v>
      </c>
      <c r="J44" s="37">
        <v>65124</v>
      </c>
      <c r="K44" s="37">
        <v>91652</v>
      </c>
      <c r="L44" s="37">
        <v>91495</v>
      </c>
      <c r="M44" s="37">
        <v>101746</v>
      </c>
      <c r="N44" s="37">
        <v>125299</v>
      </c>
      <c r="O44" s="37">
        <v>164713</v>
      </c>
      <c r="P44" s="37">
        <v>211985.47</v>
      </c>
      <c r="Q44" s="37">
        <v>282346.21</v>
      </c>
      <c r="R44" s="37">
        <v>352943.8</v>
      </c>
      <c r="S44" s="37">
        <v>424226.82</v>
      </c>
      <c r="T44" s="37">
        <v>490867.35</v>
      </c>
    </row>
    <row r="45" ht="15" customHeight="1" spans="1:20">
      <c r="A45" s="117" t="s">
        <v>42</v>
      </c>
      <c r="B45" s="119" t="s">
        <v>32</v>
      </c>
      <c r="C45" s="37">
        <v>11226</v>
      </c>
      <c r="D45" s="37">
        <v>11313</v>
      </c>
      <c r="E45" s="37">
        <v>15914</v>
      </c>
      <c r="F45" s="37">
        <v>25853</v>
      </c>
      <c r="G45" s="37">
        <v>23907</v>
      </c>
      <c r="H45" s="37">
        <v>22832</v>
      </c>
      <c r="I45" s="37">
        <v>30972</v>
      </c>
      <c r="J45" s="37">
        <v>42843</v>
      </c>
      <c r="K45" s="37">
        <v>67012</v>
      </c>
      <c r="L45" s="37">
        <v>60010</v>
      </c>
      <c r="M45" s="37">
        <v>69495</v>
      </c>
      <c r="N45" s="37">
        <v>72764</v>
      </c>
      <c r="O45" s="37">
        <v>73266</v>
      </c>
      <c r="P45" s="37">
        <v>26751.19</v>
      </c>
      <c r="Q45" s="37">
        <v>23018.22</v>
      </c>
      <c r="R45" s="37">
        <v>67683.01</v>
      </c>
      <c r="S45" s="37">
        <v>124702.99</v>
      </c>
      <c r="T45" s="37">
        <v>176367.33</v>
      </c>
    </row>
    <row r="46" ht="15" customHeight="1" spans="1:20">
      <c r="A46" s="117" t="s">
        <v>42</v>
      </c>
      <c r="B46" s="118" t="s">
        <v>33</v>
      </c>
      <c r="C46" s="37">
        <v>0</v>
      </c>
      <c r="D46" s="37">
        <v>0</v>
      </c>
      <c r="E46" s="37">
        <v>1827</v>
      </c>
      <c r="F46" s="37">
        <v>3693</v>
      </c>
      <c r="G46" s="37">
        <v>4846</v>
      </c>
      <c r="H46" s="37">
        <v>9075</v>
      </c>
      <c r="I46" s="37">
        <v>18396</v>
      </c>
      <c r="J46" s="37">
        <v>31149</v>
      </c>
      <c r="K46" s="37">
        <v>50274</v>
      </c>
      <c r="L46" s="37">
        <v>59296</v>
      </c>
      <c r="M46" s="37">
        <v>61504</v>
      </c>
      <c r="N46" s="37">
        <v>62222</v>
      </c>
      <c r="O46" s="37">
        <v>45709</v>
      </c>
      <c r="P46" s="37">
        <v>0</v>
      </c>
      <c r="Q46" s="37">
        <v>20000</v>
      </c>
      <c r="R46" s="37">
        <v>20000</v>
      </c>
      <c r="S46" s="37">
        <v>20000</v>
      </c>
      <c r="T46" s="37">
        <v>15000</v>
      </c>
    </row>
    <row r="47" ht="15" customHeight="1" spans="1:20">
      <c r="A47" s="117" t="s">
        <v>42</v>
      </c>
      <c r="B47" s="119" t="s">
        <v>43</v>
      </c>
      <c r="C47" s="78"/>
      <c r="D47" s="78"/>
      <c r="E47" s="78"/>
      <c r="F47" s="78"/>
      <c r="G47" s="37">
        <v>4056</v>
      </c>
      <c r="H47" s="37">
        <v>5838</v>
      </c>
      <c r="I47" s="37">
        <v>8918</v>
      </c>
      <c r="J47" s="37">
        <v>13059</v>
      </c>
      <c r="K47" s="37">
        <v>19206</v>
      </c>
      <c r="L47" s="37">
        <v>26280</v>
      </c>
      <c r="M47" s="37">
        <v>33088</v>
      </c>
      <c r="N47" s="37">
        <v>43229</v>
      </c>
      <c r="O47" s="37">
        <v>58705</v>
      </c>
      <c r="P47" s="37">
        <v>99085.93</v>
      </c>
      <c r="Q47" s="37">
        <v>157303.91</v>
      </c>
      <c r="R47" s="37">
        <v>220225.47</v>
      </c>
      <c r="S47" s="37">
        <v>286293.12</v>
      </c>
      <c r="T47" s="37">
        <v>343551.74</v>
      </c>
    </row>
    <row r="48" ht="15" customHeight="1" spans="1:20">
      <c r="A48" s="117" t="s">
        <v>42</v>
      </c>
      <c r="B48" s="119" t="s">
        <v>44</v>
      </c>
      <c r="C48" s="78"/>
      <c r="D48" s="78"/>
      <c r="E48" s="78"/>
      <c r="F48" s="78"/>
      <c r="G48" s="37">
        <v>69811</v>
      </c>
      <c r="H48" s="37">
        <v>85296</v>
      </c>
      <c r="I48" s="37">
        <v>98115</v>
      </c>
      <c r="J48" s="37">
        <v>104062</v>
      </c>
      <c r="K48" s="37">
        <v>148951</v>
      </c>
      <c r="L48" s="37">
        <v>162450</v>
      </c>
      <c r="M48" s="37">
        <v>175033</v>
      </c>
      <c r="N48" s="37">
        <v>198084</v>
      </c>
      <c r="O48" s="37">
        <v>224532</v>
      </c>
      <c r="P48" s="37">
        <v>258723.55</v>
      </c>
      <c r="Q48" s="37">
        <v>291360.5</v>
      </c>
      <c r="R48" s="37">
        <v>324483.39</v>
      </c>
      <c r="S48" s="37">
        <v>358139.29</v>
      </c>
      <c r="T48" s="37">
        <v>392613.71</v>
      </c>
    </row>
    <row r="49" ht="15" customHeight="1" spans="1:20">
      <c r="A49" s="117" t="s">
        <v>42</v>
      </c>
      <c r="B49" s="119" t="s">
        <v>45</v>
      </c>
      <c r="C49" s="78"/>
      <c r="D49" s="78"/>
      <c r="E49" s="78"/>
      <c r="F49" s="78"/>
      <c r="G49" s="37">
        <v>8150</v>
      </c>
      <c r="H49" s="37">
        <v>11115</v>
      </c>
      <c r="I49" s="37">
        <v>15149</v>
      </c>
      <c r="J49" s="37">
        <v>19772</v>
      </c>
      <c r="K49" s="37">
        <v>28845</v>
      </c>
      <c r="L49" s="37">
        <v>29243</v>
      </c>
      <c r="M49" s="37">
        <v>31510</v>
      </c>
      <c r="N49" s="37">
        <v>36147</v>
      </c>
      <c r="O49" s="37">
        <v>40367</v>
      </c>
      <c r="P49" s="37">
        <v>43997.73</v>
      </c>
      <c r="Q49" s="37">
        <v>49277.45</v>
      </c>
      <c r="R49" s="37">
        <v>54574.78</v>
      </c>
      <c r="S49" s="37">
        <v>59759.38</v>
      </c>
      <c r="T49" s="37">
        <v>64838.93</v>
      </c>
    </row>
    <row r="50" ht="15" customHeight="1" spans="1:20">
      <c r="A50" s="117" t="s">
        <v>42</v>
      </c>
      <c r="B50" s="119" t="s">
        <v>46</v>
      </c>
      <c r="C50" s="78"/>
      <c r="D50" s="78"/>
      <c r="E50" s="78"/>
      <c r="F50" s="78"/>
      <c r="G50" s="78"/>
      <c r="H50" s="37">
        <v>-4348</v>
      </c>
      <c r="I50" s="37">
        <v>-4645</v>
      </c>
      <c r="J50" s="37">
        <v>-5607</v>
      </c>
      <c r="K50" s="37">
        <v>-2282</v>
      </c>
      <c r="L50" s="37">
        <v>-1922</v>
      </c>
      <c r="M50" s="37">
        <v>1716</v>
      </c>
      <c r="N50" s="37">
        <v>6112</v>
      </c>
      <c r="O50" s="37">
        <v>13910</v>
      </c>
      <c r="P50" s="37">
        <v>32420.97</v>
      </c>
      <c r="Q50" s="37">
        <v>57771.82</v>
      </c>
      <c r="R50" s="37">
        <v>85285.05</v>
      </c>
      <c r="S50" s="37">
        <v>113733.5</v>
      </c>
      <c r="T50" s="37">
        <v>138713.29</v>
      </c>
    </row>
    <row r="52" ht="15" customHeight="1" spans="1:1">
      <c r="A52" s="124" t="s">
        <v>47</v>
      </c>
    </row>
    <row r="53" ht="15" customHeight="1" spans="1:20">
      <c r="A53" s="117" t="s">
        <v>48</v>
      </c>
      <c r="B53" s="118" t="s">
        <v>23</v>
      </c>
      <c r="C53" s="5">
        <v>7872</v>
      </c>
      <c r="D53" s="5">
        <v>12466</v>
      </c>
      <c r="E53" s="5">
        <v>17928</v>
      </c>
      <c r="F53" s="5">
        <v>27638</v>
      </c>
      <c r="G53" s="5">
        <v>40653</v>
      </c>
      <c r="H53" s="5">
        <v>55838</v>
      </c>
      <c r="I53" s="5">
        <v>70697</v>
      </c>
      <c r="J53" s="5">
        <v>85965</v>
      </c>
      <c r="K53" s="5">
        <v>117929</v>
      </c>
      <c r="L53" s="5">
        <v>116609</v>
      </c>
      <c r="M53" s="5">
        <v>134902</v>
      </c>
      <c r="N53" s="5">
        <v>164501</v>
      </c>
      <c r="O53" s="5">
        <v>200966</v>
      </c>
      <c r="P53" s="5">
        <v>252898.15</v>
      </c>
      <c r="Q53" s="5">
        <v>301231.94</v>
      </c>
      <c r="R53" s="5">
        <v>352191.64</v>
      </c>
      <c r="S53" s="5">
        <v>403671.7</v>
      </c>
      <c r="T53" s="5">
        <v>456699.5</v>
      </c>
    </row>
    <row r="54" ht="15" customHeight="1" spans="1:20">
      <c r="A54" s="117" t="s">
        <v>48</v>
      </c>
      <c r="B54" s="118" t="s">
        <v>24</v>
      </c>
      <c r="C54" s="37">
        <v>2804</v>
      </c>
      <c r="D54" s="37">
        <v>4994.8</v>
      </c>
      <c r="E54" s="37">
        <v>6225</v>
      </c>
      <c r="F54" s="37">
        <v>12427</v>
      </c>
      <c r="G54" s="37">
        <v>20202</v>
      </c>
      <c r="H54" s="37">
        <v>24913</v>
      </c>
      <c r="I54" s="5">
        <v>28489</v>
      </c>
      <c r="J54" s="5">
        <v>39294</v>
      </c>
      <c r="K54" s="5">
        <v>56946</v>
      </c>
      <c r="L54" s="5">
        <v>42661</v>
      </c>
      <c r="M54" s="5">
        <v>62871</v>
      </c>
      <c r="N54" s="5">
        <v>87109</v>
      </c>
      <c r="O54" s="5">
        <v>102469</v>
      </c>
      <c r="P54" s="5">
        <v>107256.35</v>
      </c>
      <c r="Q54" s="5">
        <v>123332.59</v>
      </c>
      <c r="R54" s="5">
        <v>142728</v>
      </c>
      <c r="S54" s="5">
        <v>179457.68</v>
      </c>
      <c r="T54" s="5">
        <v>192345.26</v>
      </c>
    </row>
    <row r="55" ht="15" customHeight="1" spans="1:20">
      <c r="A55" s="117" t="s">
        <v>48</v>
      </c>
      <c r="B55" s="118" t="s">
        <v>25</v>
      </c>
      <c r="C55" s="37">
        <v>1491</v>
      </c>
      <c r="D55" s="37">
        <v>2924.8</v>
      </c>
      <c r="E55" s="37">
        <v>3669</v>
      </c>
      <c r="F55" s="37">
        <v>10187.2</v>
      </c>
      <c r="G55" s="37">
        <v>15919</v>
      </c>
      <c r="H55" s="37">
        <v>22112</v>
      </c>
      <c r="I55" s="37">
        <v>18484.5</v>
      </c>
      <c r="J55" s="37">
        <v>29145</v>
      </c>
      <c r="K55" s="37">
        <v>39370</v>
      </c>
      <c r="L55" s="37">
        <v>23199</v>
      </c>
      <c r="M55" s="37">
        <v>39097</v>
      </c>
      <c r="N55" s="37">
        <v>62360</v>
      </c>
      <c r="O55" s="37">
        <v>60458</v>
      </c>
      <c r="P55" s="37">
        <v>85782.86</v>
      </c>
      <c r="Q55" s="37">
        <v>91160.94</v>
      </c>
      <c r="R55" s="37">
        <v>103452.71</v>
      </c>
      <c r="S55" s="37">
        <v>115846.5</v>
      </c>
      <c r="T55" s="37">
        <v>127804.37</v>
      </c>
    </row>
    <row r="56" ht="15" customHeight="1" spans="1:20">
      <c r="A56" s="117" t="s">
        <v>48</v>
      </c>
      <c r="B56" s="119" t="s">
        <v>26</v>
      </c>
      <c r="C56" s="120">
        <v>0.6</v>
      </c>
      <c r="D56" s="120">
        <v>1.1</v>
      </c>
      <c r="E56" s="120">
        <v>1.29</v>
      </c>
      <c r="F56" s="120">
        <v>3.49</v>
      </c>
      <c r="G56" s="120">
        <v>6.16</v>
      </c>
      <c r="H56" s="120">
        <v>7.57</v>
      </c>
      <c r="I56" s="120">
        <v>8.56</v>
      </c>
      <c r="J56" s="120">
        <v>9.78</v>
      </c>
      <c r="K56" s="120">
        <v>13.77</v>
      </c>
      <c r="L56" s="120">
        <v>8.59</v>
      </c>
      <c r="M56" s="120">
        <v>14.87</v>
      </c>
      <c r="N56" s="120">
        <v>23.86</v>
      </c>
      <c r="O56" s="120">
        <v>23.49</v>
      </c>
      <c r="P56" s="120">
        <v>32.2</v>
      </c>
      <c r="Q56" s="120">
        <v>34.9</v>
      </c>
      <c r="R56" s="120">
        <v>40.5</v>
      </c>
      <c r="S56" s="120">
        <v>48.62</v>
      </c>
      <c r="T56" s="120">
        <v>57</v>
      </c>
    </row>
    <row r="57" ht="15" customHeight="1" spans="1:20">
      <c r="A57" s="117" t="s">
        <v>48</v>
      </c>
      <c r="B57" s="118" t="s">
        <v>27</v>
      </c>
      <c r="C57" s="5">
        <v>2420</v>
      </c>
      <c r="D57" s="5">
        <v>2614</v>
      </c>
      <c r="E57" s="5">
        <v>2803</v>
      </c>
      <c r="F57" s="5">
        <v>2863</v>
      </c>
      <c r="G57" s="5">
        <v>2901</v>
      </c>
      <c r="H57" s="5">
        <v>2890</v>
      </c>
      <c r="I57" s="5">
        <v>2854</v>
      </c>
      <c r="J57" s="5">
        <v>2851</v>
      </c>
      <c r="K57" s="5">
        <v>2815</v>
      </c>
      <c r="L57" s="5">
        <v>2687</v>
      </c>
      <c r="M57" s="5">
        <v>2574</v>
      </c>
      <c r="N57" s="5">
        <v>2534</v>
      </c>
      <c r="O57" s="5">
        <v>2521</v>
      </c>
      <c r="P57" s="5">
        <v>2541.31</v>
      </c>
      <c r="Q57" s="5">
        <v>2546.74</v>
      </c>
      <c r="R57" s="5">
        <v>2570.97</v>
      </c>
      <c r="S57" s="5">
        <v>2587.5</v>
      </c>
      <c r="T57" s="5">
        <v>2579.74</v>
      </c>
    </row>
    <row r="58" ht="15" customHeight="1" spans="1:20">
      <c r="A58" s="117" t="s">
        <v>48</v>
      </c>
      <c r="B58" s="119" t="s">
        <v>28</v>
      </c>
      <c r="C58" s="37">
        <v>-906</v>
      </c>
      <c r="D58" s="37">
        <v>-1837</v>
      </c>
      <c r="E58" s="37">
        <v>-2969</v>
      </c>
      <c r="F58" s="37">
        <v>-3202</v>
      </c>
      <c r="G58" s="37">
        <v>-3723</v>
      </c>
      <c r="H58" s="37">
        <v>-4152</v>
      </c>
      <c r="I58" s="37">
        <v>-4835</v>
      </c>
      <c r="J58" s="37">
        <v>-6536</v>
      </c>
      <c r="K58" s="37">
        <v>-9163</v>
      </c>
      <c r="L58" s="37">
        <v>-11991</v>
      </c>
      <c r="M58" s="37">
        <v>-14027</v>
      </c>
      <c r="N58" s="37">
        <v>-16690</v>
      </c>
      <c r="O58" s="37">
        <v>-20426</v>
      </c>
      <c r="P58" s="37">
        <v>-23722.2</v>
      </c>
      <c r="Q58" s="37">
        <v>-24908.31</v>
      </c>
      <c r="R58" s="37">
        <v>-26153.73</v>
      </c>
      <c r="S58" s="37">
        <v>-27461.41</v>
      </c>
      <c r="T58" s="37">
        <v>-28834.48</v>
      </c>
    </row>
    <row r="59" ht="15" customHeight="1" spans="1:20">
      <c r="A59" s="117" t="s">
        <v>48</v>
      </c>
      <c r="B59" s="119" t="s">
        <v>29</v>
      </c>
      <c r="C59" s="5">
        <v>1011</v>
      </c>
      <c r="D59" s="5">
        <v>1243</v>
      </c>
      <c r="E59" s="5">
        <v>1945</v>
      </c>
      <c r="F59" s="5">
        <v>2342</v>
      </c>
      <c r="G59" s="5">
        <v>3025</v>
      </c>
      <c r="H59" s="5">
        <v>4315</v>
      </c>
      <c r="I59" s="5">
        <v>5741</v>
      </c>
      <c r="J59" s="5">
        <v>6862</v>
      </c>
      <c r="K59" s="5">
        <v>7967</v>
      </c>
      <c r="L59" s="5">
        <v>8686</v>
      </c>
      <c r="M59" s="5">
        <v>11178</v>
      </c>
      <c r="N59" s="5">
        <v>15498</v>
      </c>
      <c r="O59" s="5">
        <v>18616</v>
      </c>
      <c r="P59" s="5">
        <v>29596.55</v>
      </c>
      <c r="Q59" s="5">
        <v>43105.48</v>
      </c>
      <c r="R59" s="5">
        <v>57217.37</v>
      </c>
      <c r="S59" s="5">
        <v>74363.38</v>
      </c>
      <c r="T59" s="5">
        <v>87724.37</v>
      </c>
    </row>
    <row r="60" ht="15" customHeight="1" spans="1:20">
      <c r="A60" s="117" t="s">
        <v>48</v>
      </c>
      <c r="B60" s="119" t="s">
        <v>30</v>
      </c>
      <c r="C60" s="37">
        <v>1362</v>
      </c>
      <c r="D60" s="37">
        <v>1831</v>
      </c>
      <c r="E60" s="37">
        <v>2523</v>
      </c>
      <c r="F60" s="37">
        <v>4491</v>
      </c>
      <c r="G60" s="37">
        <v>6732</v>
      </c>
      <c r="H60" s="37">
        <v>13980</v>
      </c>
      <c r="I60" s="37">
        <v>15102</v>
      </c>
      <c r="J60" s="37">
        <v>15115</v>
      </c>
      <c r="K60" s="37">
        <v>18567</v>
      </c>
      <c r="L60" s="37">
        <v>31186</v>
      </c>
      <c r="M60" s="37">
        <v>27045</v>
      </c>
      <c r="N60" s="37">
        <v>37256</v>
      </c>
      <c r="O60" s="37">
        <v>69691</v>
      </c>
      <c r="P60" s="37">
        <v>135583.71</v>
      </c>
      <c r="Q60" s="37">
        <v>165714.44</v>
      </c>
      <c r="R60" s="37">
        <v>185600.17</v>
      </c>
      <c r="S60" s="37">
        <v>196736.18</v>
      </c>
      <c r="T60" s="37">
        <v>208540.35</v>
      </c>
    </row>
    <row r="61" ht="15" customHeight="1" spans="1:20">
      <c r="A61" s="117" t="s">
        <v>48</v>
      </c>
      <c r="B61" s="119" t="s">
        <v>31</v>
      </c>
      <c r="C61" s="37">
        <v>4222</v>
      </c>
      <c r="D61" s="37">
        <v>5507.8</v>
      </c>
      <c r="E61" s="37">
        <v>8607</v>
      </c>
      <c r="F61" s="37">
        <v>16061</v>
      </c>
      <c r="G61" s="37">
        <v>24216</v>
      </c>
      <c r="H61" s="37">
        <v>29339</v>
      </c>
      <c r="I61" s="37">
        <v>36312.5</v>
      </c>
      <c r="J61" s="37">
        <v>38747</v>
      </c>
      <c r="K61" s="37">
        <v>57683</v>
      </c>
      <c r="L61" s="37">
        <v>50475</v>
      </c>
      <c r="M61" s="37">
        <v>71113</v>
      </c>
      <c r="N61" s="37">
        <v>91328</v>
      </c>
      <c r="O61" s="37">
        <v>115800</v>
      </c>
      <c r="P61" s="37">
        <v>180250.64</v>
      </c>
      <c r="Q61" s="37">
        <v>206102.96</v>
      </c>
      <c r="R61" s="37">
        <v>243250.01</v>
      </c>
      <c r="S61" s="37">
        <v>279015.98</v>
      </c>
      <c r="T61" s="37">
        <v>314478.51</v>
      </c>
    </row>
    <row r="62" ht="15" customHeight="1" spans="1:20">
      <c r="A62" s="117" t="s">
        <v>48</v>
      </c>
      <c r="B62" s="119" t="s">
        <v>32</v>
      </c>
      <c r="C62" s="37">
        <v>2860</v>
      </c>
      <c r="D62" s="37">
        <v>3676.8</v>
      </c>
      <c r="E62" s="37">
        <v>6084</v>
      </c>
      <c r="F62" s="37">
        <v>11570</v>
      </c>
      <c r="G62" s="37">
        <v>17484</v>
      </c>
      <c r="H62" s="37">
        <v>15359</v>
      </c>
      <c r="I62" s="37">
        <v>21210.5</v>
      </c>
      <c r="J62" s="37">
        <v>23632</v>
      </c>
      <c r="K62" s="37">
        <v>39116</v>
      </c>
      <c r="L62" s="37">
        <v>19289</v>
      </c>
      <c r="M62" s="37">
        <v>44068</v>
      </c>
      <c r="N62" s="37">
        <v>54072</v>
      </c>
      <c r="O62" s="37">
        <v>46109</v>
      </c>
      <c r="P62" s="37">
        <v>44666.93</v>
      </c>
      <c r="Q62" s="37">
        <v>40388.52</v>
      </c>
      <c r="R62" s="37">
        <v>57649.84</v>
      </c>
      <c r="S62" s="37">
        <v>82279.8</v>
      </c>
      <c r="T62" s="37">
        <v>105938.16</v>
      </c>
    </row>
    <row r="63" ht="15" customHeight="1" spans="1:20">
      <c r="A63" s="117" t="s">
        <v>48</v>
      </c>
      <c r="B63" s="118" t="s">
        <v>33</v>
      </c>
      <c r="C63" s="37">
        <v>0</v>
      </c>
      <c r="D63" s="37">
        <v>0</v>
      </c>
      <c r="E63" s="37">
        <v>0</v>
      </c>
      <c r="F63" s="37">
        <v>0</v>
      </c>
      <c r="G63" s="37">
        <v>1976</v>
      </c>
      <c r="H63" s="37">
        <v>12879</v>
      </c>
      <c r="I63" s="37">
        <v>4201</v>
      </c>
      <c r="J63" s="37">
        <v>6272</v>
      </c>
      <c r="K63" s="37">
        <v>44538</v>
      </c>
      <c r="L63" s="37">
        <v>27956</v>
      </c>
      <c r="M63" s="37">
        <v>19775</v>
      </c>
      <c r="N63" s="37">
        <v>30125</v>
      </c>
      <c r="O63" s="37">
        <v>26248</v>
      </c>
      <c r="P63" s="37">
        <v>0</v>
      </c>
      <c r="Q63" s="37">
        <v>6000</v>
      </c>
      <c r="R63" s="37">
        <v>6000</v>
      </c>
      <c r="S63" s="37">
        <v>6000</v>
      </c>
      <c r="T63" s="37">
        <v>6000</v>
      </c>
    </row>
    <row r="64" ht="15" customHeight="1" spans="1:20">
      <c r="A64" s="117" t="s">
        <v>48</v>
      </c>
      <c r="B64" s="119" t="s">
        <v>49</v>
      </c>
      <c r="C64" s="37">
        <v>6986</v>
      </c>
      <c r="D64" s="37">
        <v>11492</v>
      </c>
      <c r="E64" s="37">
        <v>17080</v>
      </c>
      <c r="F64" s="37">
        <v>26885</v>
      </c>
      <c r="G64" s="37">
        <v>39942</v>
      </c>
      <c r="H64" s="37">
        <v>55012</v>
      </c>
      <c r="I64" s="37">
        <v>69654.5</v>
      </c>
      <c r="J64" s="37">
        <v>84169</v>
      </c>
      <c r="K64" s="37">
        <v>114934</v>
      </c>
      <c r="L64" s="37">
        <v>113641</v>
      </c>
      <c r="M64" s="37">
        <v>131948</v>
      </c>
      <c r="N64" s="37">
        <v>160632</v>
      </c>
      <c r="O64" s="37">
        <v>196174</v>
      </c>
      <c r="P64" s="37">
        <v>248664.66</v>
      </c>
      <c r="Q64" s="37">
        <v>298597.44</v>
      </c>
      <c r="R64" s="37">
        <v>348271.65</v>
      </c>
      <c r="S64" s="37">
        <v>397194.59</v>
      </c>
      <c r="T64" s="37">
        <v>444912.31</v>
      </c>
    </row>
    <row r="65" ht="15" customHeight="1" spans="1:20">
      <c r="A65" s="117" t="s">
        <v>48</v>
      </c>
      <c r="B65" s="119" t="s">
        <v>50</v>
      </c>
      <c r="C65" s="78"/>
      <c r="D65" s="78"/>
      <c r="E65" s="78"/>
      <c r="F65" s="78"/>
      <c r="G65" s="78"/>
      <c r="H65" s="78"/>
      <c r="I65" s="37">
        <v>70196</v>
      </c>
      <c r="J65" s="37">
        <v>84826</v>
      </c>
      <c r="K65" s="37">
        <v>115655</v>
      </c>
      <c r="L65" s="37">
        <v>114450</v>
      </c>
      <c r="M65" s="37">
        <v>133005</v>
      </c>
      <c r="N65" s="37">
        <v>162354</v>
      </c>
      <c r="O65" s="37">
        <v>198758</v>
      </c>
      <c r="P65" s="37">
        <v>252529.81</v>
      </c>
      <c r="Q65" s="37">
        <v>303235.62</v>
      </c>
      <c r="R65" s="37">
        <v>353605.56</v>
      </c>
      <c r="S65" s="37">
        <v>403061.89</v>
      </c>
      <c r="T65" s="37">
        <v>451366.33</v>
      </c>
    </row>
    <row r="66" ht="15" customHeight="1" spans="1:20">
      <c r="A66" s="117" t="s">
        <v>48</v>
      </c>
      <c r="B66" s="119" t="s">
        <v>51</v>
      </c>
      <c r="C66" s="78"/>
      <c r="D66" s="78"/>
      <c r="E66" s="78"/>
      <c r="F66" s="78"/>
      <c r="G66" s="78"/>
      <c r="H66" s="78"/>
      <c r="I66" s="37">
        <v>28489</v>
      </c>
      <c r="J66" s="37">
        <v>39294</v>
      </c>
      <c r="K66" s="37">
        <v>56947</v>
      </c>
      <c r="L66" s="37">
        <v>42662</v>
      </c>
      <c r="M66" s="37">
        <v>62870</v>
      </c>
      <c r="N66" s="37">
        <v>87109</v>
      </c>
      <c r="O66" s="37">
        <v>102469</v>
      </c>
      <c r="P66" s="37">
        <v>109500.79</v>
      </c>
      <c r="Q66" s="37">
        <v>122498.06</v>
      </c>
      <c r="R66" s="37">
        <v>135570.51</v>
      </c>
      <c r="S66" s="37">
        <v>147823.31</v>
      </c>
      <c r="T66" s="37">
        <v>158299.25</v>
      </c>
    </row>
    <row r="67" ht="15" customHeight="1" spans="1:20">
      <c r="A67" s="117" t="s">
        <v>48</v>
      </c>
      <c r="B67" s="119" t="s">
        <v>52</v>
      </c>
      <c r="C67" s="78"/>
      <c r="D67" s="78"/>
      <c r="E67" s="78"/>
      <c r="F67" s="78"/>
      <c r="G67" s="78"/>
      <c r="H67" s="78"/>
      <c r="I67" s="37">
        <v>501</v>
      </c>
      <c r="J67" s="37">
        <v>1139</v>
      </c>
      <c r="K67" s="37">
        <v>2274</v>
      </c>
      <c r="L67" s="37">
        <v>2159</v>
      </c>
      <c r="M67" s="37">
        <v>1896</v>
      </c>
      <c r="N67" s="37">
        <v>2146</v>
      </c>
      <c r="O67" s="37">
        <v>2207</v>
      </c>
      <c r="P67" s="37">
        <v>2645.75</v>
      </c>
      <c r="Q67" s="37">
        <v>3174.9</v>
      </c>
      <c r="R67" s="37">
        <v>3730.51</v>
      </c>
      <c r="S67" s="37">
        <v>4290.08</v>
      </c>
      <c r="T67" s="37">
        <v>4826.34</v>
      </c>
    </row>
    <row r="68" ht="15" customHeight="1" spans="1:20">
      <c r="A68" s="117" t="s">
        <v>48</v>
      </c>
      <c r="B68" s="119" t="s">
        <v>53</v>
      </c>
      <c r="C68" s="78"/>
      <c r="D68" s="78"/>
      <c r="E68" s="78"/>
      <c r="F68" s="78"/>
      <c r="G68" s="78"/>
      <c r="H68" s="78"/>
      <c r="I68" s="37">
        <v>-4503</v>
      </c>
      <c r="J68" s="37">
        <v>-6623</v>
      </c>
      <c r="K68" s="37">
        <v>-10194</v>
      </c>
      <c r="L68" s="37">
        <v>-13717</v>
      </c>
      <c r="M68" s="37">
        <v>-16119</v>
      </c>
      <c r="N68" s="37">
        <v>-17729</v>
      </c>
      <c r="O68" s="37">
        <v>-19193</v>
      </c>
      <c r="P68" s="37">
        <v>-19011</v>
      </c>
      <c r="Q68" s="37">
        <v>-18060.45</v>
      </c>
      <c r="R68" s="37">
        <v>-17157.43</v>
      </c>
      <c r="S68" s="37">
        <v>-16299.56</v>
      </c>
      <c r="T68" s="37">
        <v>-15484.58</v>
      </c>
    </row>
    <row r="70" ht="15" customHeight="1" spans="1:1">
      <c r="A70" s="125" t="s">
        <v>54</v>
      </c>
    </row>
    <row r="71" ht="15" customHeight="1" spans="1:20">
      <c r="A71" s="117" t="s">
        <v>55</v>
      </c>
      <c r="B71" s="118" t="s">
        <v>23</v>
      </c>
      <c r="C71" s="37">
        <v>37253</v>
      </c>
      <c r="D71" s="5">
        <v>38306</v>
      </c>
      <c r="E71" s="5">
        <v>38253</v>
      </c>
      <c r="F71" s="5">
        <v>37057</v>
      </c>
      <c r="G71" s="5">
        <v>37899</v>
      </c>
      <c r="H71" s="5">
        <v>39878</v>
      </c>
      <c r="I71" s="5">
        <v>39526</v>
      </c>
      <c r="J71" s="5">
        <v>39068</v>
      </c>
      <c r="K71" s="5">
        <v>40481</v>
      </c>
      <c r="L71" s="5">
        <v>42440</v>
      </c>
      <c r="M71" s="5">
        <v>49954</v>
      </c>
      <c r="N71" s="5">
        <v>52961</v>
      </c>
      <c r="O71" s="5">
        <v>57399</v>
      </c>
      <c r="P71" s="5">
        <v>67256.59</v>
      </c>
      <c r="Q71" s="5">
        <v>89106.44</v>
      </c>
      <c r="R71" s="5">
        <v>130482.44</v>
      </c>
      <c r="S71" s="5">
        <v>183189.61</v>
      </c>
      <c r="T71" s="5">
        <v>223043.24</v>
      </c>
    </row>
    <row r="72" ht="15" customHeight="1" spans="1:20">
      <c r="A72" s="117" t="s">
        <v>55</v>
      </c>
      <c r="B72" s="118" t="s">
        <v>24</v>
      </c>
      <c r="C72" s="37">
        <v>14684</v>
      </c>
      <c r="D72" s="37">
        <v>14758</v>
      </c>
      <c r="E72" s="37">
        <v>13870</v>
      </c>
      <c r="F72" s="37">
        <v>12604</v>
      </c>
      <c r="G72" s="37">
        <v>12710</v>
      </c>
      <c r="H72" s="37">
        <v>13264</v>
      </c>
      <c r="I72" s="37">
        <v>13535</v>
      </c>
      <c r="J72" s="37">
        <v>13897</v>
      </c>
      <c r="K72" s="37">
        <v>15214</v>
      </c>
      <c r="L72" s="37">
        <v>10927</v>
      </c>
      <c r="M72" s="37">
        <v>13094</v>
      </c>
      <c r="N72" s="37">
        <v>15354</v>
      </c>
      <c r="O72" s="37">
        <v>17678</v>
      </c>
      <c r="P72" s="37">
        <v>19462.44</v>
      </c>
      <c r="Q72" s="37">
        <v>21128.19</v>
      </c>
      <c r="R72" s="37">
        <v>36930.86</v>
      </c>
      <c r="S72" s="37">
        <v>53057.71</v>
      </c>
      <c r="T72" s="37">
        <v>57952.82</v>
      </c>
    </row>
    <row r="73" ht="15" customHeight="1" spans="1:20">
      <c r="A73" s="117" t="s">
        <v>55</v>
      </c>
      <c r="B73" s="118" t="s">
        <v>25</v>
      </c>
      <c r="C73" s="37">
        <v>10926</v>
      </c>
      <c r="D73" s="37">
        <v>10955</v>
      </c>
      <c r="E73" s="37">
        <v>9938</v>
      </c>
      <c r="F73" s="37">
        <v>8900</v>
      </c>
      <c r="G73" s="37">
        <v>9334</v>
      </c>
      <c r="H73" s="37">
        <v>3587</v>
      </c>
      <c r="I73" s="37">
        <v>11083</v>
      </c>
      <c r="J73" s="37">
        <v>10135</v>
      </c>
      <c r="K73" s="37">
        <v>13747</v>
      </c>
      <c r="L73" s="37">
        <v>6718</v>
      </c>
      <c r="M73" s="37">
        <v>8504</v>
      </c>
      <c r="N73" s="37">
        <v>10467</v>
      </c>
      <c r="O73" s="37">
        <v>12443</v>
      </c>
      <c r="P73" s="37">
        <v>15820.55</v>
      </c>
      <c r="Q73" s="37">
        <v>13363.1</v>
      </c>
      <c r="R73" s="37">
        <v>26776.66</v>
      </c>
      <c r="S73" s="37">
        <v>39834.82</v>
      </c>
      <c r="T73" s="37">
        <v>44104.48</v>
      </c>
    </row>
    <row r="74" ht="15" customHeight="1" spans="1:20">
      <c r="A74" s="117" t="s">
        <v>55</v>
      </c>
      <c r="B74" s="119" t="s">
        <v>26</v>
      </c>
      <c r="C74" s="126">
        <v>2.26</v>
      </c>
      <c r="D74" s="120">
        <v>2.38</v>
      </c>
      <c r="E74" s="120">
        <v>2.21</v>
      </c>
      <c r="F74" s="120">
        <v>2.07</v>
      </c>
      <c r="G74" s="120">
        <v>2.21</v>
      </c>
      <c r="H74" s="120">
        <v>0.9</v>
      </c>
      <c r="I74" s="120">
        <v>2.97</v>
      </c>
      <c r="J74" s="120">
        <v>3.08</v>
      </c>
      <c r="K74" s="120">
        <v>4.55</v>
      </c>
      <c r="L74" s="120">
        <v>2.41</v>
      </c>
      <c r="M74" s="120">
        <v>3.07</v>
      </c>
      <c r="N74" s="120">
        <v>3.71</v>
      </c>
      <c r="O74" s="120">
        <v>4.34</v>
      </c>
      <c r="P74" s="120">
        <v>5.85</v>
      </c>
      <c r="Q74" s="120">
        <v>6.26</v>
      </c>
      <c r="R74" s="120">
        <v>8.79</v>
      </c>
      <c r="S74" s="120">
        <v>12.89</v>
      </c>
      <c r="T74" s="120">
        <v>16.76</v>
      </c>
    </row>
    <row r="75" ht="15" customHeight="1" spans="1:20">
      <c r="A75" s="117" t="s">
        <v>55</v>
      </c>
      <c r="B75" s="118" t="s">
        <v>27</v>
      </c>
      <c r="C75" s="5">
        <v>4769</v>
      </c>
      <c r="D75" s="5">
        <v>4528</v>
      </c>
      <c r="E75" s="5">
        <v>4404</v>
      </c>
      <c r="F75" s="5">
        <v>4221</v>
      </c>
      <c r="G75" s="5">
        <v>4115</v>
      </c>
      <c r="H75" s="5">
        <v>4121</v>
      </c>
      <c r="I75" s="5">
        <v>3634</v>
      </c>
      <c r="J75" s="5">
        <v>3211</v>
      </c>
      <c r="K75" s="5">
        <v>2945</v>
      </c>
      <c r="L75" s="5">
        <v>2700</v>
      </c>
      <c r="M75" s="5">
        <v>2696</v>
      </c>
      <c r="N75" s="5">
        <v>2744</v>
      </c>
      <c r="O75" s="5">
        <v>2789</v>
      </c>
      <c r="P75" s="5">
        <v>2864.8</v>
      </c>
      <c r="Q75" s="5">
        <v>2932.9</v>
      </c>
      <c r="R75" s="5">
        <v>2976.37</v>
      </c>
      <c r="S75" s="5">
        <v>3004.08</v>
      </c>
      <c r="T75" s="5">
        <v>3041.61</v>
      </c>
    </row>
    <row r="76" ht="15" customHeight="1" spans="1:20">
      <c r="A76" s="117" t="s">
        <v>55</v>
      </c>
      <c r="B76" s="119" t="s">
        <v>28</v>
      </c>
      <c r="C76" s="37">
        <v>755</v>
      </c>
      <c r="D76" s="37">
        <v>805</v>
      </c>
      <c r="E76" s="37">
        <v>933</v>
      </c>
      <c r="F76" s="37">
        <v>1037</v>
      </c>
      <c r="G76" s="37">
        <v>1350</v>
      </c>
      <c r="H76" s="37">
        <v>1607</v>
      </c>
      <c r="I76" s="37">
        <v>1653</v>
      </c>
      <c r="J76" s="37">
        <v>1590</v>
      </c>
      <c r="K76" s="37">
        <v>1837</v>
      </c>
      <c r="L76" s="37">
        <v>2613</v>
      </c>
      <c r="M76" s="37">
        <v>3547</v>
      </c>
      <c r="N76" s="37">
        <v>3974</v>
      </c>
      <c r="O76" s="37">
        <v>4674</v>
      </c>
      <c r="P76" s="37">
        <v>5069.6</v>
      </c>
      <c r="Q76" s="37">
        <v>6473.15</v>
      </c>
      <c r="R76" s="37">
        <v>8609.75</v>
      </c>
      <c r="S76" s="37">
        <v>10649.61</v>
      </c>
      <c r="T76" s="37">
        <v>11212.32</v>
      </c>
    </row>
    <row r="77" ht="15" customHeight="1" spans="1:20">
      <c r="A77" s="117" t="s">
        <v>55</v>
      </c>
      <c r="B77" s="119" t="s">
        <v>29</v>
      </c>
      <c r="C77" s="5">
        <v>2931</v>
      </c>
      <c r="D77" s="5">
        <v>2908</v>
      </c>
      <c r="E77" s="5">
        <v>2861</v>
      </c>
      <c r="F77" s="5">
        <v>2509</v>
      </c>
      <c r="G77" s="5">
        <v>2451</v>
      </c>
      <c r="H77" s="5">
        <v>2785</v>
      </c>
      <c r="I77" s="5">
        <v>2919</v>
      </c>
      <c r="J77" s="5">
        <v>2968</v>
      </c>
      <c r="K77" s="5">
        <v>2916</v>
      </c>
      <c r="L77" s="5">
        <v>3122</v>
      </c>
      <c r="M77" s="5">
        <v>6108</v>
      </c>
      <c r="N77" s="5">
        <v>6139</v>
      </c>
      <c r="O77" s="5">
        <v>6174</v>
      </c>
      <c r="P77" s="5">
        <v>9142.32</v>
      </c>
      <c r="Q77" s="5">
        <v>13499.83</v>
      </c>
      <c r="R77" s="5">
        <v>21615.57</v>
      </c>
      <c r="S77" s="5">
        <v>30404.77</v>
      </c>
      <c r="T77" s="5">
        <v>37972.18</v>
      </c>
    </row>
    <row r="78" ht="15" customHeight="1" spans="1:20">
      <c r="A78" s="117" t="s">
        <v>55</v>
      </c>
      <c r="B78" s="119" t="s">
        <v>30</v>
      </c>
      <c r="C78" s="37">
        <v>650</v>
      </c>
      <c r="D78" s="37">
        <v>580</v>
      </c>
      <c r="E78" s="37">
        <v>1391</v>
      </c>
      <c r="F78" s="37">
        <v>1189</v>
      </c>
      <c r="G78" s="37">
        <v>2021</v>
      </c>
      <c r="H78" s="37">
        <v>1736</v>
      </c>
      <c r="I78" s="37">
        <v>1660</v>
      </c>
      <c r="J78" s="37">
        <v>1564</v>
      </c>
      <c r="K78" s="37">
        <v>2135</v>
      </c>
      <c r="L78" s="37">
        <v>4511</v>
      </c>
      <c r="M78" s="37">
        <v>8695</v>
      </c>
      <c r="N78" s="37">
        <v>6866</v>
      </c>
      <c r="O78" s="37">
        <v>21215</v>
      </c>
      <c r="P78" s="37">
        <v>51882</v>
      </c>
      <c r="Q78" s="37">
        <v>52141.41</v>
      </c>
      <c r="R78" s="37">
        <v>69869.49</v>
      </c>
      <c r="S78" s="37">
        <v>81048.61</v>
      </c>
      <c r="T78" s="37">
        <v>66459.86</v>
      </c>
    </row>
    <row r="79" ht="15" customHeight="1" spans="1:20">
      <c r="A79" s="117" t="s">
        <v>55</v>
      </c>
      <c r="B79" s="119" t="s">
        <v>31</v>
      </c>
      <c r="C79" s="37">
        <v>14225</v>
      </c>
      <c r="D79" s="37">
        <v>14921</v>
      </c>
      <c r="E79" s="37">
        <v>14336</v>
      </c>
      <c r="F79" s="37">
        <v>13560</v>
      </c>
      <c r="G79" s="37">
        <v>14125</v>
      </c>
      <c r="H79" s="37">
        <v>15386</v>
      </c>
      <c r="I79" s="37">
        <v>14551</v>
      </c>
      <c r="J79" s="37">
        <v>13139</v>
      </c>
      <c r="K79" s="37">
        <v>15888</v>
      </c>
      <c r="L79" s="37">
        <v>9540</v>
      </c>
      <c r="M79" s="37">
        <v>17166</v>
      </c>
      <c r="N79" s="37">
        <v>18673</v>
      </c>
      <c r="O79" s="37">
        <v>20821</v>
      </c>
      <c r="P79" s="37">
        <v>25457.17</v>
      </c>
      <c r="Q79" s="37">
        <v>33694.38</v>
      </c>
      <c r="R79" s="37">
        <v>50132.95</v>
      </c>
      <c r="S79" s="37">
        <v>66529.01</v>
      </c>
      <c r="T79" s="37">
        <v>84964.12</v>
      </c>
    </row>
    <row r="80" ht="15" customHeight="1" spans="1:20">
      <c r="A80" s="117" t="s">
        <v>55</v>
      </c>
      <c r="B80" s="119" t="s">
        <v>32</v>
      </c>
      <c r="C80" s="37">
        <v>13575</v>
      </c>
      <c r="D80" s="37">
        <v>14341</v>
      </c>
      <c r="E80" s="37">
        <v>12945</v>
      </c>
      <c r="F80" s="37">
        <v>12371</v>
      </c>
      <c r="G80" s="37">
        <v>12104</v>
      </c>
      <c r="H80" s="37">
        <v>13650</v>
      </c>
      <c r="I80" s="37">
        <v>12891</v>
      </c>
      <c r="J80" s="37">
        <v>11575</v>
      </c>
      <c r="K80" s="37">
        <v>13753</v>
      </c>
      <c r="L80" s="37">
        <v>5029</v>
      </c>
      <c r="M80" s="37">
        <v>8471</v>
      </c>
      <c r="N80" s="37">
        <v>11807</v>
      </c>
      <c r="O80" s="37">
        <v>-394</v>
      </c>
      <c r="P80" s="37">
        <v>-26424.83</v>
      </c>
      <c r="Q80" s="37">
        <v>-18447.03</v>
      </c>
      <c r="R80" s="37">
        <v>-19736.54</v>
      </c>
      <c r="S80" s="37">
        <v>-14519.6</v>
      </c>
      <c r="T80" s="37">
        <v>18504.26</v>
      </c>
    </row>
    <row r="81" ht="15" customHeight="1" spans="1:20">
      <c r="A81" s="117" t="s">
        <v>55</v>
      </c>
      <c r="B81" s="118" t="s">
        <v>33</v>
      </c>
      <c r="C81" s="37">
        <v>11021</v>
      </c>
      <c r="D81" s="37">
        <v>9813</v>
      </c>
      <c r="E81" s="37">
        <v>8087</v>
      </c>
      <c r="F81" s="37">
        <v>10440</v>
      </c>
      <c r="G81" s="37">
        <v>3561</v>
      </c>
      <c r="H81" s="37">
        <v>11347</v>
      </c>
      <c r="I81" s="37">
        <v>36140</v>
      </c>
      <c r="J81" s="37">
        <v>19240</v>
      </c>
      <c r="K81" s="37">
        <v>20934</v>
      </c>
      <c r="L81" s="37">
        <v>16248</v>
      </c>
      <c r="M81" s="37">
        <v>1300</v>
      </c>
      <c r="N81" s="37">
        <v>1202</v>
      </c>
      <c r="O81" s="37">
        <v>600</v>
      </c>
      <c r="P81" s="37">
        <v>95</v>
      </c>
      <c r="Q81" s="37">
        <v>0</v>
      </c>
      <c r="R81" s="37">
        <v>0</v>
      </c>
      <c r="S81" s="37">
        <v>0</v>
      </c>
      <c r="T81" s="37">
        <v>0</v>
      </c>
    </row>
    <row r="82" ht="15" customHeight="1" spans="1:20">
      <c r="A82" s="117" t="s">
        <v>55</v>
      </c>
      <c r="B82" s="118" t="s">
        <v>56</v>
      </c>
      <c r="C82" s="37">
        <v>1365</v>
      </c>
      <c r="D82" s="5">
        <v>38306</v>
      </c>
      <c r="E82" s="5">
        <v>38253</v>
      </c>
      <c r="F82" s="5">
        <v>37057</v>
      </c>
      <c r="G82" s="5">
        <v>37899</v>
      </c>
      <c r="H82" s="5">
        <v>39878</v>
      </c>
      <c r="I82" s="5">
        <v>39526</v>
      </c>
      <c r="J82" s="5">
        <v>39068</v>
      </c>
      <c r="K82" s="5">
        <v>40481</v>
      </c>
      <c r="L82" s="5">
        <v>42440</v>
      </c>
      <c r="M82" s="5">
        <v>49954</v>
      </c>
      <c r="N82" s="5">
        <v>52961</v>
      </c>
      <c r="O82" s="5">
        <v>57399</v>
      </c>
      <c r="P82" s="5">
        <v>67256.59</v>
      </c>
      <c r="Q82" s="5">
        <v>89106.44</v>
      </c>
      <c r="R82" s="5">
        <v>130482.44</v>
      </c>
      <c r="S82" s="5">
        <v>183189.61</v>
      </c>
      <c r="T82" s="5">
        <v>223043.24</v>
      </c>
    </row>
    <row r="83" ht="15" customHeight="1" spans="1:20">
      <c r="A83" s="117" t="s">
        <v>55</v>
      </c>
      <c r="B83" s="119" t="s">
        <v>57</v>
      </c>
      <c r="C83" s="78"/>
      <c r="D83" s="78"/>
      <c r="E83" s="78"/>
      <c r="F83" s="78"/>
      <c r="G83" s="78"/>
      <c r="H83" s="78"/>
      <c r="I83" s="78"/>
      <c r="J83" s="78"/>
      <c r="K83" s="78"/>
      <c r="L83" s="37">
        <v>2760.74</v>
      </c>
      <c r="M83" s="37">
        <v>4500</v>
      </c>
      <c r="N83" s="37">
        <v>6800</v>
      </c>
      <c r="O83" s="37">
        <v>10234</v>
      </c>
      <c r="P83" s="37">
        <v>18064.4</v>
      </c>
      <c r="Q83" s="37">
        <v>37935.24</v>
      </c>
      <c r="R83" s="37">
        <v>72977.07</v>
      </c>
      <c r="S83" s="37">
        <v>111105.3</v>
      </c>
      <c r="T83" s="37">
        <v>129847.66</v>
      </c>
    </row>
    <row r="84" ht="15" customHeight="1" spans="1:20">
      <c r="A84" s="117" t="s">
        <v>55</v>
      </c>
      <c r="B84" s="119" t="s">
        <v>58</v>
      </c>
      <c r="C84" s="78"/>
      <c r="D84" s="78"/>
      <c r="E84" s="78"/>
      <c r="F84" s="78"/>
      <c r="G84" s="78"/>
      <c r="H84" s="78"/>
      <c r="I84" s="78"/>
      <c r="J84" s="78"/>
      <c r="K84" s="78"/>
      <c r="L84" s="37">
        <v>7999.33</v>
      </c>
      <c r="M84" s="37">
        <v>11400</v>
      </c>
      <c r="N84" s="37">
        <v>12949</v>
      </c>
      <c r="O84" s="37">
        <v>14272</v>
      </c>
      <c r="P84" s="37">
        <v>15955.84</v>
      </c>
      <c r="Q84" s="37">
        <v>17656.52</v>
      </c>
      <c r="R84" s="37">
        <v>19374.2</v>
      </c>
      <c r="S84" s="37">
        <v>21109.07</v>
      </c>
      <c r="T84" s="37">
        <v>22861.28</v>
      </c>
    </row>
    <row r="85" ht="15" customHeight="1" spans="1:20">
      <c r="A85" s="117" t="s">
        <v>55</v>
      </c>
      <c r="B85" s="119" t="s">
        <v>59</v>
      </c>
      <c r="C85" s="78"/>
      <c r="D85" s="78"/>
      <c r="E85" s="78"/>
      <c r="F85" s="78"/>
      <c r="G85" s="78"/>
      <c r="H85" s="78"/>
      <c r="I85" s="37">
        <v>36200</v>
      </c>
      <c r="J85" s="37">
        <v>37000</v>
      </c>
      <c r="K85" s="37">
        <v>41300</v>
      </c>
      <c r="L85" s="37">
        <v>46600</v>
      </c>
      <c r="M85" s="37">
        <v>67900</v>
      </c>
      <c r="N85" s="37">
        <v>98000</v>
      </c>
      <c r="O85" s="37">
        <v>138000</v>
      </c>
      <c r="P85" s="78"/>
      <c r="Q85" s="78"/>
      <c r="R85" s="78"/>
      <c r="S85" s="78"/>
      <c r="T85" s="78"/>
    </row>
    <row r="86" ht="15" customHeight="1" spans="1:20">
      <c r="A86" s="117" t="s">
        <v>55</v>
      </c>
      <c r="B86" s="118" t="s">
        <v>60</v>
      </c>
      <c r="C86" s="37">
        <v>17612</v>
      </c>
      <c r="D86" s="37">
        <v>18108</v>
      </c>
      <c r="E86" s="37">
        <v>17396</v>
      </c>
      <c r="F86" s="37">
        <v>15785</v>
      </c>
      <c r="G86" s="37">
        <v>16168</v>
      </c>
      <c r="H86" s="37">
        <v>17155</v>
      </c>
      <c r="I86" s="37">
        <v>17384</v>
      </c>
      <c r="J86" s="37">
        <v>17383</v>
      </c>
      <c r="K86" s="37">
        <v>19000</v>
      </c>
      <c r="L86" s="37">
        <v>19592</v>
      </c>
      <c r="M86" s="37">
        <v>20904</v>
      </c>
      <c r="N86" s="37">
        <v>23054</v>
      </c>
      <c r="O86" s="37">
        <v>25034</v>
      </c>
      <c r="P86" s="37">
        <v>28113.04</v>
      </c>
      <c r="Q86" s="37">
        <v>28489.16</v>
      </c>
      <c r="R86" s="37">
        <v>46280.73</v>
      </c>
      <c r="S86" s="37">
        <v>64368.1</v>
      </c>
      <c r="T86" s="37">
        <v>69758.92</v>
      </c>
    </row>
    <row r="87" ht="15" customHeight="1" spans="1:20">
      <c r="A87" s="117" t="s">
        <v>55</v>
      </c>
      <c r="B87" s="119" t="s">
        <v>61</v>
      </c>
      <c r="C87" s="126">
        <v>2.68</v>
      </c>
      <c r="D87" s="120">
        <v>2.38</v>
      </c>
      <c r="E87" s="120">
        <v>2.21</v>
      </c>
      <c r="F87" s="120">
        <v>2.07</v>
      </c>
      <c r="G87" s="120">
        <v>2.21</v>
      </c>
      <c r="H87" s="120">
        <v>0.9</v>
      </c>
      <c r="I87" s="120">
        <v>2.97</v>
      </c>
      <c r="J87" s="120">
        <v>3.08</v>
      </c>
      <c r="K87" s="120">
        <v>4.55</v>
      </c>
      <c r="L87" s="120">
        <v>2.41</v>
      </c>
      <c r="M87" s="120">
        <v>3.07</v>
      </c>
      <c r="N87" s="120">
        <v>3.71</v>
      </c>
      <c r="O87" s="120">
        <v>4.34</v>
      </c>
      <c r="P87" s="120">
        <v>5.85</v>
      </c>
      <c r="Q87" s="120">
        <v>6.26</v>
      </c>
      <c r="R87" s="120">
        <v>8.79</v>
      </c>
      <c r="S87" s="120">
        <v>12.89</v>
      </c>
      <c r="T87" s="120">
        <v>16.76</v>
      </c>
    </row>
    <row r="89" spans="1:1">
      <c r="A89" s="127" t="s">
        <v>62</v>
      </c>
    </row>
    <row r="90" spans="1:20">
      <c r="A90" s="128" t="s">
        <v>63</v>
      </c>
      <c r="B90" s="129" t="s">
        <v>23</v>
      </c>
      <c r="C90" s="78"/>
      <c r="D90" s="5">
        <v>4130.16</v>
      </c>
      <c r="E90" s="5">
        <v>4681.51</v>
      </c>
      <c r="F90" s="5">
        <v>5010</v>
      </c>
      <c r="G90" s="5">
        <v>6910</v>
      </c>
      <c r="H90" s="5">
        <v>9714</v>
      </c>
      <c r="I90" s="5">
        <v>11716</v>
      </c>
      <c r="J90" s="5">
        <v>10918</v>
      </c>
      <c r="K90" s="5">
        <v>16675</v>
      </c>
      <c r="L90" s="5">
        <v>26914</v>
      </c>
      <c r="M90" s="5">
        <v>26974</v>
      </c>
      <c r="N90" s="5">
        <v>60922</v>
      </c>
      <c r="O90" s="5">
        <v>130497</v>
      </c>
      <c r="P90" s="5">
        <v>215938</v>
      </c>
      <c r="Q90" s="5">
        <v>379513.47</v>
      </c>
      <c r="R90" s="5">
        <v>519798.97</v>
      </c>
      <c r="S90" s="5">
        <v>625601.86</v>
      </c>
      <c r="T90" s="5">
        <v>664318.86</v>
      </c>
    </row>
    <row r="91" spans="1:20">
      <c r="A91" s="128" t="s">
        <v>63</v>
      </c>
      <c r="B91" s="129" t="s">
        <v>24</v>
      </c>
      <c r="C91" s="78"/>
      <c r="D91" s="78"/>
      <c r="E91" s="78"/>
      <c r="F91" s="78"/>
      <c r="G91" s="78"/>
      <c r="H91" s="78"/>
      <c r="I91" s="78"/>
      <c r="J91" s="5">
        <v>751</v>
      </c>
      <c r="K91" s="5">
        <v>2548</v>
      </c>
      <c r="L91" s="5">
        <v>4598</v>
      </c>
      <c r="M91" s="5">
        <v>5083</v>
      </c>
      <c r="N91" s="5">
        <v>32016</v>
      </c>
      <c r="O91" s="5">
        <v>82875</v>
      </c>
      <c r="P91" s="5">
        <v>130141</v>
      </c>
      <c r="Q91" s="5">
        <v>245259.44</v>
      </c>
      <c r="R91" s="5">
        <v>309757.26</v>
      </c>
      <c r="S91" s="5">
        <v>392712.72</v>
      </c>
      <c r="T91" s="5">
        <v>481971.82</v>
      </c>
    </row>
    <row r="92" spans="1:20">
      <c r="A92" s="128" t="s">
        <v>63</v>
      </c>
      <c r="B92" s="129" t="s">
        <v>29</v>
      </c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</row>
    <row r="93" spans="1:20">
      <c r="A93" s="128" t="s">
        <v>63</v>
      </c>
      <c r="B93" s="129" t="s">
        <v>26</v>
      </c>
      <c r="C93" s="78"/>
      <c r="D93" s="130">
        <v>0.02</v>
      </c>
      <c r="E93" s="130">
        <v>0.03</v>
      </c>
      <c r="F93" s="130">
        <v>0.03</v>
      </c>
      <c r="G93" s="130">
        <v>0.06</v>
      </c>
      <c r="H93" s="130">
        <v>0.12</v>
      </c>
      <c r="I93" s="130">
        <v>0.17</v>
      </c>
      <c r="J93" s="130">
        <v>0.11</v>
      </c>
      <c r="K93" s="130">
        <v>0.17</v>
      </c>
      <c r="L93" s="130">
        <v>0.39</v>
      </c>
      <c r="M93" s="130">
        <v>0.17</v>
      </c>
      <c r="N93" s="130">
        <v>1.19</v>
      </c>
      <c r="O93" s="130">
        <v>2.94</v>
      </c>
      <c r="P93" s="130">
        <v>4.9</v>
      </c>
      <c r="Q93" s="130">
        <v>8.97</v>
      </c>
      <c r="R93" s="130">
        <v>12.06</v>
      </c>
      <c r="S93" s="130">
        <v>14.09</v>
      </c>
      <c r="T93" s="130">
        <v>15.84</v>
      </c>
    </row>
    <row r="94" spans="1:20">
      <c r="A94" s="128" t="s">
        <v>63</v>
      </c>
      <c r="B94" s="129" t="s">
        <v>27</v>
      </c>
      <c r="C94" s="78"/>
      <c r="D94" s="5">
        <v>23520</v>
      </c>
      <c r="E94" s="5">
        <v>22080</v>
      </c>
      <c r="F94" s="5">
        <v>21720</v>
      </c>
      <c r="G94" s="5">
        <v>21640</v>
      </c>
      <c r="H94" s="5">
        <v>23960</v>
      </c>
      <c r="I94" s="5">
        <v>24320</v>
      </c>
      <c r="J94" s="5">
        <v>24390</v>
      </c>
      <c r="K94" s="5">
        <v>24670</v>
      </c>
      <c r="L94" s="5">
        <v>24960</v>
      </c>
      <c r="M94" s="5">
        <v>24870</v>
      </c>
      <c r="N94" s="5">
        <v>24690</v>
      </c>
      <c r="O94" s="5">
        <v>24555</v>
      </c>
      <c r="P94" s="5">
        <v>24359</v>
      </c>
      <c r="Q94" s="5">
        <v>24298.14</v>
      </c>
      <c r="R94" s="5">
        <v>24143.46</v>
      </c>
      <c r="S94" s="5">
        <v>23883.77</v>
      </c>
      <c r="T94" s="5">
        <v>16685.95</v>
      </c>
    </row>
    <row r="95" spans="1:20">
      <c r="A95" s="128" t="s">
        <v>63</v>
      </c>
      <c r="B95" s="129" t="s">
        <v>64</v>
      </c>
      <c r="C95" s="78"/>
      <c r="D95" s="5">
        <v>580</v>
      </c>
      <c r="E95" s="5">
        <v>784</v>
      </c>
      <c r="F95" s="5">
        <v>1089</v>
      </c>
      <c r="G95" s="5">
        <v>1496</v>
      </c>
      <c r="H95" s="5">
        <v>2909</v>
      </c>
      <c r="I95" s="5">
        <v>3143</v>
      </c>
      <c r="J95" s="5">
        <v>4272</v>
      </c>
      <c r="K95" s="5">
        <v>4694</v>
      </c>
      <c r="L95" s="5">
        <v>8132</v>
      </c>
      <c r="M95" s="5">
        <v>3808</v>
      </c>
      <c r="N95" s="5">
        <v>27021</v>
      </c>
      <c r="O95" s="5">
        <v>60853</v>
      </c>
      <c r="P95" s="5">
        <v>96676</v>
      </c>
      <c r="Q95" s="5">
        <v>196546.7</v>
      </c>
      <c r="R95" s="5">
        <v>268143.94</v>
      </c>
      <c r="S95" s="5">
        <v>304204.5</v>
      </c>
      <c r="T95" s="5">
        <v>297544.37</v>
      </c>
    </row>
    <row r="97" spans="1:1">
      <c r="A97" s="131" t="s">
        <v>65</v>
      </c>
    </row>
    <row r="98" spans="1:20">
      <c r="A98" s="128" t="s">
        <v>66</v>
      </c>
      <c r="B98" s="129" t="s">
        <v>23</v>
      </c>
      <c r="C98" s="5">
        <v>9073</v>
      </c>
      <c r="D98" s="5">
        <v>16358</v>
      </c>
      <c r="E98" s="5">
        <v>16192</v>
      </c>
      <c r="F98" s="5">
        <v>12399</v>
      </c>
      <c r="G98" s="5">
        <v>20322</v>
      </c>
      <c r="H98" s="5">
        <v>30391</v>
      </c>
      <c r="I98" s="5">
        <v>23406</v>
      </c>
      <c r="J98" s="5">
        <v>21435</v>
      </c>
      <c r="K98" s="5">
        <v>27705</v>
      </c>
      <c r="L98" s="5">
        <v>30758</v>
      </c>
      <c r="M98" s="5">
        <v>15540</v>
      </c>
      <c r="N98" s="5">
        <v>25111</v>
      </c>
      <c r="O98" s="5">
        <v>37378</v>
      </c>
      <c r="P98" s="5">
        <v>110164.58</v>
      </c>
      <c r="Q98" s="5">
        <v>178992.05</v>
      </c>
      <c r="R98" s="5">
        <v>173460.16</v>
      </c>
      <c r="S98" s="5">
        <v>171120</v>
      </c>
      <c r="T98" s="5">
        <v>170949</v>
      </c>
    </row>
    <row r="99" spans="1:20">
      <c r="A99" s="128" t="s">
        <v>66</v>
      </c>
      <c r="B99" s="129" t="s">
        <v>29</v>
      </c>
      <c r="C99" s="5">
        <v>1804</v>
      </c>
      <c r="D99" s="5">
        <v>2103</v>
      </c>
      <c r="E99" s="5">
        <v>2667</v>
      </c>
      <c r="F99" s="5">
        <v>2980</v>
      </c>
      <c r="G99" s="5">
        <v>3861</v>
      </c>
      <c r="H99" s="5">
        <v>4759</v>
      </c>
      <c r="I99" s="5">
        <v>5424</v>
      </c>
      <c r="J99" s="5">
        <v>5650</v>
      </c>
      <c r="K99" s="5">
        <v>6214</v>
      </c>
      <c r="L99" s="5">
        <v>7116</v>
      </c>
      <c r="M99" s="5">
        <v>7756</v>
      </c>
      <c r="N99" s="5">
        <v>7780</v>
      </c>
      <c r="O99" s="5">
        <v>8352</v>
      </c>
      <c r="P99" s="5">
        <v>9862.13</v>
      </c>
      <c r="Q99" s="5">
        <v>12539.03</v>
      </c>
      <c r="R99" s="5">
        <v>16162.36</v>
      </c>
      <c r="S99" s="5">
        <v>21543.79</v>
      </c>
      <c r="T99" s="5">
        <v>27453.5</v>
      </c>
    </row>
    <row r="100" spans="1:20">
      <c r="A100" s="128" t="s">
        <v>66</v>
      </c>
      <c r="B100" s="129" t="s">
        <v>26</v>
      </c>
      <c r="C100" s="130">
        <v>1.13</v>
      </c>
      <c r="D100" s="130">
        <v>2.54</v>
      </c>
      <c r="E100" s="130">
        <v>2.47</v>
      </c>
      <c r="F100" s="130">
        <v>-0.27</v>
      </c>
      <c r="G100" s="130">
        <v>4.41</v>
      </c>
      <c r="H100" s="130">
        <v>11.51</v>
      </c>
      <c r="I100" s="130">
        <v>5.51</v>
      </c>
      <c r="J100" s="130">
        <v>2.37</v>
      </c>
      <c r="K100" s="130">
        <v>5.14</v>
      </c>
      <c r="L100" s="130">
        <v>7.75</v>
      </c>
      <c r="M100" s="130">
        <v>-5.34</v>
      </c>
      <c r="N100" s="130">
        <v>0.7</v>
      </c>
      <c r="O100" s="130">
        <v>7.59</v>
      </c>
      <c r="P100" s="130">
        <v>58.9</v>
      </c>
      <c r="Q100" s="130">
        <v>102.73</v>
      </c>
      <c r="R100" s="130">
        <v>96.36</v>
      </c>
      <c r="S100" s="130">
        <v>89.91</v>
      </c>
      <c r="T100" s="130">
        <v>62.55</v>
      </c>
    </row>
    <row r="101" spans="1:20">
      <c r="A101" s="128" t="s">
        <v>66</v>
      </c>
      <c r="B101" s="129" t="s">
        <v>27</v>
      </c>
      <c r="C101" s="5">
        <v>1022</v>
      </c>
      <c r="D101" s="5">
        <v>1060</v>
      </c>
      <c r="E101" s="5">
        <v>1070</v>
      </c>
      <c r="F101" s="5">
        <v>1036</v>
      </c>
      <c r="G101" s="5">
        <v>1089</v>
      </c>
      <c r="H101" s="5">
        <v>1152</v>
      </c>
      <c r="I101" s="5">
        <v>1114</v>
      </c>
      <c r="J101" s="5">
        <v>1110</v>
      </c>
      <c r="K101" s="5">
        <v>1120</v>
      </c>
      <c r="L101" s="5">
        <v>1112</v>
      </c>
      <c r="M101" s="5">
        <v>1093</v>
      </c>
      <c r="N101" s="5">
        <v>1105</v>
      </c>
      <c r="O101" s="5">
        <v>1116</v>
      </c>
      <c r="P101" s="5">
        <v>1131.87</v>
      </c>
      <c r="Q101" s="5">
        <v>1131.16</v>
      </c>
      <c r="R101" s="5">
        <v>1126.9</v>
      </c>
      <c r="S101" s="5">
        <v>847.04</v>
      </c>
      <c r="T101" s="5">
        <v>740.81</v>
      </c>
    </row>
  </sheetData>
  <mergeCells count="8">
    <mergeCell ref="A1:T1"/>
    <mergeCell ref="A4:T4"/>
    <mergeCell ref="A20:T20"/>
    <mergeCell ref="A35:T35"/>
    <mergeCell ref="A52:T52"/>
    <mergeCell ref="A70:T70"/>
    <mergeCell ref="A89:T89"/>
    <mergeCell ref="A97:T97"/>
  </mergeCells>
  <pageMargins left="0.75" right="0.75" top="1" bottom="1" header="0.511805555555556" footer="0.511805555555556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B14"/>
  <sheetViews>
    <sheetView showGridLines="0" workbookViewId="0">
      <selection activeCell="A1" sqref="A1"/>
    </sheetView>
  </sheetViews>
  <sheetFormatPr defaultColWidth="8.6796875" defaultRowHeight="14" outlineLevelCol="1"/>
  <cols>
    <col min="1" max="1" width="2" customWidth="1"/>
    <col min="2" max="2" width="90" customWidth="1"/>
  </cols>
  <sheetData>
    <row r="2" ht="36" customHeight="1" spans="2:2">
      <c r="B2" s="110" t="s">
        <v>67</v>
      </c>
    </row>
    <row r="3" ht="15" customHeight="1" spans="2:2">
      <c r="B3" s="111" t="s">
        <v>68</v>
      </c>
    </row>
    <row r="5" ht="15" customHeight="1" spans="2:2">
      <c r="B5" s="112" t="s">
        <v>69</v>
      </c>
    </row>
    <row r="6" ht="18" customHeight="1" spans="2:2">
      <c r="B6" s="113" t="s">
        <v>70</v>
      </c>
    </row>
    <row r="7" ht="18" customHeight="1" spans="2:2">
      <c r="B7" s="113" t="s">
        <v>71</v>
      </c>
    </row>
    <row r="8" ht="18" customHeight="1" spans="2:2">
      <c r="B8" s="113" t="s">
        <v>72</v>
      </c>
    </row>
    <row r="9" ht="18" customHeight="1" spans="2:2">
      <c r="B9" s="113" t="s">
        <v>73</v>
      </c>
    </row>
    <row r="10" ht="18" customHeight="1" spans="2:2">
      <c r="B10" s="113" t="s">
        <v>74</v>
      </c>
    </row>
    <row r="11" ht="18" customHeight="1" spans="2:2">
      <c r="B11" s="113" t="s">
        <v>75</v>
      </c>
    </row>
    <row r="12" ht="18" customHeight="1" spans="2:2">
      <c r="B12" s="113" t="s">
        <v>76</v>
      </c>
    </row>
    <row r="13" ht="18" customHeight="1" spans="2:2">
      <c r="B13" s="113" t="s">
        <v>77</v>
      </c>
    </row>
    <row r="14" ht="18" customHeight="1" spans="2:2">
      <c r="B14" s="113" t="s">
        <v>78</v>
      </c>
    </row>
  </sheetData>
  <pageMargins left="0.75" right="0.75" top="1" bottom="1" header="0.511805555555556" footer="0.511805555555556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25"/>
  <sheetViews>
    <sheetView showGridLines="0" workbookViewId="0">
      <selection activeCell="A1" sqref="A1:S1"/>
    </sheetView>
  </sheetViews>
  <sheetFormatPr defaultColWidth="8.6796875" defaultRowHeight="14"/>
  <cols>
    <col min="1" max="1" width="28" customWidth="1"/>
    <col min="2" max="20" width="10" customWidth="1"/>
  </cols>
  <sheetData>
    <row r="1" ht="25.5" customHeight="1" spans="1:1">
      <c r="A1" s="108" t="s">
        <v>79</v>
      </c>
    </row>
    <row r="3" ht="15" customHeight="1" spans="1:1">
      <c r="A3" s="31" t="s">
        <v>80</v>
      </c>
    </row>
    <row r="4" ht="15" customHeight="1" spans="1:19">
      <c r="A4" s="33" t="s">
        <v>81</v>
      </c>
      <c r="B4" s="34" t="s">
        <v>3</v>
      </c>
      <c r="C4" s="34" t="s">
        <v>4</v>
      </c>
      <c r="D4" s="34" t="s">
        <v>5</v>
      </c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4" t="s">
        <v>13</v>
      </c>
      <c r="M4" s="34" t="s">
        <v>14</v>
      </c>
      <c r="N4" s="34" t="s">
        <v>15</v>
      </c>
      <c r="O4" s="34" t="s">
        <v>16</v>
      </c>
      <c r="P4" s="34" t="s">
        <v>17</v>
      </c>
      <c r="Q4" s="34" t="s">
        <v>18</v>
      </c>
      <c r="R4" s="34" t="s">
        <v>19</v>
      </c>
      <c r="S4" s="34" t="s">
        <v>20</v>
      </c>
    </row>
    <row r="5" ht="15" customHeight="1" spans="1:19">
      <c r="A5" s="104" t="s">
        <v>22</v>
      </c>
      <c r="B5" s="105">
        <f>'0. Database'!C5</f>
        <v>77849</v>
      </c>
      <c r="C5" s="105">
        <f>'0. Database'!D5</f>
        <v>86833</v>
      </c>
      <c r="D5" s="105">
        <f>'0. Database'!E5</f>
        <v>93580</v>
      </c>
      <c r="E5" s="105">
        <f>'0. Database'!F5</f>
        <v>91963</v>
      </c>
      <c r="F5" s="105">
        <f>'0. Database'!G5</f>
        <v>96657</v>
      </c>
      <c r="G5" s="105">
        <f>'0. Database'!H5</f>
        <v>110360</v>
      </c>
      <c r="H5" s="105">
        <f>'0. Database'!I5</f>
        <v>125843</v>
      </c>
      <c r="I5" s="105">
        <f>'0. Database'!J5</f>
        <v>143015</v>
      </c>
      <c r="J5" s="105">
        <f>'0. Database'!K5</f>
        <v>168088</v>
      </c>
      <c r="K5" s="105">
        <f>'0. Database'!L5</f>
        <v>198270</v>
      </c>
      <c r="L5" s="105">
        <f>'0. Database'!M5</f>
        <v>211915</v>
      </c>
      <c r="M5" s="105">
        <f>'0. Database'!N5</f>
        <v>245122</v>
      </c>
      <c r="N5" s="105">
        <f>'0. Database'!O5</f>
        <v>281724</v>
      </c>
      <c r="O5" s="105">
        <f>'0. Database'!P5</f>
        <v>329213.24</v>
      </c>
      <c r="P5" s="105">
        <f>'0. Database'!Q5</f>
        <v>383408.94</v>
      </c>
      <c r="Q5" s="105">
        <f>'0. Database'!R5</f>
        <v>450123.14</v>
      </c>
      <c r="R5" s="105">
        <f>'0. Database'!S5</f>
        <v>533860.75</v>
      </c>
      <c r="S5" s="105">
        <f>'0. Database'!T5</f>
        <v>624709.64</v>
      </c>
    </row>
    <row r="6" ht="15" customHeight="1" spans="1:19">
      <c r="A6" s="104" t="s">
        <v>38</v>
      </c>
      <c r="B6" s="105">
        <f>'0. Database'!C21</f>
        <v>74452</v>
      </c>
      <c r="C6" s="105">
        <f>'0. Database'!D21</f>
        <v>88988</v>
      </c>
      <c r="D6" s="105">
        <f>'0. Database'!E21</f>
        <v>107006</v>
      </c>
      <c r="E6" s="105">
        <f>'0. Database'!F21</f>
        <v>135987</v>
      </c>
      <c r="F6" s="105">
        <f>'0. Database'!G21</f>
        <v>177866</v>
      </c>
      <c r="G6" s="105">
        <f>'0. Database'!H21</f>
        <v>232887</v>
      </c>
      <c r="H6" s="105">
        <f>'0. Database'!I21</f>
        <v>280522</v>
      </c>
      <c r="I6" s="105">
        <f>'0. Database'!J21</f>
        <v>386064</v>
      </c>
      <c r="J6" s="105">
        <f>'0. Database'!K21</f>
        <v>469822</v>
      </c>
      <c r="K6" s="105">
        <f>'0. Database'!L21</f>
        <v>513983</v>
      </c>
      <c r="L6" s="105">
        <f>'0. Database'!M21</f>
        <v>574785</v>
      </c>
      <c r="M6" s="105">
        <f>'0. Database'!N21</f>
        <v>637959</v>
      </c>
      <c r="N6" s="105">
        <f>'0. Database'!O21</f>
        <v>716924</v>
      </c>
      <c r="O6" s="105">
        <f>'0. Database'!P21</f>
        <v>824745.86</v>
      </c>
      <c r="P6" s="105">
        <f>'0. Database'!Q21</f>
        <v>933246.82</v>
      </c>
      <c r="Q6" s="105">
        <f>'0. Database'!R21</f>
        <v>1035581.9</v>
      </c>
      <c r="R6" s="105">
        <f>'0. Database'!S21</f>
        <v>1167156.74</v>
      </c>
      <c r="S6" s="105">
        <f>'0. Database'!T21</f>
        <v>1303433.68</v>
      </c>
    </row>
    <row r="7" ht="15" customHeight="1" spans="1:19">
      <c r="A7" s="104" t="s">
        <v>42</v>
      </c>
      <c r="B7" s="105">
        <f>'0. Database'!C36</f>
        <v>55519</v>
      </c>
      <c r="C7" s="105">
        <f>'0. Database'!D36</f>
        <v>66001</v>
      </c>
      <c r="D7" s="105">
        <f>'0. Database'!E36</f>
        <v>74989</v>
      </c>
      <c r="E7" s="105">
        <f>'0. Database'!F36</f>
        <v>90272</v>
      </c>
      <c r="F7" s="105">
        <f>'0. Database'!G36</f>
        <v>110855</v>
      </c>
      <c r="G7" s="105">
        <f>'0. Database'!H36</f>
        <v>136819</v>
      </c>
      <c r="H7" s="105">
        <f>'0. Database'!I36</f>
        <v>161857</v>
      </c>
      <c r="I7" s="105">
        <f>'0. Database'!J36</f>
        <v>182527</v>
      </c>
      <c r="J7" s="105">
        <f>'0. Database'!K36</f>
        <v>257637</v>
      </c>
      <c r="K7" s="105">
        <f>'0. Database'!L36</f>
        <v>282836</v>
      </c>
      <c r="L7" s="105">
        <f>'0. Database'!M36</f>
        <v>307394</v>
      </c>
      <c r="M7" s="105">
        <f>'0. Database'!N36</f>
        <v>350018</v>
      </c>
      <c r="N7" s="105">
        <f>'0. Database'!O36</f>
        <v>402836</v>
      </c>
      <c r="O7" s="105">
        <f>'0. Database'!P36</f>
        <v>486455.79</v>
      </c>
      <c r="P7" s="105">
        <f>'0. Database'!Q36</f>
        <v>578508.88</v>
      </c>
      <c r="Q7" s="105">
        <f>'0. Database'!R36</f>
        <v>684008.77</v>
      </c>
      <c r="R7" s="105">
        <f>'0. Database'!S36</f>
        <v>805409.01</v>
      </c>
      <c r="S7" s="105">
        <f>'0. Database'!T36</f>
        <v>941245.16</v>
      </c>
    </row>
    <row r="8" ht="15" customHeight="1" spans="1:19">
      <c r="A8" s="104" t="s">
        <v>48</v>
      </c>
      <c r="B8" s="105">
        <f>'0. Database'!C53</f>
        <v>7872</v>
      </c>
      <c r="C8" s="105">
        <f>'0. Database'!D53</f>
        <v>12466</v>
      </c>
      <c r="D8" s="105">
        <f>'0. Database'!E53</f>
        <v>17928</v>
      </c>
      <c r="E8" s="105">
        <f>'0. Database'!F53</f>
        <v>27638</v>
      </c>
      <c r="F8" s="105">
        <f>'0. Database'!G53</f>
        <v>40653</v>
      </c>
      <c r="G8" s="105">
        <f>'0. Database'!H53</f>
        <v>55838</v>
      </c>
      <c r="H8" s="105">
        <f>'0. Database'!I53</f>
        <v>70697</v>
      </c>
      <c r="I8" s="105">
        <f>'0. Database'!J53</f>
        <v>85965</v>
      </c>
      <c r="J8" s="105">
        <f>'0. Database'!K53</f>
        <v>117929</v>
      </c>
      <c r="K8" s="105">
        <f>'0. Database'!L53</f>
        <v>116609</v>
      </c>
      <c r="L8" s="105">
        <f>'0. Database'!M53</f>
        <v>134902</v>
      </c>
      <c r="M8" s="105">
        <f>'0. Database'!N53</f>
        <v>164501</v>
      </c>
      <c r="N8" s="105">
        <f>'0. Database'!O53</f>
        <v>200966</v>
      </c>
      <c r="O8" s="105">
        <f>'0. Database'!P53</f>
        <v>252898.15</v>
      </c>
      <c r="P8" s="105">
        <f>'0. Database'!Q53</f>
        <v>301231.94</v>
      </c>
      <c r="Q8" s="105">
        <f>'0. Database'!R53</f>
        <v>352191.64</v>
      </c>
      <c r="R8" s="105">
        <f>'0. Database'!S53</f>
        <v>403671.7</v>
      </c>
      <c r="S8" s="105">
        <f>'0. Database'!T53</f>
        <v>456699.5</v>
      </c>
    </row>
    <row r="9" ht="15" customHeight="1" spans="1:19">
      <c r="A9" s="104" t="s">
        <v>55</v>
      </c>
      <c r="B9" s="105">
        <f>'0. Database'!C71</f>
        <v>37253</v>
      </c>
      <c r="C9" s="105">
        <f>'0. Database'!D71</f>
        <v>38306</v>
      </c>
      <c r="D9" s="105">
        <f>'0. Database'!E71</f>
        <v>38253</v>
      </c>
      <c r="E9" s="105">
        <f>'0. Database'!F71</f>
        <v>37057</v>
      </c>
      <c r="F9" s="105">
        <f>'0. Database'!G71</f>
        <v>37899</v>
      </c>
      <c r="G9" s="105">
        <f>'0. Database'!H71</f>
        <v>39878</v>
      </c>
      <c r="H9" s="105">
        <f>'0. Database'!I71</f>
        <v>39526</v>
      </c>
      <c r="I9" s="105">
        <f>'0. Database'!J71</f>
        <v>39068</v>
      </c>
      <c r="J9" s="105">
        <f>'0. Database'!K71</f>
        <v>40481</v>
      </c>
      <c r="K9" s="105">
        <f>'0. Database'!L71</f>
        <v>42440</v>
      </c>
      <c r="L9" s="105">
        <f>'0. Database'!M71</f>
        <v>49954</v>
      </c>
      <c r="M9" s="105">
        <f>'0. Database'!N71</f>
        <v>52961</v>
      </c>
      <c r="N9" s="105">
        <f>'0. Database'!O71</f>
        <v>57399</v>
      </c>
      <c r="O9" s="105">
        <f>'0. Database'!P71</f>
        <v>67256.59</v>
      </c>
      <c r="P9" s="105">
        <f>'0. Database'!Q71</f>
        <v>89106.44</v>
      </c>
      <c r="Q9" s="105">
        <f>'0. Database'!R71</f>
        <v>130482.44</v>
      </c>
      <c r="R9" s="105">
        <f>'0. Database'!S71</f>
        <v>183189.61</v>
      </c>
      <c r="S9" s="105">
        <f>'0. Database'!T71</f>
        <v>223043.24</v>
      </c>
    </row>
    <row r="11" ht="15" customHeight="1" spans="1:1">
      <c r="A11" s="31" t="s">
        <v>82</v>
      </c>
    </row>
    <row r="12" ht="15" customHeight="1" spans="1:19">
      <c r="A12" s="33" t="s">
        <v>81</v>
      </c>
      <c r="B12" s="34" t="s">
        <v>3</v>
      </c>
      <c r="C12" s="34" t="s">
        <v>4</v>
      </c>
      <c r="D12" s="34" t="s">
        <v>5</v>
      </c>
      <c r="E12" s="34" t="s">
        <v>6</v>
      </c>
      <c r="F12" s="34" t="s">
        <v>7</v>
      </c>
      <c r="G12" s="34" t="s">
        <v>8</v>
      </c>
      <c r="H12" s="34" t="s">
        <v>9</v>
      </c>
      <c r="I12" s="34" t="s">
        <v>10</v>
      </c>
      <c r="J12" s="34" t="s">
        <v>11</v>
      </c>
      <c r="K12" s="34" t="s">
        <v>12</v>
      </c>
      <c r="L12" s="34" t="s">
        <v>13</v>
      </c>
      <c r="M12" s="34" t="s">
        <v>14</v>
      </c>
      <c r="N12" s="34" t="s">
        <v>15</v>
      </c>
      <c r="O12" s="34" t="s">
        <v>16</v>
      </c>
      <c r="P12" s="34" t="s">
        <v>17</v>
      </c>
      <c r="Q12" s="34" t="s">
        <v>18</v>
      </c>
      <c r="R12" s="34" t="s">
        <v>19</v>
      </c>
      <c r="S12" s="34" t="s">
        <v>20</v>
      </c>
    </row>
    <row r="13" ht="15" customHeight="1" spans="1:19">
      <c r="A13" s="104" t="s">
        <v>83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</row>
    <row r="14" ht="15" customHeight="1" spans="1:19">
      <c r="A14" s="104" t="s">
        <v>84</v>
      </c>
      <c r="B14" s="105">
        <f>'0. Database'!C32</f>
        <v>3107.57</v>
      </c>
      <c r="C14" s="105">
        <f>'0. Database'!D32</f>
        <v>4644</v>
      </c>
      <c r="D14" s="105">
        <f>'0. Database'!E32</f>
        <v>7880</v>
      </c>
      <c r="E14" s="105">
        <f>'0. Database'!F32</f>
        <v>12219</v>
      </c>
      <c r="F14" s="105">
        <f>'0. Database'!G32</f>
        <v>17458</v>
      </c>
      <c r="G14" s="105">
        <f>'0. Database'!H32</f>
        <v>25656</v>
      </c>
      <c r="H14" s="105">
        <f>'0. Database'!I32</f>
        <v>35026</v>
      </c>
      <c r="I14" s="105">
        <f>'0. Database'!J32</f>
        <v>45370</v>
      </c>
      <c r="J14" s="105">
        <f>'0. Database'!K32</f>
        <v>62202</v>
      </c>
      <c r="K14" s="105">
        <f>'0. Database'!L32</f>
        <v>80096</v>
      </c>
      <c r="L14" s="105">
        <f>'0. Database'!M32</f>
        <v>90757</v>
      </c>
      <c r="M14" s="105">
        <f>'0. Database'!N32</f>
        <v>107556</v>
      </c>
      <c r="N14" s="105">
        <f>'0. Database'!O32</f>
        <v>128725</v>
      </c>
      <c r="O14" s="105">
        <f>'0. Database'!P32</f>
        <v>171284.9</v>
      </c>
      <c r="P14" s="105">
        <f>'0. Database'!Q32</f>
        <v>225587.94</v>
      </c>
      <c r="Q14" s="105">
        <f>'0. Database'!R32</f>
        <v>274421.67</v>
      </c>
      <c r="R14" s="105">
        <f>'0. Database'!S32</f>
        <v>323817.58</v>
      </c>
      <c r="S14" s="105">
        <f>'0. Database'!T32</f>
        <v>374009.3</v>
      </c>
    </row>
    <row r="15" ht="15" customHeight="1" spans="1:19">
      <c r="A15" s="104" t="s">
        <v>85</v>
      </c>
      <c r="B15" s="105">
        <f>'0. Database'!C47</f>
        <v>0</v>
      </c>
      <c r="C15" s="105">
        <f>'0. Database'!D47</f>
        <v>0</v>
      </c>
      <c r="D15" s="105">
        <f>'0. Database'!E47</f>
        <v>0</v>
      </c>
      <c r="E15" s="105">
        <f>'0. Database'!F47</f>
        <v>0</v>
      </c>
      <c r="F15" s="105">
        <f>'0. Database'!G47</f>
        <v>4056</v>
      </c>
      <c r="G15" s="105">
        <f>'0. Database'!H47</f>
        <v>5838</v>
      </c>
      <c r="H15" s="105">
        <f>'0. Database'!I47</f>
        <v>8918</v>
      </c>
      <c r="I15" s="105">
        <f>'0. Database'!J47</f>
        <v>13059</v>
      </c>
      <c r="J15" s="105">
        <f>'0. Database'!K47</f>
        <v>19206</v>
      </c>
      <c r="K15" s="105">
        <f>'0. Database'!L47</f>
        <v>26280</v>
      </c>
      <c r="L15" s="105">
        <f>'0. Database'!M47</f>
        <v>33088</v>
      </c>
      <c r="M15" s="105">
        <f>'0. Database'!N47</f>
        <v>43229</v>
      </c>
      <c r="N15" s="105">
        <f>'0. Database'!O47</f>
        <v>58705</v>
      </c>
      <c r="O15" s="105">
        <f>'0. Database'!P47</f>
        <v>99085.93</v>
      </c>
      <c r="P15" s="105">
        <f>'0. Database'!Q47</f>
        <v>157303.91</v>
      </c>
      <c r="Q15" s="105">
        <f>'0. Database'!R47</f>
        <v>220225.47</v>
      </c>
      <c r="R15" s="105">
        <f>'0. Database'!S47</f>
        <v>286293.12</v>
      </c>
      <c r="S15" s="105">
        <f>'0. Database'!T47</f>
        <v>343551.74</v>
      </c>
    </row>
    <row r="16" ht="15" customHeight="1" spans="1:19">
      <c r="A16" s="104" t="s">
        <v>86</v>
      </c>
      <c r="B16" s="105">
        <f>'0. Database'!C64</f>
        <v>6986</v>
      </c>
      <c r="C16" s="105">
        <f>'0. Database'!D64</f>
        <v>11492</v>
      </c>
      <c r="D16" s="105">
        <f>'0. Database'!E64</f>
        <v>17080</v>
      </c>
      <c r="E16" s="105">
        <f>'0. Database'!F64</f>
        <v>26885</v>
      </c>
      <c r="F16" s="105">
        <f>'0. Database'!G64</f>
        <v>39942</v>
      </c>
      <c r="G16" s="105">
        <f>'0. Database'!H64</f>
        <v>55012</v>
      </c>
      <c r="H16" s="105">
        <f>'0. Database'!I64</f>
        <v>69654.5</v>
      </c>
      <c r="I16" s="105">
        <f>'0. Database'!J64</f>
        <v>84169</v>
      </c>
      <c r="J16" s="105">
        <f>'0. Database'!K64</f>
        <v>114934</v>
      </c>
      <c r="K16" s="105">
        <f>'0. Database'!L64</f>
        <v>113641</v>
      </c>
      <c r="L16" s="105">
        <f>'0. Database'!M64</f>
        <v>131948</v>
      </c>
      <c r="M16" s="105">
        <f>'0. Database'!N64</f>
        <v>160632</v>
      </c>
      <c r="N16" s="105">
        <f>'0. Database'!O64</f>
        <v>196174</v>
      </c>
      <c r="O16" s="105">
        <f>'0. Database'!P64</f>
        <v>248664.66</v>
      </c>
      <c r="P16" s="105">
        <f>'0. Database'!Q64</f>
        <v>298597.44</v>
      </c>
      <c r="Q16" s="105">
        <f>'0. Database'!R64</f>
        <v>348271.65</v>
      </c>
      <c r="R16" s="105">
        <f>'0. Database'!S64</f>
        <v>397194.59</v>
      </c>
      <c r="S16" s="105">
        <f>'0. Database'!T64</f>
        <v>444912.31</v>
      </c>
    </row>
    <row r="17" ht="15" customHeight="1" spans="1:19">
      <c r="A17" s="104" t="s">
        <v>87</v>
      </c>
      <c r="B17" s="105">
        <f>'0. Database'!C82</f>
        <v>1365</v>
      </c>
      <c r="C17" s="105">
        <f>'0. Database'!D82</f>
        <v>38306</v>
      </c>
      <c r="D17" s="105">
        <f>'0. Database'!E82</f>
        <v>38253</v>
      </c>
      <c r="E17" s="105">
        <f>'0. Database'!F82</f>
        <v>37057</v>
      </c>
      <c r="F17" s="105">
        <f>'0. Database'!G82</f>
        <v>37899</v>
      </c>
      <c r="G17" s="105">
        <f>'0. Database'!H82</f>
        <v>39878</v>
      </c>
      <c r="H17" s="105">
        <f>'0. Database'!I82</f>
        <v>39526</v>
      </c>
      <c r="I17" s="105">
        <f>'0. Database'!J82</f>
        <v>39068</v>
      </c>
      <c r="J17" s="105">
        <f>'0. Database'!K82</f>
        <v>40481</v>
      </c>
      <c r="K17" s="105">
        <f>'0. Database'!L82</f>
        <v>42440</v>
      </c>
      <c r="L17" s="105">
        <f>'0. Database'!M82</f>
        <v>49954</v>
      </c>
      <c r="M17" s="105">
        <f>'0. Database'!N82</f>
        <v>52961</v>
      </c>
      <c r="N17" s="105">
        <f>'0. Database'!O82</f>
        <v>57399</v>
      </c>
      <c r="O17" s="105">
        <f>'0. Database'!P82</f>
        <v>67256.59</v>
      </c>
      <c r="P17" s="105">
        <f>'0. Database'!Q82</f>
        <v>89106.44</v>
      </c>
      <c r="Q17" s="105">
        <f>'0. Database'!R82</f>
        <v>130482.44</v>
      </c>
      <c r="R17" s="105">
        <f>'0. Database'!S82</f>
        <v>183189.61</v>
      </c>
      <c r="S17" s="105">
        <f>'0. Database'!T82</f>
        <v>223043.24</v>
      </c>
    </row>
    <row r="19" ht="15" customHeight="1" spans="1:1">
      <c r="A19" s="31" t="s">
        <v>88</v>
      </c>
    </row>
    <row r="20" ht="15" customHeight="1" spans="1:19">
      <c r="A20" s="33" t="s">
        <v>81</v>
      </c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8</v>
      </c>
      <c r="H20" s="34" t="s">
        <v>9</v>
      </c>
      <c r="I20" s="34" t="s">
        <v>10</v>
      </c>
      <c r="J20" s="34" t="s">
        <v>11</v>
      </c>
      <c r="K20" s="34" t="s">
        <v>12</v>
      </c>
      <c r="L20" s="34" t="s">
        <v>13</v>
      </c>
      <c r="M20" s="34" t="s">
        <v>14</v>
      </c>
      <c r="N20" s="34" t="s">
        <v>15</v>
      </c>
      <c r="O20" s="34" t="s">
        <v>16</v>
      </c>
      <c r="P20" s="34" t="s">
        <v>17</v>
      </c>
      <c r="Q20" s="34" t="s">
        <v>18</v>
      </c>
      <c r="R20" s="34" t="s">
        <v>19</v>
      </c>
      <c r="S20" s="34" t="s">
        <v>20</v>
      </c>
    </row>
    <row r="21" ht="15" customHeight="1" spans="1:19">
      <c r="A21" s="104" t="s">
        <v>22</v>
      </c>
      <c r="B21" s="107"/>
      <c r="C21" s="106">
        <f t="shared" ref="C21:S21" si="0">IFERROR(C5/B5-1,"")</f>
        <v>0.115402895348688</v>
      </c>
      <c r="D21" s="106">
        <f t="shared" si="0"/>
        <v>0.0777008740916472</v>
      </c>
      <c r="E21" s="106">
        <f t="shared" si="0"/>
        <v>-0.0172793331908527</v>
      </c>
      <c r="F21" s="106">
        <f t="shared" si="0"/>
        <v>0.0510422669986843</v>
      </c>
      <c r="G21" s="106">
        <f t="shared" si="0"/>
        <v>0.141769349348728</v>
      </c>
      <c r="H21" s="106">
        <f t="shared" si="0"/>
        <v>0.140295396882929</v>
      </c>
      <c r="I21" s="106">
        <f t="shared" si="0"/>
        <v>0.136455742472764</v>
      </c>
      <c r="J21" s="106">
        <f t="shared" si="0"/>
        <v>0.175317274411775</v>
      </c>
      <c r="K21" s="106">
        <f t="shared" si="0"/>
        <v>0.179560706296702</v>
      </c>
      <c r="L21" s="106">
        <f t="shared" si="0"/>
        <v>0.0688202955565642</v>
      </c>
      <c r="M21" s="106">
        <f t="shared" si="0"/>
        <v>0.156699620130713</v>
      </c>
      <c r="N21" s="106">
        <f t="shared" si="0"/>
        <v>0.149321562324067</v>
      </c>
      <c r="O21" s="106">
        <f t="shared" si="0"/>
        <v>0.168566540301856</v>
      </c>
      <c r="P21" s="106">
        <f t="shared" si="0"/>
        <v>0.164621872437451</v>
      </c>
      <c r="Q21" s="106">
        <f t="shared" si="0"/>
        <v>0.174002724088802</v>
      </c>
      <c r="R21" s="106">
        <f t="shared" si="0"/>
        <v>0.186032670970881</v>
      </c>
      <c r="S21" s="106">
        <f t="shared" si="0"/>
        <v>0.170173383227743</v>
      </c>
    </row>
    <row r="22" ht="15" customHeight="1" spans="1:19">
      <c r="A22" s="104" t="s">
        <v>38</v>
      </c>
      <c r="B22" s="107"/>
      <c r="C22" s="106">
        <f t="shared" ref="C22:S22" si="1">IFERROR(C6/B6-1,"")</f>
        <v>0.195239886101112</v>
      </c>
      <c r="D22" s="106">
        <f t="shared" si="1"/>
        <v>0.202476738436643</v>
      </c>
      <c r="E22" s="106">
        <f t="shared" si="1"/>
        <v>0.270835280264658</v>
      </c>
      <c r="F22" s="106">
        <f t="shared" si="1"/>
        <v>0.307963261194085</v>
      </c>
      <c r="G22" s="106">
        <f t="shared" si="1"/>
        <v>0.309339615215949</v>
      </c>
      <c r="H22" s="106">
        <f t="shared" si="1"/>
        <v>0.20454125820677</v>
      </c>
      <c r="I22" s="106">
        <f t="shared" si="1"/>
        <v>0.376234306043733</v>
      </c>
      <c r="J22" s="106">
        <f t="shared" si="1"/>
        <v>0.216953665713457</v>
      </c>
      <c r="K22" s="106">
        <f t="shared" si="1"/>
        <v>0.0939951726398509</v>
      </c>
      <c r="L22" s="106">
        <f t="shared" si="1"/>
        <v>0.118295741298837</v>
      </c>
      <c r="M22" s="106">
        <f t="shared" si="1"/>
        <v>0.109908922466661</v>
      </c>
      <c r="N22" s="106">
        <f t="shared" si="1"/>
        <v>0.123777546832947</v>
      </c>
      <c r="O22" s="106">
        <f t="shared" si="1"/>
        <v>0.150395104641496</v>
      </c>
      <c r="P22" s="106">
        <f t="shared" si="1"/>
        <v>0.131556841037068</v>
      </c>
      <c r="Q22" s="106">
        <f t="shared" si="1"/>
        <v>0.109654892796742</v>
      </c>
      <c r="R22" s="106">
        <f t="shared" si="1"/>
        <v>0.12705401668376</v>
      </c>
      <c r="S22" s="106">
        <f t="shared" si="1"/>
        <v>0.116759759276205</v>
      </c>
    </row>
    <row r="23" ht="15" customHeight="1" spans="1:19">
      <c r="A23" s="104" t="s">
        <v>42</v>
      </c>
      <c r="B23" s="107"/>
      <c r="C23" s="106">
        <f t="shared" ref="C23:S23" si="2">IFERROR(C7/B7-1,"")</f>
        <v>0.188800230551703</v>
      </c>
      <c r="D23" s="106">
        <f t="shared" si="2"/>
        <v>0.136179754852199</v>
      </c>
      <c r="E23" s="106">
        <f t="shared" si="2"/>
        <v>0.203803224472923</v>
      </c>
      <c r="F23" s="106">
        <f t="shared" si="2"/>
        <v>0.228010900389933</v>
      </c>
      <c r="G23" s="106">
        <f t="shared" si="2"/>
        <v>0.23421586757476</v>
      </c>
      <c r="H23" s="106">
        <f t="shared" si="2"/>
        <v>0.183000898997946</v>
      </c>
      <c r="I23" s="106">
        <f t="shared" si="2"/>
        <v>0.127705320128261</v>
      </c>
      <c r="J23" s="106">
        <f t="shared" si="2"/>
        <v>0.411500764270492</v>
      </c>
      <c r="K23" s="106">
        <f t="shared" si="2"/>
        <v>0.0978081564371578</v>
      </c>
      <c r="L23" s="106">
        <f t="shared" si="2"/>
        <v>0.0868277022726951</v>
      </c>
      <c r="M23" s="106">
        <f t="shared" si="2"/>
        <v>0.138662433229016</v>
      </c>
      <c r="N23" s="106">
        <f t="shared" si="2"/>
        <v>0.150900810815444</v>
      </c>
      <c r="O23" s="106">
        <f t="shared" si="2"/>
        <v>0.207577748761282</v>
      </c>
      <c r="P23" s="106">
        <f t="shared" si="2"/>
        <v>0.189232180790777</v>
      </c>
      <c r="Q23" s="106">
        <f t="shared" si="2"/>
        <v>0.182365204143452</v>
      </c>
      <c r="R23" s="106">
        <f t="shared" si="2"/>
        <v>0.177483455365638</v>
      </c>
      <c r="S23" s="106">
        <f t="shared" si="2"/>
        <v>0.168654867667795</v>
      </c>
    </row>
    <row r="24" ht="15" customHeight="1" spans="1:19">
      <c r="A24" s="104" t="s">
        <v>48</v>
      </c>
      <c r="B24" s="107"/>
      <c r="C24" s="106">
        <f t="shared" ref="C24:S24" si="3">IFERROR(C8/B8-1,"")</f>
        <v>0.583587398373984</v>
      </c>
      <c r="D24" s="106">
        <f t="shared" si="3"/>
        <v>0.438151772822076</v>
      </c>
      <c r="E24" s="106">
        <f t="shared" si="3"/>
        <v>0.54161088799643</v>
      </c>
      <c r="F24" s="106">
        <f t="shared" si="3"/>
        <v>0.470909617193719</v>
      </c>
      <c r="G24" s="106">
        <f t="shared" si="3"/>
        <v>0.37352716896662</v>
      </c>
      <c r="H24" s="106">
        <f t="shared" si="3"/>
        <v>0.266109101328844</v>
      </c>
      <c r="I24" s="106">
        <f t="shared" si="3"/>
        <v>0.215963902287226</v>
      </c>
      <c r="J24" s="106">
        <f t="shared" si="3"/>
        <v>0.371825743034956</v>
      </c>
      <c r="K24" s="106">
        <f t="shared" si="3"/>
        <v>-0.0111931755547829</v>
      </c>
      <c r="L24" s="106">
        <f t="shared" si="3"/>
        <v>0.156874683772265</v>
      </c>
      <c r="M24" s="106">
        <f t="shared" si="3"/>
        <v>0.219411128078161</v>
      </c>
      <c r="N24" s="106">
        <f t="shared" si="3"/>
        <v>0.221670384982462</v>
      </c>
      <c r="O24" s="106">
        <f t="shared" si="3"/>
        <v>0.258412617059602</v>
      </c>
      <c r="P24" s="106">
        <f t="shared" si="3"/>
        <v>0.191119587074876</v>
      </c>
      <c r="Q24" s="106">
        <f t="shared" si="3"/>
        <v>0.16917097171037</v>
      </c>
      <c r="R24" s="106">
        <f t="shared" si="3"/>
        <v>0.146170590534176</v>
      </c>
      <c r="S24" s="106">
        <f t="shared" si="3"/>
        <v>0.131363679940902</v>
      </c>
    </row>
    <row r="25" ht="15" customHeight="1" spans="1:19">
      <c r="A25" s="104" t="s">
        <v>55</v>
      </c>
      <c r="B25" s="107"/>
      <c r="C25" s="106">
        <f t="shared" ref="C25:S25" si="4">IFERROR(C9/B9-1,"")</f>
        <v>0.0282661799049742</v>
      </c>
      <c r="D25" s="106">
        <f t="shared" si="4"/>
        <v>-0.00138359525922827</v>
      </c>
      <c r="E25" s="106">
        <f t="shared" si="4"/>
        <v>-0.031265521658432</v>
      </c>
      <c r="F25" s="106">
        <f t="shared" si="4"/>
        <v>0.0227217529751464</v>
      </c>
      <c r="G25" s="106">
        <f t="shared" si="4"/>
        <v>0.0522177366157419</v>
      </c>
      <c r="H25" s="106">
        <f t="shared" si="4"/>
        <v>-0.00882692211244296</v>
      </c>
      <c r="I25" s="106">
        <f t="shared" si="4"/>
        <v>-0.011587309618985</v>
      </c>
      <c r="J25" s="106">
        <f t="shared" si="4"/>
        <v>0.0361677075867717</v>
      </c>
      <c r="K25" s="106">
        <f t="shared" si="4"/>
        <v>0.048393073293644</v>
      </c>
      <c r="L25" s="106">
        <f t="shared" si="4"/>
        <v>0.177049952874647</v>
      </c>
      <c r="M25" s="106">
        <f t="shared" si="4"/>
        <v>0.0601953797493695</v>
      </c>
      <c r="N25" s="106">
        <f t="shared" si="4"/>
        <v>0.0837975113762959</v>
      </c>
      <c r="O25" s="106">
        <f t="shared" si="4"/>
        <v>0.171738009372985</v>
      </c>
      <c r="P25" s="106">
        <f t="shared" si="4"/>
        <v>0.324872997575405</v>
      </c>
      <c r="Q25" s="106">
        <f t="shared" si="4"/>
        <v>0.46434354239716</v>
      </c>
      <c r="R25" s="106">
        <f t="shared" si="4"/>
        <v>0.403940714168129</v>
      </c>
      <c r="S25" s="106">
        <f t="shared" si="4"/>
        <v>0.217553986822724</v>
      </c>
    </row>
  </sheetData>
  <mergeCells count="4">
    <mergeCell ref="A1:S1"/>
    <mergeCell ref="A3:S3"/>
    <mergeCell ref="A11:S11"/>
    <mergeCell ref="A19:S19"/>
  </mergeCells>
  <conditionalFormatting sqref="B21:S25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57"/>
  <sheetViews>
    <sheetView showGridLines="0" workbookViewId="0">
      <selection activeCell="A1" sqref="A1:S1"/>
    </sheetView>
  </sheetViews>
  <sheetFormatPr defaultColWidth="8.6796875" defaultRowHeight="14"/>
  <cols>
    <col min="1" max="1" width="28" customWidth="1"/>
    <col min="2" max="20" width="10" customWidth="1"/>
  </cols>
  <sheetData>
    <row r="1" ht="25.5" customHeight="1" spans="1:1">
      <c r="A1" s="108" t="s">
        <v>89</v>
      </c>
    </row>
    <row r="3" ht="15" customHeight="1" spans="1:1">
      <c r="A3" s="31" t="s">
        <v>90</v>
      </c>
    </row>
    <row r="4" ht="15" customHeight="1" spans="1:19">
      <c r="A4" s="33" t="s">
        <v>81</v>
      </c>
      <c r="B4" s="34" t="s">
        <v>3</v>
      </c>
      <c r="C4" s="34" t="s">
        <v>4</v>
      </c>
      <c r="D4" s="34" t="s">
        <v>5</v>
      </c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4" t="s">
        <v>13</v>
      </c>
      <c r="M4" s="34" t="s">
        <v>14</v>
      </c>
      <c r="N4" s="34" t="s">
        <v>15</v>
      </c>
      <c r="O4" s="34" t="s">
        <v>16</v>
      </c>
      <c r="P4" s="34" t="s">
        <v>17</v>
      </c>
      <c r="Q4" s="34" t="s">
        <v>18</v>
      </c>
      <c r="R4" s="34" t="s">
        <v>19</v>
      </c>
      <c r="S4" s="34" t="s">
        <v>20</v>
      </c>
    </row>
    <row r="5" ht="15" customHeight="1" spans="1:19">
      <c r="A5" s="104" t="s">
        <v>22</v>
      </c>
      <c r="B5" s="105">
        <f>'0. Database'!C12</f>
        <v>4257</v>
      </c>
      <c r="C5" s="105">
        <f>'0. Database'!D12</f>
        <v>5485</v>
      </c>
      <c r="D5" s="105">
        <f>'0. Database'!E12</f>
        <v>5944</v>
      </c>
      <c r="E5" s="105">
        <f>'0. Database'!F12</f>
        <v>8932</v>
      </c>
      <c r="F5" s="105">
        <f>'0. Database'!G12</f>
        <v>10200</v>
      </c>
      <c r="G5" s="105">
        <f>'0. Database'!H12</f>
        <v>13600</v>
      </c>
      <c r="H5" s="105">
        <f>'0. Database'!I12</f>
        <v>16900</v>
      </c>
      <c r="I5" s="105">
        <f>'0. Database'!J12</f>
        <v>19000</v>
      </c>
      <c r="J5" s="105">
        <f>'0. Database'!K12</f>
        <v>24200</v>
      </c>
      <c r="K5" s="105">
        <f>'0. Database'!L12</f>
        <v>29200</v>
      </c>
      <c r="L5" s="105">
        <f>'0. Database'!M12</f>
        <v>31900</v>
      </c>
      <c r="M5" s="105">
        <f>'0. Database'!N12</f>
        <v>55700</v>
      </c>
      <c r="N5" s="105">
        <f>'0. Database'!O12</f>
        <v>88200</v>
      </c>
      <c r="O5" s="105">
        <f>'0. Database'!P12</f>
        <v>145871.3</v>
      </c>
      <c r="P5" s="105">
        <f>'0. Database'!Q12</f>
        <v>245263.45</v>
      </c>
      <c r="Q5" s="105">
        <f>'0. Database'!R12</f>
        <v>286760.35</v>
      </c>
      <c r="R5" s="105">
        <f>'0. Database'!S12</f>
        <v>300210.91</v>
      </c>
      <c r="S5" s="105">
        <f>'0. Database'!T12</f>
        <v>304616.04</v>
      </c>
    </row>
    <row r="6" ht="15" customHeight="1" spans="1:19">
      <c r="A6" s="104" t="s">
        <v>38</v>
      </c>
      <c r="B6" s="105">
        <f>'0. Database'!C28</f>
        <v>3443</v>
      </c>
      <c r="C6" s="105">
        <f>'0. Database'!D28</f>
        <v>4892</v>
      </c>
      <c r="D6" s="105">
        <f>'0. Database'!E28</f>
        <v>4588</v>
      </c>
      <c r="E6" s="105">
        <f>'0. Database'!F28</f>
        <v>6736</v>
      </c>
      <c r="F6" s="105">
        <f>'0. Database'!G28</f>
        <v>10057</v>
      </c>
      <c r="G6" s="105">
        <f>'0. Database'!H28</f>
        <v>11322</v>
      </c>
      <c r="H6" s="105">
        <f>'0. Database'!I28</f>
        <v>12690</v>
      </c>
      <c r="I6" s="105">
        <f>'0. Database'!J28</f>
        <v>35046</v>
      </c>
      <c r="J6" s="105">
        <f>'0. Database'!K28</f>
        <v>55396</v>
      </c>
      <c r="K6" s="105">
        <f>'0. Database'!L28</f>
        <v>58321</v>
      </c>
      <c r="L6" s="105">
        <f>'0. Database'!M28</f>
        <v>48133</v>
      </c>
      <c r="M6" s="105">
        <f>'0. Database'!N28</f>
        <v>77658</v>
      </c>
      <c r="N6" s="105">
        <f>'0. Database'!O28</f>
        <v>128320</v>
      </c>
      <c r="O6" s="105">
        <f>'0. Database'!P28</f>
        <v>200104.98</v>
      </c>
      <c r="P6" s="105">
        <f>'0. Database'!Q28</f>
        <v>270141.72</v>
      </c>
      <c r="Q6" s="105">
        <f>'0. Database'!R28</f>
        <v>283648.81</v>
      </c>
      <c r="R6" s="105">
        <f>'0. Database'!S28</f>
        <v>297831.25</v>
      </c>
      <c r="S6" s="105">
        <f>'0. Database'!T28</f>
        <v>312722.81</v>
      </c>
    </row>
    <row r="7" ht="15" customHeight="1" spans="1:19">
      <c r="A7" s="104" t="s">
        <v>42</v>
      </c>
      <c r="B7" s="105">
        <f>'0. Database'!C43</f>
        <v>7358</v>
      </c>
      <c r="C7" s="105">
        <f>'0. Database'!D43</f>
        <v>10959</v>
      </c>
      <c r="D7" s="105">
        <f>'0. Database'!E43</f>
        <v>9915</v>
      </c>
      <c r="E7" s="105">
        <f>'0. Database'!F43</f>
        <v>10183</v>
      </c>
      <c r="F7" s="105">
        <f>'0. Database'!G43</f>
        <v>13184</v>
      </c>
      <c r="G7" s="105">
        <f>'0. Database'!H43</f>
        <v>25139</v>
      </c>
      <c r="H7" s="105">
        <f>'0. Database'!I43</f>
        <v>23548</v>
      </c>
      <c r="I7" s="105">
        <f>'0. Database'!J43</f>
        <v>22281</v>
      </c>
      <c r="J7" s="105">
        <f>'0. Database'!K43</f>
        <v>24640</v>
      </c>
      <c r="K7" s="105">
        <f>'0. Database'!L43</f>
        <v>31485</v>
      </c>
      <c r="L7" s="105">
        <f>'0. Database'!M43</f>
        <v>32251</v>
      </c>
      <c r="M7" s="105">
        <f>'0. Database'!N43</f>
        <v>52535</v>
      </c>
      <c r="N7" s="105">
        <f>'0. Database'!O43</f>
        <v>91447</v>
      </c>
      <c r="O7" s="105">
        <f>'0. Database'!P43</f>
        <v>185234.28</v>
      </c>
      <c r="P7" s="105">
        <f>'0. Database'!Q43</f>
        <v>259327.99</v>
      </c>
      <c r="Q7" s="105">
        <f>'0. Database'!R43</f>
        <v>285260.79</v>
      </c>
      <c r="R7" s="105">
        <f>'0. Database'!S43</f>
        <v>299523.83</v>
      </c>
      <c r="S7" s="105">
        <f>'0. Database'!T43</f>
        <v>314500.02</v>
      </c>
    </row>
    <row r="8" ht="15" customHeight="1" spans="1:19">
      <c r="A8" s="104" t="s">
        <v>48</v>
      </c>
      <c r="B8" s="105">
        <f>'0. Database'!C60</f>
        <v>1362</v>
      </c>
      <c r="C8" s="105">
        <f>'0. Database'!D60</f>
        <v>1831</v>
      </c>
      <c r="D8" s="105">
        <f>'0. Database'!E60</f>
        <v>2523</v>
      </c>
      <c r="E8" s="105">
        <f>'0. Database'!F60</f>
        <v>4491</v>
      </c>
      <c r="F8" s="105">
        <f>'0. Database'!G60</f>
        <v>6732</v>
      </c>
      <c r="G8" s="105">
        <f>'0. Database'!H60</f>
        <v>13980</v>
      </c>
      <c r="H8" s="105">
        <f>'0. Database'!I60</f>
        <v>15102</v>
      </c>
      <c r="I8" s="105">
        <f>'0. Database'!J60</f>
        <v>15115</v>
      </c>
      <c r="J8" s="105">
        <f>'0. Database'!K60</f>
        <v>18567</v>
      </c>
      <c r="K8" s="105">
        <f>'0. Database'!L60</f>
        <v>31186</v>
      </c>
      <c r="L8" s="105">
        <f>'0. Database'!M60</f>
        <v>27045</v>
      </c>
      <c r="M8" s="105">
        <f>'0. Database'!N60</f>
        <v>37256</v>
      </c>
      <c r="N8" s="105">
        <f>'0. Database'!O60</f>
        <v>69691</v>
      </c>
      <c r="O8" s="105">
        <f>'0. Database'!P60</f>
        <v>135583.71</v>
      </c>
      <c r="P8" s="105">
        <f>'0. Database'!Q60</f>
        <v>165714.44</v>
      </c>
      <c r="Q8" s="105">
        <f>'0. Database'!R60</f>
        <v>185600.17</v>
      </c>
      <c r="R8" s="105">
        <f>'0. Database'!S60</f>
        <v>196736.18</v>
      </c>
      <c r="S8" s="105">
        <f>'0. Database'!T60</f>
        <v>208540.35</v>
      </c>
    </row>
    <row r="9" ht="15" customHeight="1" spans="1:19">
      <c r="A9" s="104" t="s">
        <v>55</v>
      </c>
      <c r="B9" s="105">
        <f>'0. Database'!C78</f>
        <v>650</v>
      </c>
      <c r="C9" s="105">
        <f>'0. Database'!D78</f>
        <v>580</v>
      </c>
      <c r="D9" s="105">
        <f>'0. Database'!E78</f>
        <v>1391</v>
      </c>
      <c r="E9" s="105">
        <f>'0. Database'!F78</f>
        <v>1189</v>
      </c>
      <c r="F9" s="105">
        <f>'0. Database'!G78</f>
        <v>2021</v>
      </c>
      <c r="G9" s="105">
        <f>'0. Database'!H78</f>
        <v>1736</v>
      </c>
      <c r="H9" s="105">
        <f>'0. Database'!I78</f>
        <v>1660</v>
      </c>
      <c r="I9" s="105">
        <f>'0. Database'!J78</f>
        <v>1564</v>
      </c>
      <c r="J9" s="105">
        <f>'0. Database'!K78</f>
        <v>2135</v>
      </c>
      <c r="K9" s="105">
        <f>'0. Database'!L78</f>
        <v>4511</v>
      </c>
      <c r="L9" s="105">
        <f>'0. Database'!M78</f>
        <v>8695</v>
      </c>
      <c r="M9" s="105">
        <f>'0. Database'!N78</f>
        <v>6866</v>
      </c>
      <c r="N9" s="105">
        <f>'0. Database'!O78</f>
        <v>21215</v>
      </c>
      <c r="O9" s="105">
        <f>'0. Database'!P78</f>
        <v>51882</v>
      </c>
      <c r="P9" s="105">
        <f>'0. Database'!Q78</f>
        <v>52141.41</v>
      </c>
      <c r="Q9" s="105">
        <f>'0. Database'!R78</f>
        <v>69869.49</v>
      </c>
      <c r="R9" s="105">
        <f>'0. Database'!S78</f>
        <v>81048.61</v>
      </c>
      <c r="S9" s="105">
        <f>'0. Database'!T78</f>
        <v>66459.86</v>
      </c>
    </row>
    <row r="11" ht="15" customHeight="1" spans="1:1">
      <c r="A11" s="31" t="s">
        <v>91</v>
      </c>
    </row>
    <row r="12" ht="15" customHeight="1" spans="1:19">
      <c r="A12" s="33" t="s">
        <v>81</v>
      </c>
      <c r="B12" s="34" t="s">
        <v>3</v>
      </c>
      <c r="C12" s="34" t="s">
        <v>4</v>
      </c>
      <c r="D12" s="34" t="s">
        <v>5</v>
      </c>
      <c r="E12" s="34" t="s">
        <v>6</v>
      </c>
      <c r="F12" s="34" t="s">
        <v>7</v>
      </c>
      <c r="G12" s="34" t="s">
        <v>8</v>
      </c>
      <c r="H12" s="34" t="s">
        <v>9</v>
      </c>
      <c r="I12" s="34" t="s">
        <v>10</v>
      </c>
      <c r="J12" s="34" t="s">
        <v>11</v>
      </c>
      <c r="K12" s="34" t="s">
        <v>12</v>
      </c>
      <c r="L12" s="34" t="s">
        <v>13</v>
      </c>
      <c r="M12" s="34" t="s">
        <v>14</v>
      </c>
      <c r="N12" s="34" t="s">
        <v>15</v>
      </c>
      <c r="O12" s="34" t="s">
        <v>16</v>
      </c>
      <c r="P12" s="34" t="s">
        <v>17</v>
      </c>
      <c r="Q12" s="34" t="s">
        <v>18</v>
      </c>
      <c r="R12" s="34" t="s">
        <v>19</v>
      </c>
      <c r="S12" s="34" t="s">
        <v>20</v>
      </c>
    </row>
    <row r="13" ht="15" customHeight="1" spans="1:19">
      <c r="A13" s="104" t="s">
        <v>22</v>
      </c>
      <c r="B13" s="105">
        <f>'0. Database'!C11</f>
        <v>3755</v>
      </c>
      <c r="C13" s="105">
        <f>'0. Database'!D11</f>
        <v>5212</v>
      </c>
      <c r="D13" s="105">
        <f>'0. Database'!E11</f>
        <v>5957</v>
      </c>
      <c r="E13" s="105">
        <f>'0. Database'!F11</f>
        <v>6622</v>
      </c>
      <c r="F13" s="105">
        <f>'0. Database'!G11</f>
        <v>8778</v>
      </c>
      <c r="G13" s="105">
        <f>'0. Database'!H11</f>
        <v>10261</v>
      </c>
      <c r="H13" s="105">
        <f>'0. Database'!I11</f>
        <v>11682</v>
      </c>
      <c r="I13" s="105">
        <f>'0. Database'!J11</f>
        <v>12796</v>
      </c>
      <c r="J13" s="105">
        <f>'0. Database'!K11</f>
        <v>11686</v>
      </c>
      <c r="K13" s="105">
        <f>'0. Database'!L11</f>
        <v>14460</v>
      </c>
      <c r="L13" s="105">
        <f>'0. Database'!M11</f>
        <v>13861</v>
      </c>
      <c r="M13" s="105">
        <f>'0. Database'!N11</f>
        <v>22287</v>
      </c>
      <c r="N13" s="105">
        <f>'0. Database'!O11</f>
        <v>34153</v>
      </c>
      <c r="O13" s="105">
        <f>'0. Database'!P11</f>
        <v>42005.11</v>
      </c>
      <c r="P13" s="105">
        <f>'0. Database'!Q11</f>
        <v>55415.31</v>
      </c>
      <c r="Q13" s="105">
        <f>'0. Database'!R11</f>
        <v>73946.23</v>
      </c>
      <c r="R13" s="105">
        <f>'0. Database'!S11</f>
        <v>97100.11</v>
      </c>
      <c r="S13" s="105">
        <f>'0. Database'!T11</f>
        <v>127810.23</v>
      </c>
    </row>
    <row r="14" ht="15" customHeight="1" spans="1:19">
      <c r="A14" s="104" t="s">
        <v>38</v>
      </c>
      <c r="B14" s="105">
        <f>'0. Database'!C27</f>
        <v>3253</v>
      </c>
      <c r="C14" s="105">
        <f>'0. Database'!D27</f>
        <v>4746</v>
      </c>
      <c r="D14" s="105">
        <f>'0. Database'!E27</f>
        <v>6281</v>
      </c>
      <c r="E14" s="105">
        <f>'0. Database'!F27</f>
        <v>8116</v>
      </c>
      <c r="F14" s="105">
        <f>'0. Database'!G27</f>
        <v>11478</v>
      </c>
      <c r="G14" s="105">
        <f>'0. Database'!H27</f>
        <v>15341</v>
      </c>
      <c r="H14" s="105">
        <f>'0. Database'!I27</f>
        <v>21789</v>
      </c>
      <c r="I14" s="105">
        <f>'0. Database'!J27</f>
        <v>25180</v>
      </c>
      <c r="J14" s="105">
        <f>'0. Database'!K27</f>
        <v>34433</v>
      </c>
      <c r="K14" s="105">
        <f>'0. Database'!L27</f>
        <v>41921</v>
      </c>
      <c r="L14" s="105">
        <f>'0. Database'!M27</f>
        <v>48663</v>
      </c>
      <c r="M14" s="105">
        <f>'0. Database'!N27</f>
        <v>52795</v>
      </c>
      <c r="N14" s="105">
        <f>'0. Database'!O27</f>
        <v>65756</v>
      </c>
      <c r="O14" s="105">
        <f>'0. Database'!P27</f>
        <v>84391.58</v>
      </c>
      <c r="P14" s="105">
        <f>'0. Database'!Q27</f>
        <v>107181.82</v>
      </c>
      <c r="Q14" s="105">
        <f>'0. Database'!R27</f>
        <v>131811.18</v>
      </c>
      <c r="R14" s="105">
        <f>'0. Database'!S27</f>
        <v>145951.12</v>
      </c>
      <c r="S14" s="105">
        <f>'0. Database'!T27</f>
        <v>164275.19</v>
      </c>
    </row>
    <row r="15" ht="15" customHeight="1" spans="1:19">
      <c r="A15" s="104" t="s">
        <v>42</v>
      </c>
      <c r="B15" s="105">
        <f>'0. Database'!C42</f>
        <v>2781</v>
      </c>
      <c r="C15" s="105">
        <f>'0. Database'!D42</f>
        <v>3523</v>
      </c>
      <c r="D15" s="105">
        <f>'0. Database'!E42</f>
        <v>4132</v>
      </c>
      <c r="E15" s="105">
        <f>'0. Database'!F42</f>
        <v>5267</v>
      </c>
      <c r="F15" s="105">
        <f>'0. Database'!G42</f>
        <v>6103</v>
      </c>
      <c r="G15" s="105">
        <f>'0. Database'!H42</f>
        <v>8164</v>
      </c>
      <c r="H15" s="105">
        <f>'0. Database'!I42</f>
        <v>10856</v>
      </c>
      <c r="I15" s="105">
        <f>'0. Database'!J42</f>
        <v>12905</v>
      </c>
      <c r="J15" s="105">
        <f>'0. Database'!K42</f>
        <v>11555</v>
      </c>
      <c r="K15" s="105">
        <f>'0. Database'!L42</f>
        <v>15287</v>
      </c>
      <c r="L15" s="105">
        <f>'0. Database'!M42</f>
        <v>13326</v>
      </c>
      <c r="M15" s="105">
        <f>'0. Database'!N42</f>
        <v>15311</v>
      </c>
      <c r="N15" s="105">
        <f>'0. Database'!O42</f>
        <v>21136</v>
      </c>
      <c r="O15" s="105">
        <f>'0. Database'!P42</f>
        <v>42874.7</v>
      </c>
      <c r="P15" s="105">
        <f>'0. Database'!Q42</f>
        <v>69582.72</v>
      </c>
      <c r="Q15" s="105">
        <f>'0. Database'!R42</f>
        <v>98340.16</v>
      </c>
      <c r="R15" s="105">
        <f>'0. Database'!S42</f>
        <v>127674.93</v>
      </c>
      <c r="S15" s="105">
        <f>'0. Database'!T42</f>
        <v>156155.17</v>
      </c>
    </row>
    <row r="16" ht="15" customHeight="1" spans="1:19">
      <c r="A16" s="104" t="s">
        <v>48</v>
      </c>
      <c r="B16" s="105">
        <f>'0. Database'!C59</f>
        <v>1011</v>
      </c>
      <c r="C16" s="105">
        <f>'0. Database'!D59</f>
        <v>1243</v>
      </c>
      <c r="D16" s="105">
        <f>'0. Database'!E59</f>
        <v>1945</v>
      </c>
      <c r="E16" s="105">
        <f>'0. Database'!F59</f>
        <v>2342</v>
      </c>
      <c r="F16" s="105">
        <f>'0. Database'!G59</f>
        <v>3025</v>
      </c>
      <c r="G16" s="105">
        <f>'0. Database'!H59</f>
        <v>4315</v>
      </c>
      <c r="H16" s="105">
        <f>'0. Database'!I59</f>
        <v>5741</v>
      </c>
      <c r="I16" s="105">
        <f>'0. Database'!J59</f>
        <v>6862</v>
      </c>
      <c r="J16" s="105">
        <f>'0. Database'!K59</f>
        <v>7967</v>
      </c>
      <c r="K16" s="105">
        <f>'0. Database'!L59</f>
        <v>8686</v>
      </c>
      <c r="L16" s="105">
        <f>'0. Database'!M59</f>
        <v>11178</v>
      </c>
      <c r="M16" s="105">
        <f>'0. Database'!N59</f>
        <v>15498</v>
      </c>
      <c r="N16" s="105">
        <f>'0. Database'!O59</f>
        <v>18616</v>
      </c>
      <c r="O16" s="105">
        <f>'0. Database'!P59</f>
        <v>29596.55</v>
      </c>
      <c r="P16" s="105">
        <f>'0. Database'!Q59</f>
        <v>43105.48</v>
      </c>
      <c r="Q16" s="105">
        <f>'0. Database'!R59</f>
        <v>57217.37</v>
      </c>
      <c r="R16" s="105">
        <f>'0. Database'!S59</f>
        <v>74363.38</v>
      </c>
      <c r="S16" s="105">
        <f>'0. Database'!T59</f>
        <v>87724.37</v>
      </c>
    </row>
    <row r="17" ht="15" customHeight="1" spans="1:19">
      <c r="A17" s="104" t="s">
        <v>55</v>
      </c>
      <c r="B17" s="105">
        <f>'0. Database'!C77</f>
        <v>2931</v>
      </c>
      <c r="C17" s="105">
        <f>'0. Database'!D77</f>
        <v>2908</v>
      </c>
      <c r="D17" s="105">
        <f>'0. Database'!E77</f>
        <v>2861</v>
      </c>
      <c r="E17" s="105">
        <f>'0. Database'!F77</f>
        <v>2509</v>
      </c>
      <c r="F17" s="105">
        <f>'0. Database'!G77</f>
        <v>2451</v>
      </c>
      <c r="G17" s="105">
        <f>'0. Database'!H77</f>
        <v>2785</v>
      </c>
      <c r="H17" s="105">
        <f>'0. Database'!I77</f>
        <v>2919</v>
      </c>
      <c r="I17" s="105">
        <f>'0. Database'!J77</f>
        <v>2968</v>
      </c>
      <c r="J17" s="105">
        <f>'0. Database'!K77</f>
        <v>2916</v>
      </c>
      <c r="K17" s="105">
        <f>'0. Database'!L77</f>
        <v>3122</v>
      </c>
      <c r="L17" s="105">
        <f>'0. Database'!M77</f>
        <v>6108</v>
      </c>
      <c r="M17" s="105">
        <f>'0. Database'!N77</f>
        <v>6139</v>
      </c>
      <c r="N17" s="105">
        <f>'0. Database'!O77</f>
        <v>6174</v>
      </c>
      <c r="O17" s="105">
        <f>'0. Database'!P77</f>
        <v>9142.32</v>
      </c>
      <c r="P17" s="105">
        <f>'0. Database'!Q77</f>
        <v>13499.83</v>
      </c>
      <c r="Q17" s="105">
        <f>'0. Database'!R77</f>
        <v>21615.57</v>
      </c>
      <c r="R17" s="105">
        <f>'0. Database'!S77</f>
        <v>30404.77</v>
      </c>
      <c r="S17" s="105">
        <f>'0. Database'!T77</f>
        <v>37972.18</v>
      </c>
    </row>
    <row r="19" ht="15" customHeight="1" spans="1:1">
      <c r="A19" s="31" t="s">
        <v>92</v>
      </c>
    </row>
    <row r="20" ht="15" customHeight="1" spans="1:19">
      <c r="A20" s="33" t="s">
        <v>81</v>
      </c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8</v>
      </c>
      <c r="H20" s="34" t="s">
        <v>9</v>
      </c>
      <c r="I20" s="34" t="s">
        <v>10</v>
      </c>
      <c r="J20" s="34" t="s">
        <v>11</v>
      </c>
      <c r="K20" s="34" t="s">
        <v>12</v>
      </c>
      <c r="L20" s="34" t="s">
        <v>13</v>
      </c>
      <c r="M20" s="34" t="s">
        <v>14</v>
      </c>
      <c r="N20" s="34" t="s">
        <v>15</v>
      </c>
      <c r="O20" s="34" t="s">
        <v>16</v>
      </c>
      <c r="P20" s="34" t="s">
        <v>17</v>
      </c>
      <c r="Q20" s="34" t="s">
        <v>18</v>
      </c>
      <c r="R20" s="34" t="s">
        <v>19</v>
      </c>
      <c r="S20" s="34" t="s">
        <v>20</v>
      </c>
    </row>
    <row r="21" ht="15" customHeight="1" spans="1:19">
      <c r="A21" s="104" t="s">
        <v>22</v>
      </c>
      <c r="B21" s="105">
        <f>'0. Database'!C5</f>
        <v>77849</v>
      </c>
      <c r="C21" s="105">
        <f>'0. Database'!D5</f>
        <v>86833</v>
      </c>
      <c r="D21" s="105">
        <f>'0. Database'!E5</f>
        <v>93580</v>
      </c>
      <c r="E21" s="105">
        <f>'0. Database'!F5</f>
        <v>91963</v>
      </c>
      <c r="F21" s="105">
        <f>'0. Database'!G5</f>
        <v>96657</v>
      </c>
      <c r="G21" s="105">
        <f>'0. Database'!H5</f>
        <v>110360</v>
      </c>
      <c r="H21" s="105">
        <f>'0. Database'!I5</f>
        <v>125843</v>
      </c>
      <c r="I21" s="105">
        <f>'0. Database'!J5</f>
        <v>143015</v>
      </c>
      <c r="J21" s="105">
        <f>'0. Database'!K5</f>
        <v>168088</v>
      </c>
      <c r="K21" s="105">
        <f>'0. Database'!L5</f>
        <v>198270</v>
      </c>
      <c r="L21" s="105">
        <f>'0. Database'!M5</f>
        <v>211915</v>
      </c>
      <c r="M21" s="105">
        <f>'0. Database'!N5</f>
        <v>245122</v>
      </c>
      <c r="N21" s="105">
        <f>'0. Database'!O5</f>
        <v>281724</v>
      </c>
      <c r="O21" s="105">
        <f>'0. Database'!P5</f>
        <v>329213.24</v>
      </c>
      <c r="P21" s="105">
        <f>'0. Database'!Q5</f>
        <v>383408.94</v>
      </c>
      <c r="Q21" s="105">
        <f>'0. Database'!R5</f>
        <v>450123.14</v>
      </c>
      <c r="R21" s="105">
        <f>'0. Database'!S5</f>
        <v>533860.75</v>
      </c>
      <c r="S21" s="105">
        <f>'0. Database'!T5</f>
        <v>624709.64</v>
      </c>
    </row>
    <row r="22" ht="15" customHeight="1" spans="1:19">
      <c r="A22" s="104" t="s">
        <v>38</v>
      </c>
      <c r="B22" s="105">
        <f>'0. Database'!C21</f>
        <v>74452</v>
      </c>
      <c r="C22" s="105">
        <f>'0. Database'!D21</f>
        <v>88988</v>
      </c>
      <c r="D22" s="105">
        <f>'0. Database'!E21</f>
        <v>107006</v>
      </c>
      <c r="E22" s="105">
        <f>'0. Database'!F21</f>
        <v>135987</v>
      </c>
      <c r="F22" s="105">
        <f>'0. Database'!G21</f>
        <v>177866</v>
      </c>
      <c r="G22" s="105">
        <f>'0. Database'!H21</f>
        <v>232887</v>
      </c>
      <c r="H22" s="105">
        <f>'0. Database'!I21</f>
        <v>280522</v>
      </c>
      <c r="I22" s="105">
        <f>'0. Database'!J21</f>
        <v>386064</v>
      </c>
      <c r="J22" s="105">
        <f>'0. Database'!K21</f>
        <v>469822</v>
      </c>
      <c r="K22" s="105">
        <f>'0. Database'!L21</f>
        <v>513983</v>
      </c>
      <c r="L22" s="105">
        <f>'0. Database'!M21</f>
        <v>574785</v>
      </c>
      <c r="M22" s="105">
        <f>'0. Database'!N21</f>
        <v>637959</v>
      </c>
      <c r="N22" s="105">
        <f>'0. Database'!O21</f>
        <v>716924</v>
      </c>
      <c r="O22" s="105">
        <f>'0. Database'!P21</f>
        <v>824745.86</v>
      </c>
      <c r="P22" s="105">
        <f>'0. Database'!Q21</f>
        <v>933246.82</v>
      </c>
      <c r="Q22" s="105">
        <f>'0. Database'!R21</f>
        <v>1035581.9</v>
      </c>
      <c r="R22" s="105">
        <f>'0. Database'!S21</f>
        <v>1167156.74</v>
      </c>
      <c r="S22" s="105">
        <f>'0. Database'!T21</f>
        <v>1303433.68</v>
      </c>
    </row>
    <row r="23" ht="15" customHeight="1" spans="1:19">
      <c r="A23" s="104" t="s">
        <v>42</v>
      </c>
      <c r="B23" s="105">
        <f>'0. Database'!C36</f>
        <v>55519</v>
      </c>
      <c r="C23" s="105">
        <f>'0. Database'!D36</f>
        <v>66001</v>
      </c>
      <c r="D23" s="105">
        <f>'0. Database'!E36</f>
        <v>74989</v>
      </c>
      <c r="E23" s="105">
        <f>'0. Database'!F36</f>
        <v>90272</v>
      </c>
      <c r="F23" s="105">
        <f>'0. Database'!G36</f>
        <v>110855</v>
      </c>
      <c r="G23" s="105">
        <f>'0. Database'!H36</f>
        <v>136819</v>
      </c>
      <c r="H23" s="105">
        <f>'0. Database'!I36</f>
        <v>161857</v>
      </c>
      <c r="I23" s="105">
        <f>'0. Database'!J36</f>
        <v>182527</v>
      </c>
      <c r="J23" s="105">
        <f>'0. Database'!K36</f>
        <v>257637</v>
      </c>
      <c r="K23" s="105">
        <f>'0. Database'!L36</f>
        <v>282836</v>
      </c>
      <c r="L23" s="105">
        <f>'0. Database'!M36</f>
        <v>307394</v>
      </c>
      <c r="M23" s="105">
        <f>'0. Database'!N36</f>
        <v>350018</v>
      </c>
      <c r="N23" s="105">
        <f>'0. Database'!O36</f>
        <v>402836</v>
      </c>
      <c r="O23" s="105">
        <f>'0. Database'!P36</f>
        <v>486455.79</v>
      </c>
      <c r="P23" s="105">
        <f>'0. Database'!Q36</f>
        <v>578508.88</v>
      </c>
      <c r="Q23" s="105">
        <f>'0. Database'!R36</f>
        <v>684008.77</v>
      </c>
      <c r="R23" s="105">
        <f>'0. Database'!S36</f>
        <v>805409.01</v>
      </c>
      <c r="S23" s="105">
        <f>'0. Database'!T36</f>
        <v>941245.16</v>
      </c>
    </row>
    <row r="24" ht="15" customHeight="1" spans="1:19">
      <c r="A24" s="104" t="s">
        <v>48</v>
      </c>
      <c r="B24" s="105">
        <f>'0. Database'!C53</f>
        <v>7872</v>
      </c>
      <c r="C24" s="105">
        <f>'0. Database'!D53</f>
        <v>12466</v>
      </c>
      <c r="D24" s="105">
        <f>'0. Database'!E53</f>
        <v>17928</v>
      </c>
      <c r="E24" s="105">
        <f>'0. Database'!F53</f>
        <v>27638</v>
      </c>
      <c r="F24" s="105">
        <f>'0. Database'!G53</f>
        <v>40653</v>
      </c>
      <c r="G24" s="105">
        <f>'0. Database'!H53</f>
        <v>55838</v>
      </c>
      <c r="H24" s="105">
        <f>'0. Database'!I53</f>
        <v>70697</v>
      </c>
      <c r="I24" s="105">
        <f>'0. Database'!J53</f>
        <v>85965</v>
      </c>
      <c r="J24" s="105">
        <f>'0. Database'!K53</f>
        <v>117929</v>
      </c>
      <c r="K24" s="105">
        <f>'0. Database'!L53</f>
        <v>116609</v>
      </c>
      <c r="L24" s="105">
        <f>'0. Database'!M53</f>
        <v>134902</v>
      </c>
      <c r="M24" s="105">
        <f>'0. Database'!N53</f>
        <v>164501</v>
      </c>
      <c r="N24" s="105">
        <f>'0. Database'!O53</f>
        <v>200966</v>
      </c>
      <c r="O24" s="105">
        <f>'0. Database'!P53</f>
        <v>252898.15</v>
      </c>
      <c r="P24" s="105">
        <f>'0. Database'!Q53</f>
        <v>301231.94</v>
      </c>
      <c r="Q24" s="105">
        <f>'0. Database'!R53</f>
        <v>352191.64</v>
      </c>
      <c r="R24" s="105">
        <f>'0. Database'!S53</f>
        <v>403671.7</v>
      </c>
      <c r="S24" s="105">
        <f>'0. Database'!T53</f>
        <v>456699.5</v>
      </c>
    </row>
    <row r="25" ht="15" customHeight="1" spans="1:19">
      <c r="A25" s="104" t="s">
        <v>55</v>
      </c>
      <c r="B25" s="105">
        <f>'0. Database'!C71</f>
        <v>37253</v>
      </c>
      <c r="C25" s="105">
        <f>'0. Database'!D71</f>
        <v>38306</v>
      </c>
      <c r="D25" s="105">
        <f>'0. Database'!E71</f>
        <v>38253</v>
      </c>
      <c r="E25" s="105">
        <f>'0. Database'!F71</f>
        <v>37057</v>
      </c>
      <c r="F25" s="105">
        <f>'0. Database'!G71</f>
        <v>37899</v>
      </c>
      <c r="G25" s="105">
        <f>'0. Database'!H71</f>
        <v>39878</v>
      </c>
      <c r="H25" s="105">
        <f>'0. Database'!I71</f>
        <v>39526</v>
      </c>
      <c r="I25" s="105">
        <f>'0. Database'!J71</f>
        <v>39068</v>
      </c>
      <c r="J25" s="105">
        <f>'0. Database'!K71</f>
        <v>40481</v>
      </c>
      <c r="K25" s="105">
        <f>'0. Database'!L71</f>
        <v>42440</v>
      </c>
      <c r="L25" s="105">
        <f>'0. Database'!M71</f>
        <v>49954</v>
      </c>
      <c r="M25" s="105">
        <f>'0. Database'!N71</f>
        <v>52961</v>
      </c>
      <c r="N25" s="105">
        <f>'0. Database'!O71</f>
        <v>57399</v>
      </c>
      <c r="O25" s="105">
        <f>'0. Database'!P71</f>
        <v>67256.59</v>
      </c>
      <c r="P25" s="105">
        <f>'0. Database'!Q71</f>
        <v>89106.44</v>
      </c>
      <c r="Q25" s="105">
        <f>'0. Database'!R71</f>
        <v>130482.44</v>
      </c>
      <c r="R25" s="105">
        <f>'0. Database'!S71</f>
        <v>183189.61</v>
      </c>
      <c r="S25" s="105">
        <f>'0. Database'!T71</f>
        <v>223043.24</v>
      </c>
    </row>
    <row r="27" ht="15" customHeight="1" spans="1:1">
      <c r="A27" s="31" t="s">
        <v>93</v>
      </c>
    </row>
    <row r="28" ht="15" customHeight="1" spans="1:19">
      <c r="A28" s="33" t="s">
        <v>81</v>
      </c>
      <c r="B28" s="34" t="s">
        <v>3</v>
      </c>
      <c r="C28" s="34" t="s">
        <v>4</v>
      </c>
      <c r="D28" s="34" t="s">
        <v>5</v>
      </c>
      <c r="E28" s="34" t="s">
        <v>6</v>
      </c>
      <c r="F28" s="34" t="s">
        <v>7</v>
      </c>
      <c r="G28" s="34" t="s">
        <v>8</v>
      </c>
      <c r="H28" s="34" t="s">
        <v>9</v>
      </c>
      <c r="I28" s="34" t="s">
        <v>10</v>
      </c>
      <c r="J28" s="34" t="s">
        <v>11</v>
      </c>
      <c r="K28" s="34" t="s">
        <v>12</v>
      </c>
      <c r="L28" s="34" t="s">
        <v>13</v>
      </c>
      <c r="M28" s="34" t="s">
        <v>14</v>
      </c>
      <c r="N28" s="34" t="s">
        <v>15</v>
      </c>
      <c r="O28" s="34" t="s">
        <v>16</v>
      </c>
      <c r="P28" s="34" t="s">
        <v>17</v>
      </c>
      <c r="Q28" s="34" t="s">
        <v>18</v>
      </c>
      <c r="R28" s="34" t="s">
        <v>19</v>
      </c>
      <c r="S28" s="34" t="s">
        <v>20</v>
      </c>
    </row>
    <row r="29" ht="15" customHeight="1" spans="1:19">
      <c r="A29" s="104" t="s">
        <v>22</v>
      </c>
      <c r="B29" s="107"/>
      <c r="C29" s="106">
        <f t="shared" ref="C29:S29" si="0">IFERROR(C5/B5-1,"")</f>
        <v>0.288466055907916</v>
      </c>
      <c r="D29" s="106">
        <f t="shared" si="0"/>
        <v>0.0836827711941659</v>
      </c>
      <c r="E29" s="106">
        <f t="shared" si="0"/>
        <v>0.502691790040377</v>
      </c>
      <c r="F29" s="106">
        <f t="shared" si="0"/>
        <v>0.141961486789073</v>
      </c>
      <c r="G29" s="106">
        <f t="shared" si="0"/>
        <v>0.333333333333333</v>
      </c>
      <c r="H29" s="106">
        <f t="shared" si="0"/>
        <v>0.242647058823529</v>
      </c>
      <c r="I29" s="106">
        <f t="shared" si="0"/>
        <v>0.124260355029586</v>
      </c>
      <c r="J29" s="106">
        <f t="shared" si="0"/>
        <v>0.273684210526316</v>
      </c>
      <c r="K29" s="106">
        <f t="shared" si="0"/>
        <v>0.206611570247934</v>
      </c>
      <c r="L29" s="106">
        <f t="shared" si="0"/>
        <v>0.0924657534246576</v>
      </c>
      <c r="M29" s="106">
        <f t="shared" si="0"/>
        <v>0.746081504702194</v>
      </c>
      <c r="N29" s="106">
        <f t="shared" si="0"/>
        <v>0.583482944344704</v>
      </c>
      <c r="O29" s="106">
        <f t="shared" si="0"/>
        <v>0.653869614512472</v>
      </c>
      <c r="P29" s="106">
        <f t="shared" si="0"/>
        <v>0.681368781933115</v>
      </c>
      <c r="Q29" s="106">
        <f t="shared" si="0"/>
        <v>0.169193167591828</v>
      </c>
      <c r="R29" s="106">
        <f t="shared" si="0"/>
        <v>0.0469052294014844</v>
      </c>
      <c r="S29" s="106">
        <f t="shared" si="0"/>
        <v>0.0146734507416804</v>
      </c>
    </row>
    <row r="30" ht="15" customHeight="1" spans="1:19">
      <c r="A30" s="104" t="s">
        <v>38</v>
      </c>
      <c r="B30" s="107"/>
      <c r="C30" s="106">
        <f t="shared" ref="C30:S30" si="1">IFERROR(C6/B6-1,"")</f>
        <v>0.42085390647691</v>
      </c>
      <c r="D30" s="106">
        <f t="shared" si="1"/>
        <v>-0.0621422730989371</v>
      </c>
      <c r="E30" s="106">
        <f t="shared" si="1"/>
        <v>0.468177855274629</v>
      </c>
      <c r="F30" s="106">
        <f t="shared" si="1"/>
        <v>0.493022565320665</v>
      </c>
      <c r="G30" s="106">
        <f t="shared" si="1"/>
        <v>0.125783036690862</v>
      </c>
      <c r="H30" s="106">
        <f t="shared" si="1"/>
        <v>0.120826709062003</v>
      </c>
      <c r="I30" s="106">
        <f t="shared" si="1"/>
        <v>1.76170212765957</v>
      </c>
      <c r="J30" s="106">
        <f t="shared" si="1"/>
        <v>0.580665411173886</v>
      </c>
      <c r="K30" s="106">
        <f t="shared" si="1"/>
        <v>0.0528016463282548</v>
      </c>
      <c r="L30" s="106">
        <f t="shared" si="1"/>
        <v>-0.174688362682396</v>
      </c>
      <c r="M30" s="106">
        <f t="shared" si="1"/>
        <v>0.613404524962084</v>
      </c>
      <c r="N30" s="106">
        <f t="shared" si="1"/>
        <v>0.652373226196915</v>
      </c>
      <c r="O30" s="106">
        <f t="shared" si="1"/>
        <v>0.559421602244389</v>
      </c>
      <c r="P30" s="106">
        <f t="shared" si="1"/>
        <v>0.349999985007869</v>
      </c>
      <c r="Q30" s="106">
        <f t="shared" si="1"/>
        <v>0.050000014807043</v>
      </c>
      <c r="R30" s="106">
        <f t="shared" si="1"/>
        <v>0.0499999982372568</v>
      </c>
      <c r="S30" s="106">
        <f t="shared" si="1"/>
        <v>0.049999991605985</v>
      </c>
    </row>
    <row r="31" ht="15" customHeight="1" spans="1:19">
      <c r="A31" s="104" t="s">
        <v>42</v>
      </c>
      <c r="B31" s="107"/>
      <c r="C31" s="106">
        <f t="shared" ref="C31:S31" si="2">IFERROR(C7/B7-1,"")</f>
        <v>0.489399293286219</v>
      </c>
      <c r="D31" s="106">
        <f t="shared" si="2"/>
        <v>-0.0952641664385436</v>
      </c>
      <c r="E31" s="106">
        <f t="shared" si="2"/>
        <v>0.027029752899647</v>
      </c>
      <c r="F31" s="106">
        <f t="shared" si="2"/>
        <v>0.294706864381813</v>
      </c>
      <c r="G31" s="106">
        <f t="shared" si="2"/>
        <v>0.906780946601942</v>
      </c>
      <c r="H31" s="106">
        <f t="shared" si="2"/>
        <v>-0.0632881180635666</v>
      </c>
      <c r="I31" s="106">
        <f t="shared" si="2"/>
        <v>-0.0538049940546967</v>
      </c>
      <c r="J31" s="106">
        <f t="shared" si="2"/>
        <v>0.105874960728872</v>
      </c>
      <c r="K31" s="106">
        <f t="shared" si="2"/>
        <v>0.277800324675325</v>
      </c>
      <c r="L31" s="106">
        <f t="shared" si="2"/>
        <v>0.0243290455772591</v>
      </c>
      <c r="M31" s="106">
        <f t="shared" si="2"/>
        <v>0.628941738240675</v>
      </c>
      <c r="N31" s="106">
        <f t="shared" si="2"/>
        <v>0.740687160940326</v>
      </c>
      <c r="O31" s="106">
        <f t="shared" si="2"/>
        <v>1.0255916541822</v>
      </c>
      <c r="P31" s="106">
        <f t="shared" si="2"/>
        <v>0.399999989202863</v>
      </c>
      <c r="Q31" s="106">
        <f t="shared" si="2"/>
        <v>0.100000003856121</v>
      </c>
      <c r="R31" s="106">
        <f t="shared" si="2"/>
        <v>0.0500000017527822</v>
      </c>
      <c r="S31" s="106">
        <f t="shared" si="2"/>
        <v>0.0499999949920513</v>
      </c>
    </row>
    <row r="32" ht="15" customHeight="1" spans="1:19">
      <c r="A32" s="104" t="s">
        <v>48</v>
      </c>
      <c r="B32" s="107"/>
      <c r="C32" s="106">
        <f t="shared" ref="C32:S32" si="3">IFERROR(C8/B8-1,"")</f>
        <v>0.344346549192364</v>
      </c>
      <c r="D32" s="106">
        <f t="shared" si="3"/>
        <v>0.37793555434189</v>
      </c>
      <c r="E32" s="106">
        <f t="shared" si="3"/>
        <v>0.780023781212842</v>
      </c>
      <c r="F32" s="106">
        <f t="shared" si="3"/>
        <v>0.498997995991984</v>
      </c>
      <c r="G32" s="106">
        <f t="shared" si="3"/>
        <v>1.07664884135472</v>
      </c>
      <c r="H32" s="106">
        <f t="shared" si="3"/>
        <v>0.0802575107296137</v>
      </c>
      <c r="I32" s="106">
        <f t="shared" si="3"/>
        <v>0.000860813137332883</v>
      </c>
      <c r="J32" s="106">
        <f t="shared" si="3"/>
        <v>0.228382401587827</v>
      </c>
      <c r="K32" s="106">
        <f t="shared" si="3"/>
        <v>0.679646684978726</v>
      </c>
      <c r="L32" s="106">
        <f t="shared" si="3"/>
        <v>-0.132783941512217</v>
      </c>
      <c r="M32" s="106">
        <f t="shared" si="3"/>
        <v>0.377555925309669</v>
      </c>
      <c r="N32" s="106">
        <f t="shared" si="3"/>
        <v>0.870598024479279</v>
      </c>
      <c r="O32" s="106">
        <f t="shared" si="3"/>
        <v>0.945498127448307</v>
      </c>
      <c r="P32" s="106">
        <f t="shared" si="3"/>
        <v>0.22222972066482</v>
      </c>
      <c r="Q32" s="106">
        <f t="shared" si="3"/>
        <v>0.119999983103464</v>
      </c>
      <c r="R32" s="106">
        <f t="shared" si="3"/>
        <v>0.0599999989224147</v>
      </c>
      <c r="S32" s="106">
        <f t="shared" si="3"/>
        <v>0.0599999959336408</v>
      </c>
    </row>
    <row r="33" ht="15" customHeight="1" spans="1:19">
      <c r="A33" s="104" t="s">
        <v>55</v>
      </c>
      <c r="B33" s="107"/>
      <c r="C33" s="106">
        <f t="shared" ref="C33:S33" si="4">IFERROR(C9/B9-1,"")</f>
        <v>-0.107692307692308</v>
      </c>
      <c r="D33" s="106">
        <f t="shared" si="4"/>
        <v>1.39827586206897</v>
      </c>
      <c r="E33" s="106">
        <f t="shared" si="4"/>
        <v>-0.145219266714594</v>
      </c>
      <c r="F33" s="106">
        <f t="shared" si="4"/>
        <v>0.699747687132044</v>
      </c>
      <c r="G33" s="106">
        <f t="shared" si="4"/>
        <v>-0.141019297377536</v>
      </c>
      <c r="H33" s="106">
        <f t="shared" si="4"/>
        <v>-0.0437788018433179</v>
      </c>
      <c r="I33" s="106">
        <f t="shared" si="4"/>
        <v>-0.0578313253012048</v>
      </c>
      <c r="J33" s="106">
        <f t="shared" si="4"/>
        <v>0.365089514066496</v>
      </c>
      <c r="K33" s="106">
        <f t="shared" si="4"/>
        <v>1.11288056206089</v>
      </c>
      <c r="L33" s="106">
        <f t="shared" si="4"/>
        <v>0.927510529816005</v>
      </c>
      <c r="M33" s="106">
        <f t="shared" si="4"/>
        <v>-0.210350776308223</v>
      </c>
      <c r="N33" s="106">
        <f t="shared" si="4"/>
        <v>2.08986309350422</v>
      </c>
      <c r="O33" s="106">
        <f t="shared" si="4"/>
        <v>1.44553382041009</v>
      </c>
      <c r="P33" s="106">
        <f t="shared" si="4"/>
        <v>0.00500000000000012</v>
      </c>
      <c r="Q33" s="106">
        <f t="shared" si="4"/>
        <v>0.340000011507169</v>
      </c>
      <c r="R33" s="106">
        <f t="shared" si="4"/>
        <v>0.160000022899838</v>
      </c>
      <c r="S33" s="106">
        <f t="shared" si="4"/>
        <v>-0.180000002467655</v>
      </c>
    </row>
    <row r="35" ht="15" customHeight="1" spans="1:1">
      <c r="A35" s="31" t="s">
        <v>94</v>
      </c>
    </row>
    <row r="36" ht="15" customHeight="1" spans="1:19">
      <c r="A36" s="33" t="s">
        <v>81</v>
      </c>
      <c r="B36" s="34" t="s">
        <v>3</v>
      </c>
      <c r="C36" s="34" t="s">
        <v>4</v>
      </c>
      <c r="D36" s="34" t="s">
        <v>5</v>
      </c>
      <c r="E36" s="34" t="s">
        <v>6</v>
      </c>
      <c r="F36" s="34" t="s">
        <v>7</v>
      </c>
      <c r="G36" s="34" t="s">
        <v>8</v>
      </c>
      <c r="H36" s="34" t="s">
        <v>9</v>
      </c>
      <c r="I36" s="34" t="s">
        <v>10</v>
      </c>
      <c r="J36" s="34" t="s">
        <v>11</v>
      </c>
      <c r="K36" s="34" t="s">
        <v>12</v>
      </c>
      <c r="L36" s="34" t="s">
        <v>13</v>
      </c>
      <c r="M36" s="34" t="s">
        <v>14</v>
      </c>
      <c r="N36" s="34" t="s">
        <v>15</v>
      </c>
      <c r="O36" s="34" t="s">
        <v>16</v>
      </c>
      <c r="P36" s="34" t="s">
        <v>17</v>
      </c>
      <c r="Q36" s="34" t="s">
        <v>18</v>
      </c>
      <c r="R36" s="34" t="s">
        <v>19</v>
      </c>
      <c r="S36" s="34" t="s">
        <v>20</v>
      </c>
    </row>
    <row r="37" ht="15" customHeight="1" spans="1:19">
      <c r="A37" s="104" t="s">
        <v>22</v>
      </c>
      <c r="B37" s="106">
        <f t="shared" ref="B37:S37" si="5">IFERROR(B5/B21,"")</f>
        <v>0.0546827833369729</v>
      </c>
      <c r="C37" s="106">
        <f t="shared" si="5"/>
        <v>0.0631672290488639</v>
      </c>
      <c r="D37" s="106">
        <f t="shared" si="5"/>
        <v>0.0635178456935243</v>
      </c>
      <c r="E37" s="106">
        <f t="shared" si="5"/>
        <v>0.0971260180724857</v>
      </c>
      <c r="F37" s="106">
        <f t="shared" si="5"/>
        <v>0.105527794158726</v>
      </c>
      <c r="G37" s="106">
        <f t="shared" si="5"/>
        <v>0.123233055454875</v>
      </c>
      <c r="H37" s="106">
        <f t="shared" si="5"/>
        <v>0.134294319111909</v>
      </c>
      <c r="I37" s="106">
        <f t="shared" si="5"/>
        <v>0.132853197217075</v>
      </c>
      <c r="J37" s="106">
        <f t="shared" si="5"/>
        <v>0.143972205035458</v>
      </c>
      <c r="K37" s="106">
        <f t="shared" si="5"/>
        <v>0.147273919402835</v>
      </c>
      <c r="L37" s="106">
        <f t="shared" si="5"/>
        <v>0.150532052945757</v>
      </c>
      <c r="M37" s="106">
        <f t="shared" si="5"/>
        <v>0.227233785625117</v>
      </c>
      <c r="N37" s="106">
        <f t="shared" si="5"/>
        <v>0.313072368701282</v>
      </c>
      <c r="O37" s="106">
        <f t="shared" si="5"/>
        <v>0.443090624180243</v>
      </c>
      <c r="P37" s="106">
        <f t="shared" si="5"/>
        <v>0.639691526233061</v>
      </c>
      <c r="Q37" s="106">
        <f t="shared" si="5"/>
        <v>0.637070891312097</v>
      </c>
      <c r="R37" s="106">
        <f t="shared" si="5"/>
        <v>0.562339355346876</v>
      </c>
      <c r="S37" s="106">
        <f t="shared" si="5"/>
        <v>0.487612196923998</v>
      </c>
    </row>
    <row r="38" ht="15" customHeight="1" spans="1:19">
      <c r="A38" s="104" t="s">
        <v>38</v>
      </c>
      <c r="B38" s="106">
        <f t="shared" ref="B38:S38" si="6">IFERROR(B6/B22,"")</f>
        <v>0.0462445602535862</v>
      </c>
      <c r="C38" s="106">
        <f t="shared" si="6"/>
        <v>0.0549737043196836</v>
      </c>
      <c r="D38" s="106">
        <f t="shared" si="6"/>
        <v>0.0428761004055847</v>
      </c>
      <c r="E38" s="106">
        <f t="shared" si="6"/>
        <v>0.0495341466463706</v>
      </c>
      <c r="F38" s="106">
        <f t="shared" si="6"/>
        <v>0.0565425657517457</v>
      </c>
      <c r="G38" s="106">
        <f t="shared" si="6"/>
        <v>0.0486158523232297</v>
      </c>
      <c r="H38" s="106">
        <f t="shared" si="6"/>
        <v>0.0452370937038806</v>
      </c>
      <c r="I38" s="106">
        <f t="shared" si="6"/>
        <v>0.0907776948899664</v>
      </c>
      <c r="J38" s="106">
        <f t="shared" si="6"/>
        <v>0.117908484489871</v>
      </c>
      <c r="K38" s="106">
        <f t="shared" si="6"/>
        <v>0.113468733401688</v>
      </c>
      <c r="L38" s="106">
        <f t="shared" si="6"/>
        <v>0.0837408770235827</v>
      </c>
      <c r="M38" s="106">
        <f t="shared" si="6"/>
        <v>0.121728825833635</v>
      </c>
      <c r="N38" s="106">
        <f t="shared" si="6"/>
        <v>0.178986894008291</v>
      </c>
      <c r="O38" s="106">
        <f t="shared" si="6"/>
        <v>0.242626231552105</v>
      </c>
      <c r="P38" s="106">
        <f t="shared" si="6"/>
        <v>0.289464388424061</v>
      </c>
      <c r="Q38" s="106">
        <f t="shared" si="6"/>
        <v>0.27390282699997</v>
      </c>
      <c r="R38" s="106">
        <f t="shared" si="6"/>
        <v>0.255176738301661</v>
      </c>
      <c r="S38" s="106">
        <f t="shared" si="6"/>
        <v>0.239922302759585</v>
      </c>
    </row>
    <row r="39" ht="15" customHeight="1" spans="1:19">
      <c r="A39" s="104" t="s">
        <v>42</v>
      </c>
      <c r="B39" s="106">
        <f t="shared" ref="B39:S39" si="7">IFERROR(B7/B23,"")</f>
        <v>0.132531205533241</v>
      </c>
      <c r="C39" s="106">
        <f t="shared" si="7"/>
        <v>0.166042938743352</v>
      </c>
      <c r="D39" s="106">
        <f t="shared" si="7"/>
        <v>0.132219392177519</v>
      </c>
      <c r="E39" s="106">
        <f t="shared" si="7"/>
        <v>0.112803527118043</v>
      </c>
      <c r="F39" s="106">
        <f t="shared" si="7"/>
        <v>0.118930133958775</v>
      </c>
      <c r="G39" s="106">
        <f t="shared" si="7"/>
        <v>0.183739100563518</v>
      </c>
      <c r="H39" s="106">
        <f t="shared" si="7"/>
        <v>0.145486447913899</v>
      </c>
      <c r="I39" s="106">
        <f t="shared" si="7"/>
        <v>0.122069611619103</v>
      </c>
      <c r="J39" s="106">
        <f t="shared" si="7"/>
        <v>0.0956384370257378</v>
      </c>
      <c r="K39" s="106">
        <f t="shared" si="7"/>
        <v>0.111318926869281</v>
      </c>
      <c r="L39" s="106">
        <f t="shared" si="7"/>
        <v>0.104917467484726</v>
      </c>
      <c r="M39" s="106">
        <f t="shared" si="7"/>
        <v>0.150092280968407</v>
      </c>
      <c r="N39" s="106">
        <f t="shared" si="7"/>
        <v>0.227008013186508</v>
      </c>
      <c r="O39" s="106">
        <f t="shared" si="7"/>
        <v>0.380783380129981</v>
      </c>
      <c r="P39" s="106">
        <f t="shared" si="7"/>
        <v>0.448269679110198</v>
      </c>
      <c r="Q39" s="106">
        <f t="shared" si="7"/>
        <v>0.417042591427592</v>
      </c>
      <c r="R39" s="106">
        <f t="shared" si="7"/>
        <v>0.371890339294814</v>
      </c>
      <c r="S39" s="106">
        <f t="shared" si="7"/>
        <v>0.334131885469669</v>
      </c>
    </row>
    <row r="40" ht="15" customHeight="1" spans="1:19">
      <c r="A40" s="104" t="s">
        <v>48</v>
      </c>
      <c r="B40" s="106">
        <f t="shared" ref="B40:S40" si="8">IFERROR(B8/B24,"")</f>
        <v>0.173018292682927</v>
      </c>
      <c r="C40" s="106">
        <f t="shared" si="8"/>
        <v>0.146879512273384</v>
      </c>
      <c r="D40" s="106">
        <f t="shared" si="8"/>
        <v>0.140729585006693</v>
      </c>
      <c r="E40" s="106">
        <f t="shared" si="8"/>
        <v>0.162493668138071</v>
      </c>
      <c r="F40" s="106">
        <f t="shared" si="8"/>
        <v>0.165596634934691</v>
      </c>
      <c r="G40" s="106">
        <f t="shared" si="8"/>
        <v>0.25036713349332</v>
      </c>
      <c r="H40" s="106">
        <f t="shared" si="8"/>
        <v>0.213615853572287</v>
      </c>
      <c r="I40" s="106">
        <f t="shared" si="8"/>
        <v>0.175827371604723</v>
      </c>
      <c r="J40" s="106">
        <f t="shared" si="8"/>
        <v>0.157442189792163</v>
      </c>
      <c r="K40" s="106">
        <f t="shared" si="8"/>
        <v>0.267440763577425</v>
      </c>
      <c r="L40" s="106">
        <f t="shared" si="8"/>
        <v>0.200478866139864</v>
      </c>
      <c r="M40" s="106">
        <f t="shared" si="8"/>
        <v>0.22647886638987</v>
      </c>
      <c r="N40" s="106">
        <f t="shared" si="8"/>
        <v>0.346780052347163</v>
      </c>
      <c r="O40" s="106">
        <f t="shared" si="8"/>
        <v>0.536119817404754</v>
      </c>
      <c r="P40" s="106">
        <f t="shared" si="8"/>
        <v>0.550122407338345</v>
      </c>
      <c r="Q40" s="106">
        <f t="shared" si="8"/>
        <v>0.526986302116654</v>
      </c>
      <c r="R40" s="106">
        <f t="shared" si="8"/>
        <v>0.48736678840751</v>
      </c>
      <c r="S40" s="106">
        <f t="shared" si="8"/>
        <v>0.456624870401654</v>
      </c>
    </row>
    <row r="41" ht="15" customHeight="1" spans="1:19">
      <c r="A41" s="104" t="s">
        <v>55</v>
      </c>
      <c r="B41" s="106">
        <f t="shared" ref="B41:S41" si="9">IFERROR(B9/B25,"")</f>
        <v>0.0174482592006013</v>
      </c>
      <c r="C41" s="106">
        <f t="shared" si="9"/>
        <v>0.015141231138725</v>
      </c>
      <c r="D41" s="106">
        <f t="shared" si="9"/>
        <v>0.0363631610592633</v>
      </c>
      <c r="E41" s="106">
        <f t="shared" si="9"/>
        <v>0.0320857058045713</v>
      </c>
      <c r="F41" s="106">
        <f t="shared" si="9"/>
        <v>0.0533259452756009</v>
      </c>
      <c r="G41" s="106">
        <f t="shared" si="9"/>
        <v>0.0435327749636391</v>
      </c>
      <c r="H41" s="106">
        <f t="shared" si="9"/>
        <v>0.0419976724181551</v>
      </c>
      <c r="I41" s="106">
        <f t="shared" si="9"/>
        <v>0.0400327633869151</v>
      </c>
      <c r="J41" s="106">
        <f t="shared" si="9"/>
        <v>0.0527407919764828</v>
      </c>
      <c r="K41" s="106">
        <f t="shared" si="9"/>
        <v>0.10629123468426</v>
      </c>
      <c r="L41" s="106">
        <f t="shared" si="9"/>
        <v>0.174060135324499</v>
      </c>
      <c r="M41" s="106">
        <f t="shared" si="9"/>
        <v>0.12964256717207</v>
      </c>
      <c r="N41" s="106">
        <f t="shared" si="9"/>
        <v>0.369605742260318</v>
      </c>
      <c r="O41" s="106">
        <f t="shared" si="9"/>
        <v>0.77140396205041</v>
      </c>
      <c r="P41" s="106">
        <f t="shared" si="9"/>
        <v>0.585158715801013</v>
      </c>
      <c r="Q41" s="106">
        <f t="shared" si="9"/>
        <v>0.535470443379201</v>
      </c>
      <c r="R41" s="106">
        <f t="shared" si="9"/>
        <v>0.442430168392192</v>
      </c>
      <c r="S41" s="106">
        <f t="shared" si="9"/>
        <v>0.297968501533604</v>
      </c>
    </row>
    <row r="43" ht="15" customHeight="1" spans="1:1">
      <c r="A43" s="31" t="s">
        <v>95</v>
      </c>
    </row>
    <row r="44" ht="15" customHeight="1" spans="1:19">
      <c r="A44" s="33" t="s">
        <v>81</v>
      </c>
      <c r="B44" s="34" t="s">
        <v>3</v>
      </c>
      <c r="C44" s="34" t="s">
        <v>4</v>
      </c>
      <c r="D44" s="34" t="s">
        <v>5</v>
      </c>
      <c r="E44" s="34" t="s">
        <v>6</v>
      </c>
      <c r="F44" s="34" t="s">
        <v>7</v>
      </c>
      <c r="G44" s="34" t="s">
        <v>8</v>
      </c>
      <c r="H44" s="34" t="s">
        <v>9</v>
      </c>
      <c r="I44" s="34" t="s">
        <v>10</v>
      </c>
      <c r="J44" s="34" t="s">
        <v>11</v>
      </c>
      <c r="K44" s="34" t="s">
        <v>12</v>
      </c>
      <c r="L44" s="34" t="s">
        <v>13</v>
      </c>
      <c r="M44" s="34" t="s">
        <v>14</v>
      </c>
      <c r="N44" s="34" t="s">
        <v>15</v>
      </c>
      <c r="O44" s="34" t="s">
        <v>16</v>
      </c>
      <c r="P44" s="34" t="s">
        <v>17</v>
      </c>
      <c r="Q44" s="34" t="s">
        <v>18</v>
      </c>
      <c r="R44" s="34" t="s">
        <v>19</v>
      </c>
      <c r="S44" s="34" t="s">
        <v>20</v>
      </c>
    </row>
    <row r="45" ht="15" customHeight="1" spans="1:19">
      <c r="A45" s="104" t="s">
        <v>22</v>
      </c>
      <c r="B45" s="106">
        <f t="shared" ref="B45:S45" si="10">IFERROR(B13/B21,"")</f>
        <v>0.0482344024971419</v>
      </c>
      <c r="C45" s="106">
        <f t="shared" si="10"/>
        <v>0.0600232630451556</v>
      </c>
      <c r="D45" s="106">
        <f t="shared" si="10"/>
        <v>0.0636567642658688</v>
      </c>
      <c r="E45" s="106">
        <f t="shared" si="10"/>
        <v>0.0720072202951187</v>
      </c>
      <c r="F45" s="106">
        <f t="shared" si="10"/>
        <v>0.0908159781495391</v>
      </c>
      <c r="G45" s="106">
        <f t="shared" si="10"/>
        <v>0.0929775280898876</v>
      </c>
      <c r="H45" s="106">
        <f t="shared" si="10"/>
        <v>0.0928299547849304</v>
      </c>
      <c r="I45" s="106">
        <f t="shared" si="10"/>
        <v>0.0894731321889312</v>
      </c>
      <c r="J45" s="106">
        <f t="shared" si="10"/>
        <v>0.0695231069439817</v>
      </c>
      <c r="K45" s="106">
        <f t="shared" si="10"/>
        <v>0.0729308518686639</v>
      </c>
      <c r="L45" s="106">
        <f t="shared" si="10"/>
        <v>0.0654083004978411</v>
      </c>
      <c r="M45" s="106">
        <f t="shared" si="10"/>
        <v>0.0909220714582942</v>
      </c>
      <c r="N45" s="106">
        <f t="shared" si="10"/>
        <v>0.121228578324885</v>
      </c>
      <c r="O45" s="106">
        <f t="shared" si="10"/>
        <v>0.127592407887362</v>
      </c>
      <c r="P45" s="106">
        <f t="shared" si="10"/>
        <v>0.14453317129225</v>
      </c>
      <c r="Q45" s="106">
        <f t="shared" si="10"/>
        <v>0.164280001245881</v>
      </c>
      <c r="R45" s="106">
        <f t="shared" si="10"/>
        <v>0.181882841171598</v>
      </c>
      <c r="S45" s="106">
        <f t="shared" si="10"/>
        <v>0.204591416261801</v>
      </c>
    </row>
    <row r="46" ht="15" customHeight="1" spans="1:19">
      <c r="A46" s="104" t="s">
        <v>38</v>
      </c>
      <c r="B46" s="106">
        <f t="shared" ref="B46:S46" si="11">IFERROR(B14/B22,"")</f>
        <v>0.043692580454521</v>
      </c>
      <c r="C46" s="106">
        <f t="shared" si="11"/>
        <v>0.0533330336674608</v>
      </c>
      <c r="D46" s="106">
        <f t="shared" si="11"/>
        <v>0.0586976431228155</v>
      </c>
      <c r="E46" s="106">
        <f t="shared" si="11"/>
        <v>0.05968217550207</v>
      </c>
      <c r="F46" s="106">
        <f t="shared" si="11"/>
        <v>0.0645317261309075</v>
      </c>
      <c r="G46" s="106">
        <f t="shared" si="11"/>
        <v>0.0658731487803098</v>
      </c>
      <c r="H46" s="106">
        <f t="shared" si="11"/>
        <v>0.0776730523809184</v>
      </c>
      <c r="I46" s="106">
        <f t="shared" si="11"/>
        <v>0.0652223465539392</v>
      </c>
      <c r="J46" s="106">
        <f t="shared" si="11"/>
        <v>0.0732894585609018</v>
      </c>
      <c r="K46" s="106">
        <f t="shared" si="11"/>
        <v>0.0815610633036501</v>
      </c>
      <c r="L46" s="106">
        <f t="shared" si="11"/>
        <v>0.0846629609332185</v>
      </c>
      <c r="M46" s="106">
        <f t="shared" si="11"/>
        <v>0.0827561018811554</v>
      </c>
      <c r="N46" s="106">
        <f t="shared" si="11"/>
        <v>0.0917196243953334</v>
      </c>
      <c r="O46" s="106">
        <f t="shared" si="11"/>
        <v>0.102324345101896</v>
      </c>
      <c r="P46" s="106">
        <f t="shared" si="11"/>
        <v>0.114848309903697</v>
      </c>
      <c r="Q46" s="106">
        <f t="shared" si="11"/>
        <v>0.127282236199764</v>
      </c>
      <c r="R46" s="106">
        <f t="shared" si="11"/>
        <v>0.125048431798458</v>
      </c>
      <c r="S46" s="106">
        <f t="shared" si="11"/>
        <v>0.126032641722132</v>
      </c>
    </row>
    <row r="47" ht="15" customHeight="1" spans="1:19">
      <c r="A47" s="104" t="s">
        <v>42</v>
      </c>
      <c r="B47" s="106">
        <f t="shared" ref="B47:S47" si="12">IFERROR(B15/B23,"")</f>
        <v>0.0500909598515823</v>
      </c>
      <c r="C47" s="106">
        <f t="shared" si="12"/>
        <v>0.0533779791215285</v>
      </c>
      <c r="D47" s="106">
        <f t="shared" si="12"/>
        <v>0.0551014148741815</v>
      </c>
      <c r="E47" s="106">
        <f t="shared" si="12"/>
        <v>0.0583458879829848</v>
      </c>
      <c r="F47" s="106">
        <f t="shared" si="12"/>
        <v>0.055053899237743</v>
      </c>
      <c r="G47" s="106">
        <f t="shared" si="12"/>
        <v>0.059670075062674</v>
      </c>
      <c r="H47" s="106">
        <f t="shared" si="12"/>
        <v>0.0670715508133723</v>
      </c>
      <c r="I47" s="106">
        <f t="shared" si="12"/>
        <v>0.0707018687646211</v>
      </c>
      <c r="J47" s="106">
        <f t="shared" si="12"/>
        <v>0.0448499245061851</v>
      </c>
      <c r="K47" s="106">
        <f t="shared" si="12"/>
        <v>0.0540489895204288</v>
      </c>
      <c r="L47" s="106">
        <f t="shared" si="12"/>
        <v>0.0433515293076638</v>
      </c>
      <c r="M47" s="106">
        <f t="shared" si="12"/>
        <v>0.0437434646218194</v>
      </c>
      <c r="N47" s="106">
        <f t="shared" si="12"/>
        <v>0.0524680018667646</v>
      </c>
      <c r="O47" s="106">
        <f t="shared" si="12"/>
        <v>0.0881368890685832</v>
      </c>
      <c r="P47" s="106">
        <f t="shared" si="12"/>
        <v>0.120279432875775</v>
      </c>
      <c r="Q47" s="106">
        <f t="shared" si="12"/>
        <v>0.14377032037177</v>
      </c>
      <c r="R47" s="106">
        <f t="shared" si="12"/>
        <v>0.158521854628867</v>
      </c>
      <c r="S47" s="106">
        <f t="shared" si="12"/>
        <v>0.165902760126809</v>
      </c>
    </row>
    <row r="48" ht="15" customHeight="1" spans="1:19">
      <c r="A48" s="104" t="s">
        <v>48</v>
      </c>
      <c r="B48" s="106">
        <f t="shared" ref="B48:S48" si="13">IFERROR(B16/B24,"")</f>
        <v>0.12842987804878</v>
      </c>
      <c r="C48" s="106">
        <f t="shared" si="13"/>
        <v>0.0997112145034494</v>
      </c>
      <c r="D48" s="106">
        <f t="shared" si="13"/>
        <v>0.108489513609996</v>
      </c>
      <c r="E48" s="106">
        <f t="shared" si="13"/>
        <v>0.0847384036471525</v>
      </c>
      <c r="F48" s="106">
        <f t="shared" si="13"/>
        <v>0.0744102526258825</v>
      </c>
      <c r="G48" s="106">
        <f t="shared" si="13"/>
        <v>0.0772771231061284</v>
      </c>
      <c r="H48" s="106">
        <f t="shared" si="13"/>
        <v>0.0812057088702491</v>
      </c>
      <c r="I48" s="106">
        <f t="shared" si="13"/>
        <v>0.079823183853894</v>
      </c>
      <c r="J48" s="106">
        <f t="shared" si="13"/>
        <v>0.0675575982158756</v>
      </c>
      <c r="K48" s="106">
        <f t="shared" si="13"/>
        <v>0.0744882470478265</v>
      </c>
      <c r="L48" s="106">
        <f t="shared" si="13"/>
        <v>0.0828601503313516</v>
      </c>
      <c r="M48" s="106">
        <f t="shared" si="13"/>
        <v>0.0942121932389469</v>
      </c>
      <c r="N48" s="106">
        <f t="shared" si="13"/>
        <v>0.0926325846163032</v>
      </c>
      <c r="O48" s="106">
        <f t="shared" si="13"/>
        <v>0.117029523545348</v>
      </c>
      <c r="P48" s="106">
        <f t="shared" si="13"/>
        <v>0.143097309003819</v>
      </c>
      <c r="Q48" s="106">
        <f t="shared" si="13"/>
        <v>0.162460897708986</v>
      </c>
      <c r="R48" s="106">
        <f t="shared" si="13"/>
        <v>0.184217471772235</v>
      </c>
      <c r="S48" s="106">
        <f t="shared" si="13"/>
        <v>0.192083350211682</v>
      </c>
    </row>
    <row r="49" ht="15" customHeight="1" spans="1:19">
      <c r="A49" s="104" t="s">
        <v>55</v>
      </c>
      <c r="B49" s="106">
        <f t="shared" ref="B49:S49" si="14">IFERROR(B17/B25,"")</f>
        <v>0.0786782272568652</v>
      </c>
      <c r="C49" s="106">
        <f t="shared" si="14"/>
        <v>0.0759150002610557</v>
      </c>
      <c r="D49" s="106">
        <f t="shared" si="14"/>
        <v>0.0747915196193763</v>
      </c>
      <c r="E49" s="106">
        <f t="shared" si="14"/>
        <v>0.0677065061931619</v>
      </c>
      <c r="F49" s="106">
        <f t="shared" si="14"/>
        <v>0.0646718910789203</v>
      </c>
      <c r="G49" s="106">
        <f t="shared" si="14"/>
        <v>0.06983800591805</v>
      </c>
      <c r="H49" s="106">
        <f t="shared" si="14"/>
        <v>0.073850123969033</v>
      </c>
      <c r="I49" s="106">
        <f t="shared" si="14"/>
        <v>0.07597010340944</v>
      </c>
      <c r="J49" s="106">
        <f t="shared" si="14"/>
        <v>0.0720337936315802</v>
      </c>
      <c r="K49" s="106">
        <f t="shared" si="14"/>
        <v>0.0735626767200754</v>
      </c>
      <c r="L49" s="106">
        <f t="shared" si="14"/>
        <v>0.122272490691436</v>
      </c>
      <c r="M49" s="106">
        <f t="shared" si="14"/>
        <v>0.115915484979513</v>
      </c>
      <c r="N49" s="106">
        <f t="shared" si="14"/>
        <v>0.107562849526995</v>
      </c>
      <c r="O49" s="106">
        <f t="shared" si="14"/>
        <v>0.135931958489124</v>
      </c>
      <c r="P49" s="106">
        <f t="shared" si="14"/>
        <v>0.151502293212477</v>
      </c>
      <c r="Q49" s="106">
        <f t="shared" si="14"/>
        <v>0.165658842676455</v>
      </c>
      <c r="R49" s="106">
        <f t="shared" si="14"/>
        <v>0.165974314809666</v>
      </c>
      <c r="S49" s="106">
        <f t="shared" si="14"/>
        <v>0.170245823186571</v>
      </c>
    </row>
    <row r="51" ht="15" customHeight="1" spans="1:1">
      <c r="A51" s="31" t="s">
        <v>96</v>
      </c>
    </row>
    <row r="52" ht="15" customHeight="1" spans="1:19">
      <c r="A52" s="33" t="s">
        <v>81</v>
      </c>
      <c r="B52" s="34" t="s">
        <v>3</v>
      </c>
      <c r="C52" s="34" t="s">
        <v>4</v>
      </c>
      <c r="D52" s="34" t="s">
        <v>5</v>
      </c>
      <c r="E52" s="34" t="s">
        <v>6</v>
      </c>
      <c r="F52" s="34" t="s">
        <v>7</v>
      </c>
      <c r="G52" s="34" t="s">
        <v>8</v>
      </c>
      <c r="H52" s="34" t="s">
        <v>9</v>
      </c>
      <c r="I52" s="34" t="s">
        <v>10</v>
      </c>
      <c r="J52" s="34" t="s">
        <v>11</v>
      </c>
      <c r="K52" s="34" t="s">
        <v>12</v>
      </c>
      <c r="L52" s="34" t="s">
        <v>13</v>
      </c>
      <c r="M52" s="34" t="s">
        <v>14</v>
      </c>
      <c r="N52" s="34" t="s">
        <v>15</v>
      </c>
      <c r="O52" s="34" t="s">
        <v>16</v>
      </c>
      <c r="P52" s="34" t="s">
        <v>17</v>
      </c>
      <c r="Q52" s="34" t="s">
        <v>18</v>
      </c>
      <c r="R52" s="34" t="s">
        <v>19</v>
      </c>
      <c r="S52" s="34" t="s">
        <v>20</v>
      </c>
    </row>
    <row r="53" ht="15" customHeight="1" spans="1:19">
      <c r="A53" s="104" t="s">
        <v>22</v>
      </c>
      <c r="B53" s="107"/>
      <c r="C53" s="106">
        <f t="shared" ref="C53:S53" si="15">IFERROR(C13/B13-1,"")</f>
        <v>0.388015978695073</v>
      </c>
      <c r="D53" s="106">
        <f t="shared" si="15"/>
        <v>0.142939370683039</v>
      </c>
      <c r="E53" s="106">
        <f t="shared" si="15"/>
        <v>0.111633372502938</v>
      </c>
      <c r="F53" s="106">
        <f t="shared" si="15"/>
        <v>0.325581395348837</v>
      </c>
      <c r="G53" s="106">
        <f t="shared" si="15"/>
        <v>0.168945089997722</v>
      </c>
      <c r="H53" s="106">
        <f t="shared" si="15"/>
        <v>0.138485527726342</v>
      </c>
      <c r="I53" s="106">
        <f t="shared" si="15"/>
        <v>0.0953603834959766</v>
      </c>
      <c r="J53" s="106">
        <f t="shared" si="15"/>
        <v>-0.0867458580806502</v>
      </c>
      <c r="K53" s="106">
        <f t="shared" si="15"/>
        <v>0.237378059216156</v>
      </c>
      <c r="L53" s="106">
        <f t="shared" si="15"/>
        <v>-0.0414246196403872</v>
      </c>
      <c r="M53" s="106">
        <f t="shared" si="15"/>
        <v>0.607892648438064</v>
      </c>
      <c r="N53" s="106">
        <f t="shared" si="15"/>
        <v>0.532418001525553</v>
      </c>
      <c r="O53" s="106">
        <f t="shared" si="15"/>
        <v>0.229909817585571</v>
      </c>
      <c r="P53" s="106">
        <f t="shared" si="15"/>
        <v>0.319251633908351</v>
      </c>
      <c r="Q53" s="106">
        <f t="shared" si="15"/>
        <v>0.334400727885489</v>
      </c>
      <c r="R53" s="106">
        <f t="shared" si="15"/>
        <v>0.313117788425455</v>
      </c>
      <c r="S53" s="106">
        <f t="shared" si="15"/>
        <v>0.316272762203874</v>
      </c>
    </row>
    <row r="54" ht="15" customHeight="1" spans="1:19">
      <c r="A54" s="104" t="s">
        <v>38</v>
      </c>
      <c r="B54" s="107"/>
      <c r="C54" s="106">
        <f t="shared" ref="C54:S54" si="16">IFERROR(C14/B14-1,"")</f>
        <v>0.458960959114663</v>
      </c>
      <c r="D54" s="106">
        <f t="shared" si="16"/>
        <v>0.323430257058576</v>
      </c>
      <c r="E54" s="106">
        <f t="shared" si="16"/>
        <v>0.292150931380353</v>
      </c>
      <c r="F54" s="106">
        <f t="shared" si="16"/>
        <v>0.414243469689502</v>
      </c>
      <c r="G54" s="106">
        <f t="shared" si="16"/>
        <v>0.336556891444503</v>
      </c>
      <c r="H54" s="106">
        <f t="shared" si="16"/>
        <v>0.420311583338765</v>
      </c>
      <c r="I54" s="106">
        <f t="shared" si="16"/>
        <v>0.155628987103584</v>
      </c>
      <c r="J54" s="106">
        <f t="shared" si="16"/>
        <v>0.367474185861795</v>
      </c>
      <c r="K54" s="106">
        <f t="shared" si="16"/>
        <v>0.217465803153951</v>
      </c>
      <c r="L54" s="106">
        <f t="shared" si="16"/>
        <v>0.160826316166122</v>
      </c>
      <c r="M54" s="106">
        <f t="shared" si="16"/>
        <v>0.0849105069560034</v>
      </c>
      <c r="N54" s="106">
        <f t="shared" si="16"/>
        <v>0.245496732645137</v>
      </c>
      <c r="O54" s="106">
        <f t="shared" si="16"/>
        <v>0.283405012470345</v>
      </c>
      <c r="P54" s="106">
        <f t="shared" si="16"/>
        <v>0.270053481638808</v>
      </c>
      <c r="Q54" s="106">
        <f t="shared" si="16"/>
        <v>0.229790462598974</v>
      </c>
      <c r="R54" s="106">
        <f t="shared" si="16"/>
        <v>0.107274208454852</v>
      </c>
      <c r="S54" s="106">
        <f t="shared" si="16"/>
        <v>0.125549362005581</v>
      </c>
    </row>
    <row r="55" ht="15" customHeight="1" spans="1:19">
      <c r="A55" s="104" t="s">
        <v>42</v>
      </c>
      <c r="B55" s="107"/>
      <c r="C55" s="106">
        <f t="shared" ref="C55:S55" si="17">IFERROR(C15/B15-1,"")</f>
        <v>0.266810499820209</v>
      </c>
      <c r="D55" s="106">
        <f t="shared" si="17"/>
        <v>0.172864036332671</v>
      </c>
      <c r="E55" s="106">
        <f t="shared" si="17"/>
        <v>0.274685382381413</v>
      </c>
      <c r="F55" s="106">
        <f t="shared" si="17"/>
        <v>0.15872413138409</v>
      </c>
      <c r="G55" s="106">
        <f t="shared" si="17"/>
        <v>0.337702769129936</v>
      </c>
      <c r="H55" s="106">
        <f t="shared" si="17"/>
        <v>0.329740323370897</v>
      </c>
      <c r="I55" s="106">
        <f t="shared" si="17"/>
        <v>0.188743551952837</v>
      </c>
      <c r="J55" s="106">
        <f t="shared" si="17"/>
        <v>-0.104610616040294</v>
      </c>
      <c r="K55" s="106">
        <f t="shared" si="17"/>
        <v>0.322977066205106</v>
      </c>
      <c r="L55" s="106">
        <f t="shared" si="17"/>
        <v>-0.128278929809642</v>
      </c>
      <c r="M55" s="106">
        <f t="shared" si="17"/>
        <v>0.14895692630947</v>
      </c>
      <c r="N55" s="106">
        <f t="shared" si="17"/>
        <v>0.380445431389197</v>
      </c>
      <c r="O55" s="106">
        <f t="shared" si="17"/>
        <v>1.02851532929599</v>
      </c>
      <c r="P55" s="106">
        <f t="shared" si="17"/>
        <v>0.622931938882371</v>
      </c>
      <c r="Q55" s="106">
        <f t="shared" si="17"/>
        <v>0.413284217690829</v>
      </c>
      <c r="R55" s="106">
        <f t="shared" si="17"/>
        <v>0.298298985887353</v>
      </c>
      <c r="S55" s="106">
        <f t="shared" si="17"/>
        <v>0.223068381553058</v>
      </c>
    </row>
    <row r="56" ht="15" customHeight="1" spans="1:19">
      <c r="A56" s="104" t="s">
        <v>48</v>
      </c>
      <c r="B56" s="107"/>
      <c r="C56" s="106">
        <f t="shared" ref="C56:S56" si="18">IFERROR(C16/B16-1,"")</f>
        <v>0.229475766567755</v>
      </c>
      <c r="D56" s="106">
        <f t="shared" si="18"/>
        <v>0.564762670957361</v>
      </c>
      <c r="E56" s="106">
        <f t="shared" si="18"/>
        <v>0.204113110539846</v>
      </c>
      <c r="F56" s="106">
        <f t="shared" si="18"/>
        <v>0.291631084543126</v>
      </c>
      <c r="G56" s="106">
        <f t="shared" si="18"/>
        <v>0.426446280991736</v>
      </c>
      <c r="H56" s="106">
        <f t="shared" si="18"/>
        <v>0.330475086906141</v>
      </c>
      <c r="I56" s="106">
        <f t="shared" si="18"/>
        <v>0.195262149451315</v>
      </c>
      <c r="J56" s="106">
        <f t="shared" si="18"/>
        <v>0.161031769163509</v>
      </c>
      <c r="K56" s="106">
        <f t="shared" si="18"/>
        <v>0.0902472699887034</v>
      </c>
      <c r="L56" s="106">
        <f t="shared" si="18"/>
        <v>0.286898457287589</v>
      </c>
      <c r="M56" s="106">
        <f t="shared" si="18"/>
        <v>0.386473429951691</v>
      </c>
      <c r="N56" s="106">
        <f t="shared" si="18"/>
        <v>0.201187249967738</v>
      </c>
      <c r="O56" s="106">
        <f t="shared" si="18"/>
        <v>0.589844757198109</v>
      </c>
      <c r="P56" s="106">
        <f t="shared" si="18"/>
        <v>0.456435969732959</v>
      </c>
      <c r="Q56" s="106">
        <f t="shared" si="18"/>
        <v>0.327380416596683</v>
      </c>
      <c r="R56" s="106">
        <f t="shared" si="18"/>
        <v>0.299664420087816</v>
      </c>
      <c r="S56" s="106">
        <f t="shared" si="18"/>
        <v>0.179671634075804</v>
      </c>
    </row>
    <row r="57" ht="15" customHeight="1" spans="1:19">
      <c r="A57" s="104" t="s">
        <v>55</v>
      </c>
      <c r="B57" s="107"/>
      <c r="C57" s="106">
        <f t="shared" ref="C57:S57" si="19">IFERROR(C17/B17-1,"")</f>
        <v>-0.00784715114295464</v>
      </c>
      <c r="D57" s="106">
        <f t="shared" si="19"/>
        <v>-0.0161623108665749</v>
      </c>
      <c r="E57" s="106">
        <f t="shared" si="19"/>
        <v>-0.123033904229291</v>
      </c>
      <c r="F57" s="106">
        <f t="shared" si="19"/>
        <v>-0.0231167795934635</v>
      </c>
      <c r="G57" s="106">
        <f t="shared" si="19"/>
        <v>0.136270909832721</v>
      </c>
      <c r="H57" s="106">
        <f t="shared" si="19"/>
        <v>0.0481149012567326</v>
      </c>
      <c r="I57" s="106">
        <f t="shared" si="19"/>
        <v>0.0167865707434052</v>
      </c>
      <c r="J57" s="106">
        <f t="shared" si="19"/>
        <v>-0.0175202156334232</v>
      </c>
      <c r="K57" s="106">
        <f t="shared" si="19"/>
        <v>0.0706447187928669</v>
      </c>
      <c r="L57" s="106">
        <f t="shared" si="19"/>
        <v>0.956438180653427</v>
      </c>
      <c r="M57" s="106">
        <f t="shared" si="19"/>
        <v>0.00507531106745263</v>
      </c>
      <c r="N57" s="106">
        <f t="shared" si="19"/>
        <v>0.0057012542759407</v>
      </c>
      <c r="O57" s="106">
        <f t="shared" si="19"/>
        <v>0.480777453838678</v>
      </c>
      <c r="P57" s="106">
        <f t="shared" si="19"/>
        <v>0.476630658301175</v>
      </c>
      <c r="Q57" s="106">
        <f t="shared" si="19"/>
        <v>0.601173496258842</v>
      </c>
      <c r="R57" s="106">
        <f t="shared" si="19"/>
        <v>0.406614306261644</v>
      </c>
      <c r="S57" s="106">
        <f t="shared" si="19"/>
        <v>0.248888907891755</v>
      </c>
    </row>
  </sheetData>
  <mergeCells count="8">
    <mergeCell ref="A1:S1"/>
    <mergeCell ref="A3:S3"/>
    <mergeCell ref="A11:S11"/>
    <mergeCell ref="A19:S19"/>
    <mergeCell ref="A27:S27"/>
    <mergeCell ref="A35:S35"/>
    <mergeCell ref="A43:S43"/>
    <mergeCell ref="A51:S51"/>
  </mergeCells>
  <conditionalFormatting sqref="B37:S41">
    <cfRule type="colorScale" priority="2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conditionalFormatting sqref="B45:S49">
    <cfRule type="colorScale" priority="3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73"/>
  <sheetViews>
    <sheetView showGridLines="0" topLeftCell="A42" workbookViewId="0">
      <selection activeCell="A1" sqref="A1:S1"/>
    </sheetView>
  </sheetViews>
  <sheetFormatPr defaultColWidth="8.6796875" defaultRowHeight="14"/>
  <cols>
    <col min="1" max="1" width="28" customWidth="1"/>
    <col min="2" max="20" width="10" customWidth="1"/>
  </cols>
  <sheetData>
    <row r="1" ht="25.5" customHeight="1" spans="1:1">
      <c r="A1" s="108" t="s">
        <v>97</v>
      </c>
    </row>
    <row r="3" ht="15" customHeight="1" spans="1:1">
      <c r="A3" s="31" t="s">
        <v>98</v>
      </c>
    </row>
    <row r="4" ht="15" customHeight="1" spans="1:19">
      <c r="A4" s="33" t="s">
        <v>81</v>
      </c>
      <c r="B4" s="34" t="s">
        <v>3</v>
      </c>
      <c r="C4" s="34" t="s">
        <v>4</v>
      </c>
      <c r="D4" s="34" t="s">
        <v>5</v>
      </c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4" t="s">
        <v>13</v>
      </c>
      <c r="M4" s="34" t="s">
        <v>14</v>
      </c>
      <c r="N4" s="34" t="s">
        <v>15</v>
      </c>
      <c r="O4" s="34" t="s">
        <v>16</v>
      </c>
      <c r="P4" s="34" t="s">
        <v>17</v>
      </c>
      <c r="Q4" s="34" t="s">
        <v>18</v>
      </c>
      <c r="R4" s="34" t="s">
        <v>19</v>
      </c>
      <c r="S4" s="34" t="s">
        <v>20</v>
      </c>
    </row>
    <row r="5" ht="15" customHeight="1" spans="1:19">
      <c r="A5" s="104" t="s">
        <v>22</v>
      </c>
      <c r="B5" s="105">
        <f>'0. Database'!C13</f>
        <v>28833</v>
      </c>
      <c r="C5" s="105">
        <f>'0. Database'!D13</f>
        <v>32231</v>
      </c>
      <c r="D5" s="105">
        <f>'0. Database'!E13</f>
        <v>29080</v>
      </c>
      <c r="E5" s="105">
        <f>'0. Database'!F13</f>
        <v>33325</v>
      </c>
      <c r="F5" s="105">
        <f>'0. Database'!G13</f>
        <v>39507</v>
      </c>
      <c r="G5" s="105">
        <f>'0. Database'!H13</f>
        <v>43884</v>
      </c>
      <c r="H5" s="105">
        <f>'0. Database'!I13</f>
        <v>52185</v>
      </c>
      <c r="I5" s="105">
        <f>'0. Database'!J13</f>
        <v>60675</v>
      </c>
      <c r="J5" s="105">
        <f>'0. Database'!K13</f>
        <v>76740</v>
      </c>
      <c r="K5" s="105">
        <f>'0. Database'!L13</f>
        <v>89035</v>
      </c>
      <c r="L5" s="105">
        <f>'0. Database'!M13</f>
        <v>87582</v>
      </c>
      <c r="M5" s="105">
        <f>'0. Database'!N13</f>
        <v>118548</v>
      </c>
      <c r="N5" s="105">
        <f>'0. Database'!O13</f>
        <v>136162</v>
      </c>
      <c r="O5" s="105">
        <f>'0. Database'!P13</f>
        <v>174558.18</v>
      </c>
      <c r="P5" s="105">
        <f>'0. Database'!Q13</f>
        <v>232097.78</v>
      </c>
      <c r="Q5" s="105">
        <f>'0. Database'!R13</f>
        <v>294570.35</v>
      </c>
      <c r="R5" s="105">
        <f>'0. Database'!S13</f>
        <v>359672.36</v>
      </c>
      <c r="S5" s="105">
        <f>'0. Database'!T13</f>
        <v>438548.9</v>
      </c>
    </row>
    <row r="6" ht="15" customHeight="1" spans="1:19">
      <c r="A6" s="104" t="s">
        <v>38</v>
      </c>
      <c r="B6" s="105">
        <f>'0. Database'!C29</f>
        <v>5474</v>
      </c>
      <c r="C6" s="105">
        <f>'0. Database'!D29</f>
        <v>6841.4</v>
      </c>
      <c r="D6" s="105">
        <f>'0. Database'!E29</f>
        <v>11920.1</v>
      </c>
      <c r="E6" s="105">
        <f>'0. Database'!F29</f>
        <v>17271</v>
      </c>
      <c r="F6" s="105">
        <f>'0. Database'!G29</f>
        <v>18434</v>
      </c>
      <c r="G6" s="105">
        <f>'0. Database'!H29</f>
        <v>30724</v>
      </c>
      <c r="H6" s="105">
        <f>'0. Database'!I29</f>
        <v>38515</v>
      </c>
      <c r="I6" s="105">
        <f>'0. Database'!J29</f>
        <v>66064</v>
      </c>
      <c r="J6" s="105">
        <f>'0. Database'!K29</f>
        <v>46327</v>
      </c>
      <c r="K6" s="105">
        <f>'0. Database'!L29</f>
        <v>46752</v>
      </c>
      <c r="L6" s="105">
        <f>'0. Database'!M29</f>
        <v>84946</v>
      </c>
      <c r="M6" s="105">
        <f>'0. Database'!N29</f>
        <v>115877</v>
      </c>
      <c r="N6" s="105">
        <f>'0. Database'!O29</f>
        <v>139514</v>
      </c>
      <c r="O6" s="105">
        <f>'0. Database'!P29</f>
        <v>181004.31</v>
      </c>
      <c r="P6" s="105">
        <f>'0. Database'!Q29</f>
        <v>224443.7</v>
      </c>
      <c r="Q6" s="105">
        <f>'0. Database'!R29</f>
        <v>281471.71</v>
      </c>
      <c r="R6" s="105">
        <f>'0. Database'!S29</f>
        <v>342814.42</v>
      </c>
      <c r="S6" s="105">
        <f>'0. Database'!T29</f>
        <v>401080.41</v>
      </c>
    </row>
    <row r="7" ht="15" customHeight="1" spans="1:19">
      <c r="A7" s="104" t="s">
        <v>42</v>
      </c>
      <c r="B7" s="105">
        <f>'0. Database'!C44</f>
        <v>18584</v>
      </c>
      <c r="C7" s="105">
        <f>'0. Database'!D44</f>
        <v>22272</v>
      </c>
      <c r="D7" s="105">
        <f>'0. Database'!E44</f>
        <v>25829</v>
      </c>
      <c r="E7" s="105">
        <f>'0. Database'!F44</f>
        <v>36036</v>
      </c>
      <c r="F7" s="105">
        <f>'0. Database'!G44</f>
        <v>37091</v>
      </c>
      <c r="G7" s="105">
        <f>'0. Database'!H44</f>
        <v>47971</v>
      </c>
      <c r="H7" s="105">
        <f>'0. Database'!I44</f>
        <v>54520</v>
      </c>
      <c r="I7" s="105">
        <f>'0. Database'!J44</f>
        <v>65124</v>
      </c>
      <c r="J7" s="105">
        <f>'0. Database'!K44</f>
        <v>91652</v>
      </c>
      <c r="K7" s="105">
        <f>'0. Database'!L44</f>
        <v>91495</v>
      </c>
      <c r="L7" s="105">
        <f>'0. Database'!M44</f>
        <v>101746</v>
      </c>
      <c r="M7" s="105">
        <f>'0. Database'!N44</f>
        <v>125299</v>
      </c>
      <c r="N7" s="105">
        <f>'0. Database'!O44</f>
        <v>164713</v>
      </c>
      <c r="O7" s="105">
        <f>'0. Database'!P44</f>
        <v>211985.47</v>
      </c>
      <c r="P7" s="105">
        <f>'0. Database'!Q44</f>
        <v>282346.21</v>
      </c>
      <c r="Q7" s="105">
        <f>'0. Database'!R44</f>
        <v>352943.8</v>
      </c>
      <c r="R7" s="105">
        <f>'0. Database'!S44</f>
        <v>424226.82</v>
      </c>
      <c r="S7" s="105">
        <f>'0. Database'!T44</f>
        <v>490867.35</v>
      </c>
    </row>
    <row r="8" ht="15" customHeight="1" spans="1:19">
      <c r="A8" s="104" t="s">
        <v>48</v>
      </c>
      <c r="B8" s="105">
        <f>'0. Database'!C61</f>
        <v>4222</v>
      </c>
      <c r="C8" s="105">
        <f>'0. Database'!D61</f>
        <v>5507.8</v>
      </c>
      <c r="D8" s="105">
        <f>'0. Database'!E61</f>
        <v>8607</v>
      </c>
      <c r="E8" s="105">
        <f>'0. Database'!F61</f>
        <v>16061</v>
      </c>
      <c r="F8" s="105">
        <f>'0. Database'!G61</f>
        <v>24216</v>
      </c>
      <c r="G8" s="105">
        <f>'0. Database'!H61</f>
        <v>29339</v>
      </c>
      <c r="H8" s="105">
        <f>'0. Database'!I61</f>
        <v>36312.5</v>
      </c>
      <c r="I8" s="105">
        <f>'0. Database'!J61</f>
        <v>38747</v>
      </c>
      <c r="J8" s="105">
        <f>'0. Database'!K61</f>
        <v>57683</v>
      </c>
      <c r="K8" s="105">
        <f>'0. Database'!L61</f>
        <v>50475</v>
      </c>
      <c r="L8" s="105">
        <f>'0. Database'!M61</f>
        <v>71113</v>
      </c>
      <c r="M8" s="105">
        <f>'0. Database'!N61</f>
        <v>91328</v>
      </c>
      <c r="N8" s="105">
        <f>'0. Database'!O61</f>
        <v>115800</v>
      </c>
      <c r="O8" s="105">
        <f>'0. Database'!P61</f>
        <v>180250.64</v>
      </c>
      <c r="P8" s="105">
        <f>'0. Database'!Q61</f>
        <v>206102.96</v>
      </c>
      <c r="Q8" s="105">
        <f>'0. Database'!R61</f>
        <v>243250.01</v>
      </c>
      <c r="R8" s="105">
        <f>'0. Database'!S61</f>
        <v>279015.98</v>
      </c>
      <c r="S8" s="105">
        <f>'0. Database'!T61</f>
        <v>314478.51</v>
      </c>
    </row>
    <row r="9" ht="15" customHeight="1" spans="1:19">
      <c r="A9" s="104" t="s">
        <v>55</v>
      </c>
      <c r="B9" s="105">
        <f>'0. Database'!C79</f>
        <v>14225</v>
      </c>
      <c r="C9" s="105">
        <f>'0. Database'!D79</f>
        <v>14921</v>
      </c>
      <c r="D9" s="105">
        <f>'0. Database'!E79</f>
        <v>14336</v>
      </c>
      <c r="E9" s="105">
        <f>'0. Database'!F79</f>
        <v>13560</v>
      </c>
      <c r="F9" s="105">
        <f>'0. Database'!G79</f>
        <v>14125</v>
      </c>
      <c r="G9" s="105">
        <f>'0. Database'!H79</f>
        <v>15386</v>
      </c>
      <c r="H9" s="105">
        <f>'0. Database'!I79</f>
        <v>14551</v>
      </c>
      <c r="I9" s="105">
        <f>'0. Database'!J79</f>
        <v>13139</v>
      </c>
      <c r="J9" s="105">
        <f>'0. Database'!K79</f>
        <v>15888</v>
      </c>
      <c r="K9" s="105">
        <f>'0. Database'!L79</f>
        <v>9540</v>
      </c>
      <c r="L9" s="105">
        <f>'0. Database'!M79</f>
        <v>17166</v>
      </c>
      <c r="M9" s="105">
        <f>'0. Database'!N79</f>
        <v>18673</v>
      </c>
      <c r="N9" s="105">
        <f>'0. Database'!O79</f>
        <v>20821</v>
      </c>
      <c r="O9" s="105">
        <f>'0. Database'!P79</f>
        <v>25457.17</v>
      </c>
      <c r="P9" s="105">
        <f>'0. Database'!Q79</f>
        <v>33694.38</v>
      </c>
      <c r="Q9" s="105">
        <f>'0. Database'!R79</f>
        <v>50132.95</v>
      </c>
      <c r="R9" s="105">
        <f>'0. Database'!S79</f>
        <v>66529.01</v>
      </c>
      <c r="S9" s="105">
        <f>'0. Database'!T79</f>
        <v>84964.12</v>
      </c>
    </row>
    <row r="11" ht="15" customHeight="1" spans="1:1">
      <c r="A11" s="31" t="s">
        <v>99</v>
      </c>
    </row>
    <row r="12" ht="15" customHeight="1" spans="1:19">
      <c r="A12" s="33" t="s">
        <v>81</v>
      </c>
      <c r="B12" s="34" t="s">
        <v>3</v>
      </c>
      <c r="C12" s="34" t="s">
        <v>4</v>
      </c>
      <c r="D12" s="34" t="s">
        <v>5</v>
      </c>
      <c r="E12" s="34" t="s">
        <v>6</v>
      </c>
      <c r="F12" s="34" t="s">
        <v>7</v>
      </c>
      <c r="G12" s="34" t="s">
        <v>8</v>
      </c>
      <c r="H12" s="34" t="s">
        <v>9</v>
      </c>
      <c r="I12" s="34" t="s">
        <v>10</v>
      </c>
      <c r="J12" s="34" t="s">
        <v>11</v>
      </c>
      <c r="K12" s="34" t="s">
        <v>12</v>
      </c>
      <c r="L12" s="34" t="s">
        <v>13</v>
      </c>
      <c r="M12" s="34" t="s">
        <v>14</v>
      </c>
      <c r="N12" s="34" t="s">
        <v>15</v>
      </c>
      <c r="O12" s="34" t="s">
        <v>16</v>
      </c>
      <c r="P12" s="34" t="s">
        <v>17</v>
      </c>
      <c r="Q12" s="34" t="s">
        <v>18</v>
      </c>
      <c r="R12" s="34" t="s">
        <v>19</v>
      </c>
      <c r="S12" s="34" t="s">
        <v>20</v>
      </c>
    </row>
    <row r="13" ht="15" customHeight="1" spans="1:19">
      <c r="A13" s="104" t="s">
        <v>22</v>
      </c>
      <c r="B13" s="105">
        <f>'0. Database'!C14</f>
        <v>24576</v>
      </c>
      <c r="C13" s="105">
        <f>'0. Database'!D14</f>
        <v>26746</v>
      </c>
      <c r="D13" s="105">
        <f>'0. Database'!E14</f>
        <v>23136</v>
      </c>
      <c r="E13" s="105">
        <f>'0. Database'!F14</f>
        <v>24393</v>
      </c>
      <c r="F13" s="105">
        <f>'0. Database'!G14</f>
        <v>29307</v>
      </c>
      <c r="G13" s="105">
        <f>'0. Database'!H14</f>
        <v>30284</v>
      </c>
      <c r="H13" s="105">
        <f>'0. Database'!I14</f>
        <v>35285</v>
      </c>
      <c r="I13" s="105">
        <f>'0. Database'!J14</f>
        <v>41675</v>
      </c>
      <c r="J13" s="105">
        <f>'0. Database'!K14</f>
        <v>52540</v>
      </c>
      <c r="K13" s="105">
        <f>'0. Database'!L14</f>
        <v>59835</v>
      </c>
      <c r="L13" s="105">
        <f>'0. Database'!M14</f>
        <v>55682</v>
      </c>
      <c r="M13" s="105">
        <f>'0. Database'!N14</f>
        <v>62848</v>
      </c>
      <c r="N13" s="105">
        <f>'0. Database'!O14</f>
        <v>47962</v>
      </c>
      <c r="O13" s="105">
        <f>'0. Database'!P14</f>
        <v>28686.88</v>
      </c>
      <c r="P13" s="105">
        <f>'0. Database'!Q14</f>
        <v>-13165.67</v>
      </c>
      <c r="Q13" s="105">
        <f>'0. Database'!R14</f>
        <v>7810</v>
      </c>
      <c r="R13" s="105">
        <f>'0. Database'!S14</f>
        <v>59461.45</v>
      </c>
      <c r="S13" s="105">
        <f>'0. Database'!T14</f>
        <v>133932.86</v>
      </c>
    </row>
    <row r="14" ht="15" customHeight="1" spans="1:19">
      <c r="A14" s="104" t="s">
        <v>38</v>
      </c>
      <c r="B14" s="105">
        <f>'0. Database'!C30</f>
        <v>2031</v>
      </c>
      <c r="C14" s="105">
        <f>'0. Database'!D30</f>
        <v>1949.4</v>
      </c>
      <c r="D14" s="105">
        <f>'0. Database'!E30</f>
        <v>7332.1</v>
      </c>
      <c r="E14" s="105">
        <f>'0. Database'!F30</f>
        <v>10535</v>
      </c>
      <c r="F14" s="105">
        <f>'0. Database'!G30</f>
        <v>8377</v>
      </c>
      <c r="G14" s="105">
        <f>'0. Database'!H30</f>
        <v>19402</v>
      </c>
      <c r="H14" s="105">
        <f>'0. Database'!I30</f>
        <v>25825</v>
      </c>
      <c r="I14" s="105">
        <f>'0. Database'!J30</f>
        <v>31018</v>
      </c>
      <c r="J14" s="105">
        <f>'0. Database'!K30</f>
        <v>-9069</v>
      </c>
      <c r="K14" s="105">
        <f>'0. Database'!L30</f>
        <v>-11569</v>
      </c>
      <c r="L14" s="105">
        <f>'0. Database'!M30</f>
        <v>36813</v>
      </c>
      <c r="M14" s="105">
        <f>'0. Database'!N30</f>
        <v>38219</v>
      </c>
      <c r="N14" s="105">
        <f>'0. Database'!O30</f>
        <v>11194</v>
      </c>
      <c r="O14" s="105">
        <f>'0. Database'!P30</f>
        <v>-19100.67</v>
      </c>
      <c r="P14" s="105">
        <f>'0. Database'!Q30</f>
        <v>-45698.02</v>
      </c>
      <c r="Q14" s="105">
        <f>'0. Database'!R30</f>
        <v>-2177.1</v>
      </c>
      <c r="R14" s="105">
        <f>'0. Database'!S30</f>
        <v>44983.17</v>
      </c>
      <c r="S14" s="105">
        <f>'0. Database'!T30</f>
        <v>88357.6</v>
      </c>
    </row>
    <row r="15" ht="15" customHeight="1" spans="1:19">
      <c r="A15" s="104" t="s">
        <v>42</v>
      </c>
      <c r="B15" s="105">
        <f>'0. Database'!C45</f>
        <v>11226</v>
      </c>
      <c r="C15" s="105">
        <f>'0. Database'!D45</f>
        <v>11313</v>
      </c>
      <c r="D15" s="105">
        <f>'0. Database'!E45</f>
        <v>15914</v>
      </c>
      <c r="E15" s="105">
        <f>'0. Database'!F45</f>
        <v>25853</v>
      </c>
      <c r="F15" s="105">
        <f>'0. Database'!G45</f>
        <v>23907</v>
      </c>
      <c r="G15" s="105">
        <f>'0. Database'!H45</f>
        <v>22832</v>
      </c>
      <c r="H15" s="105">
        <f>'0. Database'!I45</f>
        <v>30972</v>
      </c>
      <c r="I15" s="105">
        <f>'0. Database'!J45</f>
        <v>42843</v>
      </c>
      <c r="J15" s="105">
        <f>'0. Database'!K45</f>
        <v>67012</v>
      </c>
      <c r="K15" s="105">
        <f>'0. Database'!L45</f>
        <v>60010</v>
      </c>
      <c r="L15" s="105">
        <f>'0. Database'!M45</f>
        <v>69495</v>
      </c>
      <c r="M15" s="105">
        <f>'0. Database'!N45</f>
        <v>72764</v>
      </c>
      <c r="N15" s="105">
        <f>'0. Database'!O45</f>
        <v>73266</v>
      </c>
      <c r="O15" s="105">
        <f>'0. Database'!P45</f>
        <v>26751.19</v>
      </c>
      <c r="P15" s="105">
        <f>'0. Database'!Q45</f>
        <v>23018.22</v>
      </c>
      <c r="Q15" s="105">
        <f>'0. Database'!R45</f>
        <v>67683.01</v>
      </c>
      <c r="R15" s="105">
        <f>'0. Database'!S45</f>
        <v>124702.99</v>
      </c>
      <c r="S15" s="105">
        <f>'0. Database'!T45</f>
        <v>176367.33</v>
      </c>
    </row>
    <row r="16" ht="15" customHeight="1" spans="1:19">
      <c r="A16" s="104" t="s">
        <v>48</v>
      </c>
      <c r="B16" s="105">
        <f>'0. Database'!C62</f>
        <v>2860</v>
      </c>
      <c r="C16" s="105">
        <f>'0. Database'!D62</f>
        <v>3676.8</v>
      </c>
      <c r="D16" s="105">
        <f>'0. Database'!E62</f>
        <v>6084</v>
      </c>
      <c r="E16" s="105">
        <f>'0. Database'!F62</f>
        <v>11570</v>
      </c>
      <c r="F16" s="105">
        <f>'0. Database'!G62</f>
        <v>17484</v>
      </c>
      <c r="G16" s="105">
        <f>'0. Database'!H62</f>
        <v>15359</v>
      </c>
      <c r="H16" s="105">
        <f>'0. Database'!I62</f>
        <v>21210.5</v>
      </c>
      <c r="I16" s="105">
        <f>'0. Database'!J62</f>
        <v>23632</v>
      </c>
      <c r="J16" s="105">
        <f>'0. Database'!K62</f>
        <v>39116</v>
      </c>
      <c r="K16" s="105">
        <f>'0. Database'!L62</f>
        <v>19289</v>
      </c>
      <c r="L16" s="105">
        <f>'0. Database'!M62</f>
        <v>44068</v>
      </c>
      <c r="M16" s="105">
        <f>'0. Database'!N62</f>
        <v>54072</v>
      </c>
      <c r="N16" s="105">
        <f>'0. Database'!O62</f>
        <v>46109</v>
      </c>
      <c r="O16" s="105">
        <f>'0. Database'!P62</f>
        <v>44666.93</v>
      </c>
      <c r="P16" s="105">
        <f>'0. Database'!Q62</f>
        <v>40388.52</v>
      </c>
      <c r="Q16" s="105">
        <f>'0. Database'!R62</f>
        <v>57649.84</v>
      </c>
      <c r="R16" s="105">
        <f>'0. Database'!S62</f>
        <v>82279.8</v>
      </c>
      <c r="S16" s="105">
        <f>'0. Database'!T62</f>
        <v>105938.16</v>
      </c>
    </row>
    <row r="17" ht="15" customHeight="1" spans="1:19">
      <c r="A17" s="104" t="s">
        <v>55</v>
      </c>
      <c r="B17" s="105">
        <f>'0. Database'!C80</f>
        <v>13575</v>
      </c>
      <c r="C17" s="105">
        <f>'0. Database'!D80</f>
        <v>14341</v>
      </c>
      <c r="D17" s="105">
        <f>'0. Database'!E80</f>
        <v>12945</v>
      </c>
      <c r="E17" s="105">
        <f>'0. Database'!F80</f>
        <v>12371</v>
      </c>
      <c r="F17" s="105">
        <f>'0. Database'!G80</f>
        <v>12104</v>
      </c>
      <c r="G17" s="105">
        <f>'0. Database'!H80</f>
        <v>13650</v>
      </c>
      <c r="H17" s="105">
        <f>'0. Database'!I80</f>
        <v>12891</v>
      </c>
      <c r="I17" s="105">
        <f>'0. Database'!J80</f>
        <v>11575</v>
      </c>
      <c r="J17" s="105">
        <f>'0. Database'!K80</f>
        <v>13753</v>
      </c>
      <c r="K17" s="105">
        <f>'0. Database'!L80</f>
        <v>5029</v>
      </c>
      <c r="L17" s="105">
        <f>'0. Database'!M80</f>
        <v>8471</v>
      </c>
      <c r="M17" s="105">
        <f>'0. Database'!N80</f>
        <v>11807</v>
      </c>
      <c r="N17" s="105">
        <f>'0. Database'!O80</f>
        <v>-394</v>
      </c>
      <c r="O17" s="105">
        <f>'0. Database'!P80</f>
        <v>-26424.83</v>
      </c>
      <c r="P17" s="105">
        <f>'0. Database'!Q80</f>
        <v>-18447.03</v>
      </c>
      <c r="Q17" s="105">
        <f>'0. Database'!R80</f>
        <v>-19736.54</v>
      </c>
      <c r="R17" s="105">
        <f>'0. Database'!S80</f>
        <v>-14519.6</v>
      </c>
      <c r="S17" s="105">
        <f>'0. Database'!T80</f>
        <v>18504.26</v>
      </c>
    </row>
    <row r="19" ht="15" customHeight="1" spans="1:1">
      <c r="A19" s="31" t="s">
        <v>100</v>
      </c>
    </row>
    <row r="20" ht="15" customHeight="1" spans="1:19">
      <c r="A20" s="33" t="s">
        <v>81</v>
      </c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8</v>
      </c>
      <c r="H20" s="34" t="s">
        <v>9</v>
      </c>
      <c r="I20" s="34" t="s">
        <v>10</v>
      </c>
      <c r="J20" s="34" t="s">
        <v>11</v>
      </c>
      <c r="K20" s="34" t="s">
        <v>12</v>
      </c>
      <c r="L20" s="34" t="s">
        <v>13</v>
      </c>
      <c r="M20" s="34" t="s">
        <v>14</v>
      </c>
      <c r="N20" s="34" t="s">
        <v>15</v>
      </c>
      <c r="O20" s="34" t="s">
        <v>16</v>
      </c>
      <c r="P20" s="34" t="s">
        <v>17</v>
      </c>
      <c r="Q20" s="34" t="s">
        <v>18</v>
      </c>
      <c r="R20" s="34" t="s">
        <v>19</v>
      </c>
      <c r="S20" s="34" t="s">
        <v>20</v>
      </c>
    </row>
    <row r="21" ht="15" customHeight="1" spans="1:19">
      <c r="A21" s="104" t="s">
        <v>22</v>
      </c>
      <c r="B21" s="105">
        <f>'0. Database'!C15</f>
        <v>5360</v>
      </c>
      <c r="C21" s="105">
        <f>'0. Database'!D15</f>
        <v>7316</v>
      </c>
      <c r="D21" s="105">
        <f>'0. Database'!E15</f>
        <v>14443</v>
      </c>
      <c r="E21" s="105">
        <f>'0. Database'!F15</f>
        <v>15969</v>
      </c>
      <c r="F21" s="105">
        <f>'0. Database'!G15</f>
        <v>11788</v>
      </c>
      <c r="G21" s="105">
        <f>'0. Database'!H15</f>
        <v>10721</v>
      </c>
      <c r="H21" s="105">
        <f>'0. Database'!I15</f>
        <v>19543</v>
      </c>
      <c r="I21" s="105">
        <f>'0. Database'!J15</f>
        <v>22968</v>
      </c>
      <c r="J21" s="105">
        <f>'0. Database'!K15</f>
        <v>27385</v>
      </c>
      <c r="K21" s="105">
        <f>'0. Database'!L15</f>
        <v>32696</v>
      </c>
      <c r="L21" s="105">
        <f>'0. Database'!M15</f>
        <v>22245</v>
      </c>
      <c r="M21" s="105">
        <f>'0. Database'!N15</f>
        <v>17254</v>
      </c>
      <c r="N21" s="105">
        <f>'0. Database'!O15</f>
        <v>18420</v>
      </c>
      <c r="O21" s="105">
        <f>'0. Database'!P15</f>
        <v>22499.7</v>
      </c>
      <c r="P21" s="105">
        <f>'0. Database'!Q15</f>
        <v>19070.28</v>
      </c>
      <c r="Q21" s="105">
        <f>'0. Database'!R15</f>
        <v>19500.41</v>
      </c>
      <c r="R21" s="105">
        <f>'0. Database'!S15</f>
        <v>20126.95</v>
      </c>
      <c r="S21" s="105">
        <f>'0. Database'!T15</f>
        <v>21047.23</v>
      </c>
    </row>
    <row r="22" ht="15" customHeight="1" spans="1:19">
      <c r="A22" s="104" t="s">
        <v>38</v>
      </c>
      <c r="B22" s="105">
        <f>'0. Database'!C31</f>
        <v>0</v>
      </c>
      <c r="C22" s="105">
        <f>'0. Database'!D31</f>
        <v>0</v>
      </c>
      <c r="D22" s="105">
        <f>'0. Database'!E31</f>
        <v>0</v>
      </c>
      <c r="E22" s="105">
        <f>'0. Database'!F31</f>
        <v>0</v>
      </c>
      <c r="F22" s="105">
        <f>'0. Database'!G31</f>
        <v>0</v>
      </c>
      <c r="G22" s="105">
        <f>'0. Database'!H31</f>
        <v>0</v>
      </c>
      <c r="H22" s="105">
        <f>'0. Database'!I31</f>
        <v>0</v>
      </c>
      <c r="I22" s="105">
        <f>'0. Database'!J31</f>
        <v>0</v>
      </c>
      <c r="J22" s="105">
        <f>'0. Database'!K31</f>
        <v>0</v>
      </c>
      <c r="K22" s="105">
        <f>'0. Database'!L31</f>
        <v>6000</v>
      </c>
      <c r="L22" s="105">
        <f>'0. Database'!M31</f>
        <v>0</v>
      </c>
      <c r="M22" s="105">
        <f>'0. Database'!N31</f>
        <v>0</v>
      </c>
      <c r="N22" s="105">
        <f>'0. Database'!O31</f>
        <v>0</v>
      </c>
      <c r="O22" s="105">
        <f>'0. Database'!P31</f>
        <v>0</v>
      </c>
      <c r="P22" s="105">
        <f>'0. Database'!Q31</f>
        <v>0</v>
      </c>
      <c r="Q22" s="105">
        <f>'0. Database'!R31</f>
        <v>0</v>
      </c>
      <c r="R22" s="105">
        <f>'0. Database'!S31</f>
        <v>0</v>
      </c>
      <c r="S22" s="105">
        <f>'0. Database'!T31</f>
        <v>0</v>
      </c>
    </row>
    <row r="23" ht="15" customHeight="1" spans="1:19">
      <c r="A23" s="104" t="s">
        <v>42</v>
      </c>
      <c r="B23" s="105">
        <f>'0. Database'!C46</f>
        <v>0</v>
      </c>
      <c r="C23" s="105">
        <f>'0. Database'!D46</f>
        <v>0</v>
      </c>
      <c r="D23" s="105">
        <f>'0. Database'!E46</f>
        <v>1827</v>
      </c>
      <c r="E23" s="105">
        <f>'0. Database'!F46</f>
        <v>3693</v>
      </c>
      <c r="F23" s="105">
        <f>'0. Database'!G46</f>
        <v>4846</v>
      </c>
      <c r="G23" s="105">
        <f>'0. Database'!H46</f>
        <v>9075</v>
      </c>
      <c r="H23" s="105">
        <f>'0. Database'!I46</f>
        <v>18396</v>
      </c>
      <c r="I23" s="105">
        <f>'0. Database'!J46</f>
        <v>31149</v>
      </c>
      <c r="J23" s="105">
        <f>'0. Database'!K46</f>
        <v>50274</v>
      </c>
      <c r="K23" s="105">
        <f>'0. Database'!L46</f>
        <v>59296</v>
      </c>
      <c r="L23" s="105">
        <f>'0. Database'!M46</f>
        <v>61504</v>
      </c>
      <c r="M23" s="105">
        <f>'0. Database'!N46</f>
        <v>62222</v>
      </c>
      <c r="N23" s="105">
        <f>'0. Database'!O46</f>
        <v>45709</v>
      </c>
      <c r="O23" s="105">
        <f>'0. Database'!P46</f>
        <v>0</v>
      </c>
      <c r="P23" s="105">
        <f>'0. Database'!Q46</f>
        <v>20000</v>
      </c>
      <c r="Q23" s="105">
        <f>'0. Database'!R46</f>
        <v>20000</v>
      </c>
      <c r="R23" s="105">
        <f>'0. Database'!S46</f>
        <v>20000</v>
      </c>
      <c r="S23" s="105">
        <f>'0. Database'!T46</f>
        <v>15000</v>
      </c>
    </row>
    <row r="24" ht="15" customHeight="1" spans="1:19">
      <c r="A24" s="104" t="s">
        <v>48</v>
      </c>
      <c r="B24" s="105">
        <f>'0. Database'!C63</f>
        <v>0</v>
      </c>
      <c r="C24" s="105">
        <f>'0. Database'!D63</f>
        <v>0</v>
      </c>
      <c r="D24" s="105">
        <f>'0. Database'!E63</f>
        <v>0</v>
      </c>
      <c r="E24" s="105">
        <f>'0. Database'!F63</f>
        <v>0</v>
      </c>
      <c r="F24" s="105">
        <f>'0. Database'!G63</f>
        <v>1976</v>
      </c>
      <c r="G24" s="105">
        <f>'0. Database'!H63</f>
        <v>12879</v>
      </c>
      <c r="H24" s="105">
        <f>'0. Database'!I63</f>
        <v>4201</v>
      </c>
      <c r="I24" s="105">
        <f>'0. Database'!J63</f>
        <v>6272</v>
      </c>
      <c r="J24" s="105">
        <f>'0. Database'!K63</f>
        <v>44538</v>
      </c>
      <c r="K24" s="105">
        <f>'0. Database'!L63</f>
        <v>27956</v>
      </c>
      <c r="L24" s="105">
        <f>'0. Database'!M63</f>
        <v>19775</v>
      </c>
      <c r="M24" s="105">
        <f>'0. Database'!N63</f>
        <v>30125</v>
      </c>
      <c r="N24" s="105">
        <f>'0. Database'!O63</f>
        <v>26248</v>
      </c>
      <c r="O24" s="105">
        <f>'0. Database'!P63</f>
        <v>0</v>
      </c>
      <c r="P24" s="105">
        <f>'0. Database'!Q63</f>
        <v>6000</v>
      </c>
      <c r="Q24" s="105">
        <f>'0. Database'!R63</f>
        <v>6000</v>
      </c>
      <c r="R24" s="105">
        <f>'0. Database'!S63</f>
        <v>6000</v>
      </c>
      <c r="S24" s="105">
        <f>'0. Database'!T63</f>
        <v>6000</v>
      </c>
    </row>
    <row r="25" ht="15" customHeight="1" spans="1:19">
      <c r="A25" s="104" t="s">
        <v>55</v>
      </c>
      <c r="B25" s="105">
        <f>'0. Database'!C81</f>
        <v>11021</v>
      </c>
      <c r="C25" s="105">
        <f>'0. Database'!D81</f>
        <v>9813</v>
      </c>
      <c r="D25" s="105">
        <f>'0. Database'!E81</f>
        <v>8087</v>
      </c>
      <c r="E25" s="105">
        <f>'0. Database'!F81</f>
        <v>10440</v>
      </c>
      <c r="F25" s="105">
        <f>'0. Database'!G81</f>
        <v>3561</v>
      </c>
      <c r="G25" s="105">
        <f>'0. Database'!H81</f>
        <v>11347</v>
      </c>
      <c r="H25" s="105">
        <f>'0. Database'!I81</f>
        <v>36140</v>
      </c>
      <c r="I25" s="105">
        <f>'0. Database'!J81</f>
        <v>19240</v>
      </c>
      <c r="J25" s="105">
        <f>'0. Database'!K81</f>
        <v>20934</v>
      </c>
      <c r="K25" s="105">
        <f>'0. Database'!L81</f>
        <v>16248</v>
      </c>
      <c r="L25" s="105">
        <f>'0. Database'!M81</f>
        <v>1300</v>
      </c>
      <c r="M25" s="105">
        <f>'0. Database'!N81</f>
        <v>1202</v>
      </c>
      <c r="N25" s="105">
        <f>'0. Database'!O81</f>
        <v>600</v>
      </c>
      <c r="O25" s="105">
        <f>'0. Database'!P81</f>
        <v>95</v>
      </c>
      <c r="P25" s="105">
        <f>'0. Database'!Q81</f>
        <v>0</v>
      </c>
      <c r="Q25" s="105">
        <f>'0. Database'!R81</f>
        <v>0</v>
      </c>
      <c r="R25" s="105">
        <f>'0. Database'!S81</f>
        <v>0</v>
      </c>
      <c r="S25" s="105">
        <f>'0. Database'!T81</f>
        <v>0</v>
      </c>
    </row>
    <row r="27" ht="15" customHeight="1" spans="1:1">
      <c r="A27" s="31" t="s">
        <v>101</v>
      </c>
    </row>
    <row r="28" ht="15" customHeight="1" spans="1:19">
      <c r="A28" s="33" t="s">
        <v>81</v>
      </c>
      <c r="B28" s="34" t="s">
        <v>3</v>
      </c>
      <c r="C28" s="34" t="s">
        <v>4</v>
      </c>
      <c r="D28" s="34" t="s">
        <v>5</v>
      </c>
      <c r="E28" s="34" t="s">
        <v>6</v>
      </c>
      <c r="F28" s="34" t="s">
        <v>7</v>
      </c>
      <c r="G28" s="34" t="s">
        <v>8</v>
      </c>
      <c r="H28" s="34" t="s">
        <v>9</v>
      </c>
      <c r="I28" s="34" t="s">
        <v>10</v>
      </c>
      <c r="J28" s="34" t="s">
        <v>11</v>
      </c>
      <c r="K28" s="34" t="s">
        <v>12</v>
      </c>
      <c r="L28" s="34" t="s">
        <v>13</v>
      </c>
      <c r="M28" s="34" t="s">
        <v>14</v>
      </c>
      <c r="N28" s="34" t="s">
        <v>15</v>
      </c>
      <c r="O28" s="34" t="s">
        <v>16</v>
      </c>
      <c r="P28" s="34" t="s">
        <v>17</v>
      </c>
      <c r="Q28" s="34" t="s">
        <v>18</v>
      </c>
      <c r="R28" s="34" t="s">
        <v>19</v>
      </c>
      <c r="S28" s="34" t="s">
        <v>20</v>
      </c>
    </row>
    <row r="29" ht="15" customHeight="1" spans="1:19">
      <c r="A29" s="104" t="s">
        <v>22</v>
      </c>
      <c r="B29" s="105">
        <f>'0. Database'!C5</f>
        <v>77849</v>
      </c>
      <c r="C29" s="105">
        <f>'0. Database'!D5</f>
        <v>86833</v>
      </c>
      <c r="D29" s="105">
        <f>'0. Database'!E5</f>
        <v>93580</v>
      </c>
      <c r="E29" s="105">
        <f>'0. Database'!F5</f>
        <v>91963</v>
      </c>
      <c r="F29" s="105">
        <f>'0. Database'!G5</f>
        <v>96657</v>
      </c>
      <c r="G29" s="105">
        <f>'0. Database'!H5</f>
        <v>110360</v>
      </c>
      <c r="H29" s="105">
        <f>'0. Database'!I5</f>
        <v>125843</v>
      </c>
      <c r="I29" s="105">
        <f>'0. Database'!J5</f>
        <v>143015</v>
      </c>
      <c r="J29" s="105">
        <f>'0. Database'!K5</f>
        <v>168088</v>
      </c>
      <c r="K29" s="105">
        <f>'0. Database'!L5</f>
        <v>198270</v>
      </c>
      <c r="L29" s="105">
        <f>'0. Database'!M5</f>
        <v>211915</v>
      </c>
      <c r="M29" s="105">
        <f>'0. Database'!N5</f>
        <v>245122</v>
      </c>
      <c r="N29" s="105">
        <f>'0. Database'!O5</f>
        <v>281724</v>
      </c>
      <c r="O29" s="105">
        <f>'0. Database'!P5</f>
        <v>329213.24</v>
      </c>
      <c r="P29" s="105">
        <f>'0. Database'!Q5</f>
        <v>383408.94</v>
      </c>
      <c r="Q29" s="105">
        <f>'0. Database'!R5</f>
        <v>450123.14</v>
      </c>
      <c r="R29" s="105">
        <f>'0. Database'!S5</f>
        <v>533860.75</v>
      </c>
      <c r="S29" s="105">
        <f>'0. Database'!T5</f>
        <v>624709.64</v>
      </c>
    </row>
    <row r="30" ht="15" customHeight="1" spans="1:19">
      <c r="A30" s="104" t="s">
        <v>38</v>
      </c>
      <c r="B30" s="105">
        <f>'0. Database'!C21</f>
        <v>74452</v>
      </c>
      <c r="C30" s="105">
        <f>'0. Database'!D21</f>
        <v>88988</v>
      </c>
      <c r="D30" s="105">
        <f>'0. Database'!E21</f>
        <v>107006</v>
      </c>
      <c r="E30" s="105">
        <f>'0. Database'!F21</f>
        <v>135987</v>
      </c>
      <c r="F30" s="105">
        <f>'0. Database'!G21</f>
        <v>177866</v>
      </c>
      <c r="G30" s="105">
        <f>'0. Database'!H21</f>
        <v>232887</v>
      </c>
      <c r="H30" s="105">
        <f>'0. Database'!I21</f>
        <v>280522</v>
      </c>
      <c r="I30" s="105">
        <f>'0. Database'!J21</f>
        <v>386064</v>
      </c>
      <c r="J30" s="105">
        <f>'0. Database'!K21</f>
        <v>469822</v>
      </c>
      <c r="K30" s="105">
        <f>'0. Database'!L21</f>
        <v>513983</v>
      </c>
      <c r="L30" s="105">
        <f>'0. Database'!M21</f>
        <v>574785</v>
      </c>
      <c r="M30" s="105">
        <f>'0. Database'!N21</f>
        <v>637959</v>
      </c>
      <c r="N30" s="105">
        <f>'0. Database'!O21</f>
        <v>716924</v>
      </c>
      <c r="O30" s="105">
        <f>'0. Database'!P21</f>
        <v>824745.86</v>
      </c>
      <c r="P30" s="105">
        <f>'0. Database'!Q21</f>
        <v>933246.82</v>
      </c>
      <c r="Q30" s="105">
        <f>'0. Database'!R21</f>
        <v>1035581.9</v>
      </c>
      <c r="R30" s="105">
        <f>'0. Database'!S21</f>
        <v>1167156.74</v>
      </c>
      <c r="S30" s="105">
        <f>'0. Database'!T21</f>
        <v>1303433.68</v>
      </c>
    </row>
    <row r="31" ht="15" customHeight="1" spans="1:19">
      <c r="A31" s="104" t="s">
        <v>42</v>
      </c>
      <c r="B31" s="105">
        <f>'0. Database'!C36</f>
        <v>55519</v>
      </c>
      <c r="C31" s="105">
        <f>'0. Database'!D36</f>
        <v>66001</v>
      </c>
      <c r="D31" s="105">
        <f>'0. Database'!E36</f>
        <v>74989</v>
      </c>
      <c r="E31" s="105">
        <f>'0. Database'!F36</f>
        <v>90272</v>
      </c>
      <c r="F31" s="105">
        <f>'0. Database'!G36</f>
        <v>110855</v>
      </c>
      <c r="G31" s="105">
        <f>'0. Database'!H36</f>
        <v>136819</v>
      </c>
      <c r="H31" s="105">
        <f>'0. Database'!I36</f>
        <v>161857</v>
      </c>
      <c r="I31" s="105">
        <f>'0. Database'!J36</f>
        <v>182527</v>
      </c>
      <c r="J31" s="105">
        <f>'0. Database'!K36</f>
        <v>257637</v>
      </c>
      <c r="K31" s="105">
        <f>'0. Database'!L36</f>
        <v>282836</v>
      </c>
      <c r="L31" s="105">
        <f>'0. Database'!M36</f>
        <v>307394</v>
      </c>
      <c r="M31" s="105">
        <f>'0. Database'!N36</f>
        <v>350018</v>
      </c>
      <c r="N31" s="105">
        <f>'0. Database'!O36</f>
        <v>402836</v>
      </c>
      <c r="O31" s="105">
        <f>'0. Database'!P36</f>
        <v>486455.79</v>
      </c>
      <c r="P31" s="105">
        <f>'0. Database'!Q36</f>
        <v>578508.88</v>
      </c>
      <c r="Q31" s="105">
        <f>'0. Database'!R36</f>
        <v>684008.77</v>
      </c>
      <c r="R31" s="105">
        <f>'0. Database'!S36</f>
        <v>805409.01</v>
      </c>
      <c r="S31" s="105">
        <f>'0. Database'!T36</f>
        <v>941245.16</v>
      </c>
    </row>
    <row r="32" ht="15" customHeight="1" spans="1:19">
      <c r="A32" s="104" t="s">
        <v>48</v>
      </c>
      <c r="B32" s="105">
        <f>'0. Database'!C53</f>
        <v>7872</v>
      </c>
      <c r="C32" s="105">
        <f>'0. Database'!D53</f>
        <v>12466</v>
      </c>
      <c r="D32" s="105">
        <f>'0. Database'!E53</f>
        <v>17928</v>
      </c>
      <c r="E32" s="105">
        <f>'0. Database'!F53</f>
        <v>27638</v>
      </c>
      <c r="F32" s="105">
        <f>'0. Database'!G53</f>
        <v>40653</v>
      </c>
      <c r="G32" s="105">
        <f>'0. Database'!H53</f>
        <v>55838</v>
      </c>
      <c r="H32" s="105">
        <f>'0. Database'!I53</f>
        <v>70697</v>
      </c>
      <c r="I32" s="105">
        <f>'0. Database'!J53</f>
        <v>85965</v>
      </c>
      <c r="J32" s="105">
        <f>'0. Database'!K53</f>
        <v>117929</v>
      </c>
      <c r="K32" s="105">
        <f>'0. Database'!L53</f>
        <v>116609</v>
      </c>
      <c r="L32" s="105">
        <f>'0. Database'!M53</f>
        <v>134902</v>
      </c>
      <c r="M32" s="105">
        <f>'0. Database'!N53</f>
        <v>164501</v>
      </c>
      <c r="N32" s="105">
        <f>'0. Database'!O53</f>
        <v>200966</v>
      </c>
      <c r="O32" s="105">
        <f>'0. Database'!P53</f>
        <v>252898.15</v>
      </c>
      <c r="P32" s="105">
        <f>'0. Database'!Q53</f>
        <v>301231.94</v>
      </c>
      <c r="Q32" s="105">
        <f>'0. Database'!R53</f>
        <v>352191.64</v>
      </c>
      <c r="R32" s="105">
        <f>'0. Database'!S53</f>
        <v>403671.7</v>
      </c>
      <c r="S32" s="105">
        <f>'0. Database'!T53</f>
        <v>456699.5</v>
      </c>
    </row>
    <row r="33" ht="15" customHeight="1" spans="1:19">
      <c r="A33" s="104" t="s">
        <v>55</v>
      </c>
      <c r="B33" s="105">
        <f>'0. Database'!C71</f>
        <v>37253</v>
      </c>
      <c r="C33" s="105">
        <f>'0. Database'!D71</f>
        <v>38306</v>
      </c>
      <c r="D33" s="105">
        <f>'0. Database'!E71</f>
        <v>38253</v>
      </c>
      <c r="E33" s="105">
        <f>'0. Database'!F71</f>
        <v>37057</v>
      </c>
      <c r="F33" s="105">
        <f>'0. Database'!G71</f>
        <v>37899</v>
      </c>
      <c r="G33" s="105">
        <f>'0. Database'!H71</f>
        <v>39878</v>
      </c>
      <c r="H33" s="105">
        <f>'0. Database'!I71</f>
        <v>39526</v>
      </c>
      <c r="I33" s="105">
        <f>'0. Database'!J71</f>
        <v>39068</v>
      </c>
      <c r="J33" s="105">
        <f>'0. Database'!K71</f>
        <v>40481</v>
      </c>
      <c r="K33" s="105">
        <f>'0. Database'!L71</f>
        <v>42440</v>
      </c>
      <c r="L33" s="105">
        <f>'0. Database'!M71</f>
        <v>49954</v>
      </c>
      <c r="M33" s="105">
        <f>'0. Database'!N71</f>
        <v>52961</v>
      </c>
      <c r="N33" s="105">
        <f>'0. Database'!O71</f>
        <v>57399</v>
      </c>
      <c r="O33" s="105">
        <f>'0. Database'!P71</f>
        <v>67256.59</v>
      </c>
      <c r="P33" s="105">
        <f>'0. Database'!Q71</f>
        <v>89106.44</v>
      </c>
      <c r="Q33" s="105">
        <f>'0. Database'!R71</f>
        <v>130482.44</v>
      </c>
      <c r="R33" s="105">
        <f>'0. Database'!S71</f>
        <v>183189.61</v>
      </c>
      <c r="S33" s="105">
        <f>'0. Database'!T71</f>
        <v>223043.24</v>
      </c>
    </row>
    <row r="35" ht="15" customHeight="1" spans="1:1">
      <c r="A35" s="31" t="s">
        <v>102</v>
      </c>
    </row>
    <row r="36" ht="15" customHeight="1" spans="1:19">
      <c r="A36" s="33" t="s">
        <v>81</v>
      </c>
      <c r="B36" s="34" t="s">
        <v>3</v>
      </c>
      <c r="C36" s="34" t="s">
        <v>4</v>
      </c>
      <c r="D36" s="34" t="s">
        <v>5</v>
      </c>
      <c r="E36" s="34" t="s">
        <v>6</v>
      </c>
      <c r="F36" s="34" t="s">
        <v>7</v>
      </c>
      <c r="G36" s="34" t="s">
        <v>8</v>
      </c>
      <c r="H36" s="34" t="s">
        <v>9</v>
      </c>
      <c r="I36" s="34" t="s">
        <v>10</v>
      </c>
      <c r="J36" s="34" t="s">
        <v>11</v>
      </c>
      <c r="K36" s="34" t="s">
        <v>12</v>
      </c>
      <c r="L36" s="34" t="s">
        <v>13</v>
      </c>
      <c r="M36" s="34" t="s">
        <v>14</v>
      </c>
      <c r="N36" s="34" t="s">
        <v>15</v>
      </c>
      <c r="O36" s="34" t="s">
        <v>16</v>
      </c>
      <c r="P36" s="34" t="s">
        <v>17</v>
      </c>
      <c r="Q36" s="34" t="s">
        <v>18</v>
      </c>
      <c r="R36" s="34" t="s">
        <v>19</v>
      </c>
      <c r="S36" s="34" t="s">
        <v>20</v>
      </c>
    </row>
    <row r="37" ht="15" customHeight="1" spans="1:19">
      <c r="A37" s="104" t="s">
        <v>22</v>
      </c>
      <c r="B37" s="105">
        <f>'0. Database'!C7</f>
        <v>21863</v>
      </c>
      <c r="C37" s="105">
        <f>'0. Database'!D7</f>
        <v>22074</v>
      </c>
      <c r="D37" s="105">
        <f>'0. Database'!E7</f>
        <v>12193</v>
      </c>
      <c r="E37" s="105">
        <f>'0. Database'!F7</f>
        <v>16798</v>
      </c>
      <c r="F37" s="105">
        <f>'0. Database'!G7</f>
        <v>25489</v>
      </c>
      <c r="G37" s="105">
        <f>'0. Database'!H7</f>
        <v>16571</v>
      </c>
      <c r="H37" s="105">
        <f>'0. Database'!I7</f>
        <v>39240</v>
      </c>
      <c r="I37" s="105">
        <f>'0. Database'!J7</f>
        <v>44281</v>
      </c>
      <c r="J37" s="105">
        <f>'0. Database'!K7</f>
        <v>61271</v>
      </c>
      <c r="K37" s="105">
        <f>'0. Database'!L7</f>
        <v>72738</v>
      </c>
      <c r="L37" s="105">
        <f>'0. Database'!M7</f>
        <v>72361</v>
      </c>
      <c r="M37" s="105">
        <f>'0. Database'!N7</f>
        <v>88136</v>
      </c>
      <c r="N37" s="105">
        <f>'0. Database'!O7</f>
        <v>101832</v>
      </c>
      <c r="O37" s="105">
        <f>'0. Database'!P7</f>
        <v>129372.86</v>
      </c>
      <c r="P37" s="105">
        <f>'0. Database'!Q7</f>
        <v>144971.56</v>
      </c>
      <c r="Q37" s="105">
        <f>'0. Database'!R7</f>
        <v>175683.92</v>
      </c>
      <c r="R37" s="105">
        <f>'0. Database'!S7</f>
        <v>215472.22</v>
      </c>
      <c r="S37" s="105">
        <f>'0. Database'!T7</f>
        <v>258948.36</v>
      </c>
    </row>
    <row r="38" ht="15" customHeight="1" spans="1:19">
      <c r="A38" s="104" t="s">
        <v>38</v>
      </c>
      <c r="B38" s="105">
        <f>'0. Database'!C23</f>
        <v>273</v>
      </c>
      <c r="C38" s="105">
        <f>'0. Database'!D23</f>
        <v>-240.6</v>
      </c>
      <c r="D38" s="105">
        <f>'0. Database'!E23</f>
        <v>596.1</v>
      </c>
      <c r="E38" s="105">
        <f>'0. Database'!F23</f>
        <v>2371</v>
      </c>
      <c r="F38" s="105">
        <f>'0. Database'!G23</f>
        <v>3033</v>
      </c>
      <c r="G38" s="105">
        <f>'0. Database'!H23</f>
        <v>10073</v>
      </c>
      <c r="H38" s="105">
        <f>'0. Database'!I23</f>
        <v>11588</v>
      </c>
      <c r="I38" s="105">
        <f>'0. Database'!J23</f>
        <v>21331</v>
      </c>
      <c r="J38" s="105">
        <f>'0. Database'!K23</f>
        <v>33364</v>
      </c>
      <c r="K38" s="105">
        <f>'0. Database'!L23</f>
        <v>-2722</v>
      </c>
      <c r="L38" s="105">
        <f>'0. Database'!M23</f>
        <v>30425</v>
      </c>
      <c r="M38" s="105">
        <f>'0. Database'!N23</f>
        <v>59248</v>
      </c>
      <c r="N38" s="105">
        <f>'0. Database'!O23</f>
        <v>77670</v>
      </c>
      <c r="O38" s="105">
        <f>'0. Database'!P23</f>
        <v>98333.72</v>
      </c>
      <c r="P38" s="105">
        <f>'0. Database'!Q23</f>
        <v>116218.4</v>
      </c>
      <c r="Q38" s="105">
        <f>'0. Database'!R23</f>
        <v>145016.4</v>
      </c>
      <c r="R38" s="105">
        <f>'0. Database'!S23</f>
        <v>177176.2</v>
      </c>
      <c r="S38" s="105">
        <f>'0. Database'!T23</f>
        <v>211925.99</v>
      </c>
    </row>
    <row r="39" ht="15" customHeight="1" spans="1:19">
      <c r="A39" s="104" t="s">
        <v>42</v>
      </c>
      <c r="B39" s="105">
        <f>'0. Database'!C38</f>
        <v>12720</v>
      </c>
      <c r="C39" s="105">
        <f>'0. Database'!D38</f>
        <v>14136</v>
      </c>
      <c r="D39" s="105">
        <f>'0. Database'!E38</f>
        <v>16348</v>
      </c>
      <c r="E39" s="105">
        <f>'0. Database'!F38</f>
        <v>19478</v>
      </c>
      <c r="F39" s="105">
        <f>'0. Database'!G38</f>
        <v>12662</v>
      </c>
      <c r="G39" s="105">
        <f>'0. Database'!H38</f>
        <v>30736</v>
      </c>
      <c r="H39" s="105">
        <f>'0. Database'!I38</f>
        <v>34343</v>
      </c>
      <c r="I39" s="105">
        <f>'0. Database'!J38</f>
        <v>40269</v>
      </c>
      <c r="J39" s="105">
        <f>'0. Database'!K38</f>
        <v>76033</v>
      </c>
      <c r="K39" s="105">
        <f>'0. Database'!L38</f>
        <v>59972</v>
      </c>
      <c r="L39" s="105">
        <f>'0. Database'!M38</f>
        <v>73795</v>
      </c>
      <c r="M39" s="105">
        <f>'0. Database'!N38</f>
        <v>100118</v>
      </c>
      <c r="N39" s="105">
        <f>'0. Database'!O38</f>
        <v>132170</v>
      </c>
      <c r="O39" s="105">
        <f>'0. Database'!P38</f>
        <v>168543.28</v>
      </c>
      <c r="P39" s="105">
        <f>'0. Database'!Q38</f>
        <v>174626.97</v>
      </c>
      <c r="Q39" s="105">
        <f>'0. Database'!R38</f>
        <v>210753.44</v>
      </c>
      <c r="R39" s="105">
        <f>'0. Database'!S38</f>
        <v>249488.6</v>
      </c>
      <c r="S39" s="105">
        <f>'0. Database'!T38</f>
        <v>285975.76</v>
      </c>
    </row>
    <row r="40" ht="15" customHeight="1" spans="1:19">
      <c r="A40" s="104" t="s">
        <v>48</v>
      </c>
      <c r="B40" s="105">
        <f>'0. Database'!C55</f>
        <v>1491</v>
      </c>
      <c r="C40" s="105">
        <f>'0. Database'!D55</f>
        <v>2924.8</v>
      </c>
      <c r="D40" s="105">
        <f>'0. Database'!E55</f>
        <v>3669</v>
      </c>
      <c r="E40" s="105">
        <f>'0. Database'!F55</f>
        <v>10187.2</v>
      </c>
      <c r="F40" s="105">
        <f>'0. Database'!G55</f>
        <v>15919</v>
      </c>
      <c r="G40" s="105">
        <f>'0. Database'!H55</f>
        <v>22112</v>
      </c>
      <c r="H40" s="105">
        <f>'0. Database'!I55</f>
        <v>18484.5</v>
      </c>
      <c r="I40" s="105">
        <f>'0. Database'!J55</f>
        <v>29145</v>
      </c>
      <c r="J40" s="105">
        <f>'0. Database'!K55</f>
        <v>39370</v>
      </c>
      <c r="K40" s="105">
        <f>'0. Database'!L55</f>
        <v>23199</v>
      </c>
      <c r="L40" s="105">
        <f>'0. Database'!M55</f>
        <v>39097</v>
      </c>
      <c r="M40" s="105">
        <f>'0. Database'!N55</f>
        <v>62360</v>
      </c>
      <c r="N40" s="105">
        <f>'0. Database'!O55</f>
        <v>60458</v>
      </c>
      <c r="O40" s="105">
        <f>'0. Database'!P55</f>
        <v>85782.86</v>
      </c>
      <c r="P40" s="105">
        <f>'0. Database'!Q55</f>
        <v>91160.94</v>
      </c>
      <c r="Q40" s="105">
        <f>'0. Database'!R55</f>
        <v>103452.71</v>
      </c>
      <c r="R40" s="105">
        <f>'0. Database'!S55</f>
        <v>115846.5</v>
      </c>
      <c r="S40" s="105">
        <f>'0. Database'!T55</f>
        <v>127804.37</v>
      </c>
    </row>
    <row r="41" ht="15" customHeight="1" spans="1:19">
      <c r="A41" s="104" t="s">
        <v>55</v>
      </c>
      <c r="B41" s="105">
        <f>'0. Database'!C73</f>
        <v>10926</v>
      </c>
      <c r="C41" s="105">
        <f>'0. Database'!D73</f>
        <v>10955</v>
      </c>
      <c r="D41" s="105">
        <f>'0. Database'!E73</f>
        <v>9938</v>
      </c>
      <c r="E41" s="105">
        <f>'0. Database'!F73</f>
        <v>8900</v>
      </c>
      <c r="F41" s="105">
        <f>'0. Database'!G73</f>
        <v>9334</v>
      </c>
      <c r="G41" s="105">
        <f>'0. Database'!H73</f>
        <v>3587</v>
      </c>
      <c r="H41" s="105">
        <f>'0. Database'!I73</f>
        <v>11083</v>
      </c>
      <c r="I41" s="105">
        <f>'0. Database'!J73</f>
        <v>10135</v>
      </c>
      <c r="J41" s="105">
        <f>'0. Database'!K73</f>
        <v>13747</v>
      </c>
      <c r="K41" s="105">
        <f>'0. Database'!L73</f>
        <v>6718</v>
      </c>
      <c r="L41" s="105">
        <f>'0. Database'!M73</f>
        <v>8504</v>
      </c>
      <c r="M41" s="105">
        <f>'0. Database'!N73</f>
        <v>10467</v>
      </c>
      <c r="N41" s="105">
        <f>'0. Database'!O73</f>
        <v>12443</v>
      </c>
      <c r="O41" s="105">
        <f>'0. Database'!P73</f>
        <v>15820.55</v>
      </c>
      <c r="P41" s="105">
        <f>'0. Database'!Q73</f>
        <v>13363.1</v>
      </c>
      <c r="Q41" s="105">
        <f>'0. Database'!R73</f>
        <v>26776.66</v>
      </c>
      <c r="R41" s="105">
        <f>'0. Database'!S73</f>
        <v>39834.82</v>
      </c>
      <c r="S41" s="105">
        <f>'0. Database'!T73</f>
        <v>44104.48</v>
      </c>
    </row>
    <row r="43" ht="15" customHeight="1" spans="1:1">
      <c r="A43" s="31" t="s">
        <v>103</v>
      </c>
    </row>
    <row r="44" ht="15" customHeight="1" spans="1:19">
      <c r="A44" s="33" t="s">
        <v>81</v>
      </c>
      <c r="B44" s="34" t="s">
        <v>3</v>
      </c>
      <c r="C44" s="34" t="s">
        <v>4</v>
      </c>
      <c r="D44" s="34" t="s">
        <v>5</v>
      </c>
      <c r="E44" s="34" t="s">
        <v>6</v>
      </c>
      <c r="F44" s="34" t="s">
        <v>7</v>
      </c>
      <c r="G44" s="34" t="s">
        <v>8</v>
      </c>
      <c r="H44" s="34" t="s">
        <v>9</v>
      </c>
      <c r="I44" s="34" t="s">
        <v>10</v>
      </c>
      <c r="J44" s="34" t="s">
        <v>11</v>
      </c>
      <c r="K44" s="34" t="s">
        <v>12</v>
      </c>
      <c r="L44" s="34" t="s">
        <v>13</v>
      </c>
      <c r="M44" s="34" t="s">
        <v>14</v>
      </c>
      <c r="N44" s="34" t="s">
        <v>15</v>
      </c>
      <c r="O44" s="34" t="s">
        <v>16</v>
      </c>
      <c r="P44" s="34" t="s">
        <v>17</v>
      </c>
      <c r="Q44" s="34" t="s">
        <v>18</v>
      </c>
      <c r="R44" s="34" t="s">
        <v>19</v>
      </c>
      <c r="S44" s="34" t="s">
        <v>20</v>
      </c>
    </row>
    <row r="45" ht="15" customHeight="1" spans="1:19">
      <c r="A45" s="104" t="s">
        <v>22</v>
      </c>
      <c r="B45" s="105">
        <f>'0. Database'!C12</f>
        <v>4257</v>
      </c>
      <c r="C45" s="105">
        <f>'0. Database'!D12</f>
        <v>5485</v>
      </c>
      <c r="D45" s="105">
        <f>'0. Database'!E12</f>
        <v>5944</v>
      </c>
      <c r="E45" s="105">
        <f>'0. Database'!F12</f>
        <v>8932</v>
      </c>
      <c r="F45" s="105">
        <f>'0. Database'!G12</f>
        <v>10200</v>
      </c>
      <c r="G45" s="105">
        <f>'0. Database'!H12</f>
        <v>13600</v>
      </c>
      <c r="H45" s="105">
        <f>'0. Database'!I12</f>
        <v>16900</v>
      </c>
      <c r="I45" s="105">
        <f>'0. Database'!J12</f>
        <v>19000</v>
      </c>
      <c r="J45" s="105">
        <f>'0. Database'!K12</f>
        <v>24200</v>
      </c>
      <c r="K45" s="105">
        <f>'0. Database'!L12</f>
        <v>29200</v>
      </c>
      <c r="L45" s="105">
        <f>'0. Database'!M12</f>
        <v>31900</v>
      </c>
      <c r="M45" s="105">
        <f>'0. Database'!N12</f>
        <v>55700</v>
      </c>
      <c r="N45" s="105">
        <f>'0. Database'!O12</f>
        <v>88200</v>
      </c>
      <c r="O45" s="105">
        <f>'0. Database'!P12</f>
        <v>145871.3</v>
      </c>
      <c r="P45" s="105">
        <f>'0. Database'!Q12</f>
        <v>245263.45</v>
      </c>
      <c r="Q45" s="105">
        <f>'0. Database'!R12</f>
        <v>286760.35</v>
      </c>
      <c r="R45" s="105">
        <f>'0. Database'!S12</f>
        <v>300210.91</v>
      </c>
      <c r="S45" s="105">
        <f>'0. Database'!T12</f>
        <v>304616.04</v>
      </c>
    </row>
    <row r="46" ht="15" customHeight="1" spans="1:19">
      <c r="A46" s="104" t="s">
        <v>38</v>
      </c>
      <c r="B46" s="105">
        <f>'0. Database'!C28</f>
        <v>3443</v>
      </c>
      <c r="C46" s="105">
        <f>'0. Database'!D28</f>
        <v>4892</v>
      </c>
      <c r="D46" s="105">
        <f>'0. Database'!E28</f>
        <v>4588</v>
      </c>
      <c r="E46" s="105">
        <f>'0. Database'!F28</f>
        <v>6736</v>
      </c>
      <c r="F46" s="105">
        <f>'0. Database'!G28</f>
        <v>10057</v>
      </c>
      <c r="G46" s="105">
        <f>'0. Database'!H28</f>
        <v>11322</v>
      </c>
      <c r="H46" s="105">
        <f>'0. Database'!I28</f>
        <v>12690</v>
      </c>
      <c r="I46" s="105">
        <f>'0. Database'!J28</f>
        <v>35046</v>
      </c>
      <c r="J46" s="105">
        <f>'0. Database'!K28</f>
        <v>55396</v>
      </c>
      <c r="K46" s="105">
        <f>'0. Database'!L28</f>
        <v>58321</v>
      </c>
      <c r="L46" s="105">
        <f>'0. Database'!M28</f>
        <v>48133</v>
      </c>
      <c r="M46" s="105">
        <f>'0. Database'!N28</f>
        <v>77658</v>
      </c>
      <c r="N46" s="105">
        <f>'0. Database'!O28</f>
        <v>128320</v>
      </c>
      <c r="O46" s="105">
        <f>'0. Database'!P28</f>
        <v>200104.98</v>
      </c>
      <c r="P46" s="105">
        <f>'0. Database'!Q28</f>
        <v>270141.72</v>
      </c>
      <c r="Q46" s="105">
        <f>'0. Database'!R28</f>
        <v>283648.81</v>
      </c>
      <c r="R46" s="105">
        <f>'0. Database'!S28</f>
        <v>297831.25</v>
      </c>
      <c r="S46" s="105">
        <f>'0. Database'!T28</f>
        <v>312722.81</v>
      </c>
    </row>
    <row r="47" ht="15" customHeight="1" spans="1:19">
      <c r="A47" s="104" t="s">
        <v>42</v>
      </c>
      <c r="B47" s="105">
        <f>'0. Database'!C43</f>
        <v>7358</v>
      </c>
      <c r="C47" s="105">
        <f>'0. Database'!D43</f>
        <v>10959</v>
      </c>
      <c r="D47" s="105">
        <f>'0. Database'!E43</f>
        <v>9915</v>
      </c>
      <c r="E47" s="105">
        <f>'0. Database'!F43</f>
        <v>10183</v>
      </c>
      <c r="F47" s="105">
        <f>'0. Database'!G43</f>
        <v>13184</v>
      </c>
      <c r="G47" s="105">
        <f>'0. Database'!H43</f>
        <v>25139</v>
      </c>
      <c r="H47" s="105">
        <f>'0. Database'!I43</f>
        <v>23548</v>
      </c>
      <c r="I47" s="105">
        <f>'0. Database'!J43</f>
        <v>22281</v>
      </c>
      <c r="J47" s="105">
        <f>'0. Database'!K43</f>
        <v>24640</v>
      </c>
      <c r="K47" s="105">
        <f>'0. Database'!L43</f>
        <v>31485</v>
      </c>
      <c r="L47" s="105">
        <f>'0. Database'!M43</f>
        <v>32251</v>
      </c>
      <c r="M47" s="105">
        <f>'0. Database'!N43</f>
        <v>52535</v>
      </c>
      <c r="N47" s="105">
        <f>'0. Database'!O43</f>
        <v>91447</v>
      </c>
      <c r="O47" s="105">
        <f>'0. Database'!P43</f>
        <v>185234.28</v>
      </c>
      <c r="P47" s="105">
        <f>'0. Database'!Q43</f>
        <v>259327.99</v>
      </c>
      <c r="Q47" s="105">
        <f>'0. Database'!R43</f>
        <v>285260.79</v>
      </c>
      <c r="R47" s="105">
        <f>'0. Database'!S43</f>
        <v>299523.83</v>
      </c>
      <c r="S47" s="105">
        <f>'0. Database'!T43</f>
        <v>314500.02</v>
      </c>
    </row>
    <row r="48" ht="15" customHeight="1" spans="1:19">
      <c r="A48" s="104" t="s">
        <v>48</v>
      </c>
      <c r="B48" s="105">
        <f>'0. Database'!C60</f>
        <v>1362</v>
      </c>
      <c r="C48" s="105">
        <f>'0. Database'!D60</f>
        <v>1831</v>
      </c>
      <c r="D48" s="105">
        <f>'0. Database'!E60</f>
        <v>2523</v>
      </c>
      <c r="E48" s="105">
        <f>'0. Database'!F60</f>
        <v>4491</v>
      </c>
      <c r="F48" s="105">
        <f>'0. Database'!G60</f>
        <v>6732</v>
      </c>
      <c r="G48" s="105">
        <f>'0. Database'!H60</f>
        <v>13980</v>
      </c>
      <c r="H48" s="105">
        <f>'0. Database'!I60</f>
        <v>15102</v>
      </c>
      <c r="I48" s="105">
        <f>'0. Database'!J60</f>
        <v>15115</v>
      </c>
      <c r="J48" s="105">
        <f>'0. Database'!K60</f>
        <v>18567</v>
      </c>
      <c r="K48" s="105">
        <f>'0. Database'!L60</f>
        <v>31186</v>
      </c>
      <c r="L48" s="105">
        <f>'0. Database'!M60</f>
        <v>27045</v>
      </c>
      <c r="M48" s="105">
        <f>'0. Database'!N60</f>
        <v>37256</v>
      </c>
      <c r="N48" s="105">
        <f>'0. Database'!O60</f>
        <v>69691</v>
      </c>
      <c r="O48" s="105">
        <f>'0. Database'!P60</f>
        <v>135583.71</v>
      </c>
      <c r="P48" s="105">
        <f>'0. Database'!Q60</f>
        <v>165714.44</v>
      </c>
      <c r="Q48" s="105">
        <f>'0. Database'!R60</f>
        <v>185600.17</v>
      </c>
      <c r="R48" s="105">
        <f>'0. Database'!S60</f>
        <v>196736.18</v>
      </c>
      <c r="S48" s="105">
        <f>'0. Database'!T60</f>
        <v>208540.35</v>
      </c>
    </row>
    <row r="49" ht="15" customHeight="1" spans="1:19">
      <c r="A49" s="104" t="s">
        <v>55</v>
      </c>
      <c r="B49" s="105">
        <f>'0. Database'!C78</f>
        <v>650</v>
      </c>
      <c r="C49" s="105">
        <f>'0. Database'!D78</f>
        <v>580</v>
      </c>
      <c r="D49" s="105">
        <f>'0. Database'!E78</f>
        <v>1391</v>
      </c>
      <c r="E49" s="105">
        <f>'0. Database'!F78</f>
        <v>1189</v>
      </c>
      <c r="F49" s="105">
        <f>'0. Database'!G78</f>
        <v>2021</v>
      </c>
      <c r="G49" s="105">
        <f>'0. Database'!H78</f>
        <v>1736</v>
      </c>
      <c r="H49" s="105">
        <f>'0. Database'!I78</f>
        <v>1660</v>
      </c>
      <c r="I49" s="105">
        <f>'0. Database'!J78</f>
        <v>1564</v>
      </c>
      <c r="J49" s="105">
        <f>'0. Database'!K78</f>
        <v>2135</v>
      </c>
      <c r="K49" s="105">
        <f>'0. Database'!L78</f>
        <v>4511</v>
      </c>
      <c r="L49" s="105">
        <f>'0. Database'!M78</f>
        <v>8695</v>
      </c>
      <c r="M49" s="105">
        <f>'0. Database'!N78</f>
        <v>6866</v>
      </c>
      <c r="N49" s="105">
        <f>'0. Database'!O78</f>
        <v>21215</v>
      </c>
      <c r="O49" s="105">
        <f>'0. Database'!P78</f>
        <v>51882</v>
      </c>
      <c r="P49" s="105">
        <f>'0. Database'!Q78</f>
        <v>52141.41</v>
      </c>
      <c r="Q49" s="105">
        <f>'0. Database'!R78</f>
        <v>69869.49</v>
      </c>
      <c r="R49" s="105">
        <f>'0. Database'!S78</f>
        <v>81048.61</v>
      </c>
      <c r="S49" s="105">
        <f>'0. Database'!T78</f>
        <v>66459.86</v>
      </c>
    </row>
    <row r="51" ht="15" customHeight="1" spans="1:1">
      <c r="A51" s="31" t="s">
        <v>104</v>
      </c>
    </row>
    <row r="52" ht="15" customHeight="1" spans="1:19">
      <c r="A52" s="33" t="s">
        <v>81</v>
      </c>
      <c r="B52" s="34" t="s">
        <v>3</v>
      </c>
      <c r="C52" s="34" t="s">
        <v>4</v>
      </c>
      <c r="D52" s="34" t="s">
        <v>5</v>
      </c>
      <c r="E52" s="34" t="s">
        <v>6</v>
      </c>
      <c r="F52" s="34" t="s">
        <v>7</v>
      </c>
      <c r="G52" s="34" t="s">
        <v>8</v>
      </c>
      <c r="H52" s="34" t="s">
        <v>9</v>
      </c>
      <c r="I52" s="34" t="s">
        <v>10</v>
      </c>
      <c r="J52" s="34" t="s">
        <v>11</v>
      </c>
      <c r="K52" s="34" t="s">
        <v>12</v>
      </c>
      <c r="L52" s="34" t="s">
        <v>13</v>
      </c>
      <c r="M52" s="34" t="s">
        <v>14</v>
      </c>
      <c r="N52" s="34" t="s">
        <v>15</v>
      </c>
      <c r="O52" s="34" t="s">
        <v>16</v>
      </c>
      <c r="P52" s="34" t="s">
        <v>17</v>
      </c>
      <c r="Q52" s="34" t="s">
        <v>18</v>
      </c>
      <c r="R52" s="34" t="s">
        <v>19</v>
      </c>
      <c r="S52" s="34" t="s">
        <v>20</v>
      </c>
    </row>
    <row r="53" ht="15" customHeight="1" spans="1:19">
      <c r="A53" s="104" t="s">
        <v>22</v>
      </c>
      <c r="B53" s="106">
        <f t="shared" ref="B53:S53" si="0">IFERROR(B13/B29,"")</f>
        <v>0.315688062788218</v>
      </c>
      <c r="C53" s="106">
        <f t="shared" si="0"/>
        <v>0.308016537491507</v>
      </c>
      <c r="D53" s="106">
        <f t="shared" si="0"/>
        <v>0.247232314597136</v>
      </c>
      <c r="E53" s="106">
        <f t="shared" si="0"/>
        <v>0.265247980165936</v>
      </c>
      <c r="F53" s="106">
        <f t="shared" si="0"/>
        <v>0.303206182687234</v>
      </c>
      <c r="G53" s="106">
        <f t="shared" si="0"/>
        <v>0.274411018484958</v>
      </c>
      <c r="H53" s="106">
        <f t="shared" si="0"/>
        <v>0.280389056204954</v>
      </c>
      <c r="I53" s="106">
        <f t="shared" si="0"/>
        <v>0.291402999685348</v>
      </c>
      <c r="J53" s="106">
        <f t="shared" si="0"/>
        <v>0.312574365808386</v>
      </c>
      <c r="K53" s="106">
        <f t="shared" si="0"/>
        <v>0.301785444091391</v>
      </c>
      <c r="L53" s="106">
        <f t="shared" si="0"/>
        <v>0.262756293797041</v>
      </c>
      <c r="M53" s="106">
        <f t="shared" si="0"/>
        <v>0.256394774846811</v>
      </c>
      <c r="N53" s="106">
        <f t="shared" si="0"/>
        <v>0.170244636594681</v>
      </c>
      <c r="O53" s="106">
        <f t="shared" si="0"/>
        <v>0.0871376861999839</v>
      </c>
      <c r="P53" s="106">
        <f t="shared" si="0"/>
        <v>-0.034338453349575</v>
      </c>
      <c r="Q53" s="106">
        <f t="shared" si="0"/>
        <v>0.0173508076034482</v>
      </c>
      <c r="R53" s="106">
        <f t="shared" si="0"/>
        <v>0.111380074298401</v>
      </c>
      <c r="S53" s="106">
        <f t="shared" si="0"/>
        <v>0.214392177460236</v>
      </c>
    </row>
    <row r="54" ht="15" customHeight="1" spans="1:19">
      <c r="A54" s="104" t="s">
        <v>38</v>
      </c>
      <c r="B54" s="106">
        <f t="shared" ref="B54:S54" si="1">IFERROR(B14/B30,"")</f>
        <v>0.027279320904744</v>
      </c>
      <c r="C54" s="106">
        <f t="shared" si="1"/>
        <v>0.0219063244482402</v>
      </c>
      <c r="D54" s="106">
        <f t="shared" si="1"/>
        <v>0.0685204567968151</v>
      </c>
      <c r="E54" s="106">
        <f t="shared" si="1"/>
        <v>0.0774706405759374</v>
      </c>
      <c r="F54" s="106">
        <f t="shared" si="1"/>
        <v>0.0470972529882046</v>
      </c>
      <c r="G54" s="106">
        <f t="shared" si="1"/>
        <v>0.0833107902115618</v>
      </c>
      <c r="H54" s="106">
        <f t="shared" si="1"/>
        <v>0.0920605157527752</v>
      </c>
      <c r="I54" s="106">
        <f t="shared" si="1"/>
        <v>0.0803441916366198</v>
      </c>
      <c r="J54" s="106">
        <f t="shared" si="1"/>
        <v>-0.0193030551996288</v>
      </c>
      <c r="K54" s="106">
        <f t="shared" si="1"/>
        <v>-0.0225085265465978</v>
      </c>
      <c r="L54" s="106">
        <f t="shared" si="1"/>
        <v>0.0640465565385318</v>
      </c>
      <c r="M54" s="106">
        <f t="shared" si="1"/>
        <v>0.0599082386172152</v>
      </c>
      <c r="N54" s="106">
        <f t="shared" si="1"/>
        <v>0.0156139283940836</v>
      </c>
      <c r="O54" s="106">
        <f t="shared" si="1"/>
        <v>-0.0231594615097553</v>
      </c>
      <c r="P54" s="106">
        <f t="shared" si="1"/>
        <v>-0.0489667031493341</v>
      </c>
      <c r="Q54" s="106">
        <f t="shared" si="1"/>
        <v>-0.00210229630317023</v>
      </c>
      <c r="R54" s="106">
        <f t="shared" si="1"/>
        <v>0.0385408132929944</v>
      </c>
      <c r="S54" s="106">
        <f t="shared" si="1"/>
        <v>0.0677883358054704</v>
      </c>
    </row>
    <row r="55" ht="15" customHeight="1" spans="1:19">
      <c r="A55" s="104" t="s">
        <v>42</v>
      </c>
      <c r="B55" s="106">
        <f t="shared" ref="B55:S55" si="2">IFERROR(B15/B31,"")</f>
        <v>0.202201048289775</v>
      </c>
      <c r="C55" s="106">
        <f t="shared" si="2"/>
        <v>0.171406493841002</v>
      </c>
      <c r="D55" s="106">
        <f t="shared" si="2"/>
        <v>0.212217791942818</v>
      </c>
      <c r="E55" s="106">
        <f t="shared" si="2"/>
        <v>0.286390021269054</v>
      </c>
      <c r="F55" s="106">
        <f t="shared" si="2"/>
        <v>0.215660096522484</v>
      </c>
      <c r="G55" s="106">
        <f t="shared" si="2"/>
        <v>0.16687740737763</v>
      </c>
      <c r="H55" s="106">
        <f t="shared" si="2"/>
        <v>0.191354096517296</v>
      </c>
      <c r="I55" s="106">
        <f t="shared" si="2"/>
        <v>0.234721438472116</v>
      </c>
      <c r="J55" s="106">
        <f t="shared" si="2"/>
        <v>0.260102392125355</v>
      </c>
      <c r="K55" s="106">
        <f t="shared" si="2"/>
        <v>0.212172425009546</v>
      </c>
      <c r="L55" s="106">
        <f t="shared" si="2"/>
        <v>0.226077932555613</v>
      </c>
      <c r="M55" s="106">
        <f t="shared" si="2"/>
        <v>0.20788645155392</v>
      </c>
      <c r="N55" s="106">
        <f t="shared" si="2"/>
        <v>0.181875502685957</v>
      </c>
      <c r="O55" s="106">
        <f t="shared" si="2"/>
        <v>0.0549920271274806</v>
      </c>
      <c r="P55" s="106">
        <f t="shared" si="2"/>
        <v>0.0397888792994846</v>
      </c>
      <c r="Q55" s="106">
        <f t="shared" si="2"/>
        <v>0.0989505002984099</v>
      </c>
      <c r="R55" s="106">
        <f t="shared" si="2"/>
        <v>0.154831878525918</v>
      </c>
      <c r="S55" s="106">
        <f t="shared" si="2"/>
        <v>0.187376612911348</v>
      </c>
    </row>
    <row r="56" ht="15" customHeight="1" spans="1:19">
      <c r="A56" s="104" t="s">
        <v>48</v>
      </c>
      <c r="B56" s="106">
        <f t="shared" ref="B56:S56" si="3">IFERROR(B16/B32,"")</f>
        <v>0.363313008130081</v>
      </c>
      <c r="C56" s="106">
        <f t="shared" si="3"/>
        <v>0.294946253810364</v>
      </c>
      <c r="D56" s="106">
        <f t="shared" si="3"/>
        <v>0.339357429718876</v>
      </c>
      <c r="E56" s="106">
        <f t="shared" si="3"/>
        <v>0.41862652869238</v>
      </c>
      <c r="F56" s="106">
        <f t="shared" si="3"/>
        <v>0.430078960962291</v>
      </c>
      <c r="G56" s="106">
        <f t="shared" si="3"/>
        <v>0.275063576775673</v>
      </c>
      <c r="H56" s="106">
        <f t="shared" si="3"/>
        <v>0.300019802820487</v>
      </c>
      <c r="I56" s="106">
        <f t="shared" si="3"/>
        <v>0.274902576630024</v>
      </c>
      <c r="J56" s="106">
        <f t="shared" si="3"/>
        <v>0.331691102273402</v>
      </c>
      <c r="K56" s="106">
        <f t="shared" si="3"/>
        <v>0.165416048503975</v>
      </c>
      <c r="L56" s="106">
        <f t="shared" si="3"/>
        <v>0.326666765503847</v>
      </c>
      <c r="M56" s="106">
        <f t="shared" si="3"/>
        <v>0.328703168977696</v>
      </c>
      <c r="N56" s="106">
        <f t="shared" si="3"/>
        <v>0.229436820158634</v>
      </c>
      <c r="O56" s="106">
        <f t="shared" si="3"/>
        <v>0.176620232295096</v>
      </c>
      <c r="P56" s="106">
        <f t="shared" si="3"/>
        <v>0.134077813926372</v>
      </c>
      <c r="Q56" s="106">
        <f t="shared" si="3"/>
        <v>0.163688837134237</v>
      </c>
      <c r="R56" s="106">
        <f t="shared" si="3"/>
        <v>0.203828507175509</v>
      </c>
      <c r="S56" s="106">
        <f t="shared" si="3"/>
        <v>0.23196469450919</v>
      </c>
    </row>
    <row r="57" ht="15" customHeight="1" spans="1:19">
      <c r="A57" s="104" t="s">
        <v>55</v>
      </c>
      <c r="B57" s="106">
        <f t="shared" ref="B57:S57" si="4">IFERROR(B17/B33,"")</f>
        <v>0.364400182535635</v>
      </c>
      <c r="C57" s="106">
        <f t="shared" si="4"/>
        <v>0.37437999269044</v>
      </c>
      <c r="D57" s="106">
        <f t="shared" si="4"/>
        <v>0.338404830993648</v>
      </c>
      <c r="E57" s="106">
        <f t="shared" si="4"/>
        <v>0.333837061823677</v>
      </c>
      <c r="F57" s="106">
        <f t="shared" si="4"/>
        <v>0.319375181403203</v>
      </c>
      <c r="G57" s="106">
        <f t="shared" si="4"/>
        <v>0.342293996689904</v>
      </c>
      <c r="H57" s="106">
        <f t="shared" si="4"/>
        <v>0.326139756109902</v>
      </c>
      <c r="I57" s="106">
        <f t="shared" si="4"/>
        <v>0.29627828401761</v>
      </c>
      <c r="J57" s="106">
        <f t="shared" si="4"/>
        <v>0.339739630937971</v>
      </c>
      <c r="K57" s="106">
        <f t="shared" si="4"/>
        <v>0.118496701225259</v>
      </c>
      <c r="L57" s="106">
        <f t="shared" si="4"/>
        <v>0.169576009929135</v>
      </c>
      <c r="M57" s="106">
        <f t="shared" si="4"/>
        <v>0.222937633352845</v>
      </c>
      <c r="N57" s="106">
        <f t="shared" si="4"/>
        <v>-0.00686423108416523</v>
      </c>
      <c r="O57" s="106">
        <f t="shared" si="4"/>
        <v>-0.392895774228221</v>
      </c>
      <c r="P57" s="106">
        <f t="shared" si="4"/>
        <v>-0.207022410501418</v>
      </c>
      <c r="Q57" s="106">
        <f t="shared" si="4"/>
        <v>-0.151258207617822</v>
      </c>
      <c r="R57" s="106">
        <f t="shared" si="4"/>
        <v>-0.0792599536622192</v>
      </c>
      <c r="S57" s="106">
        <f t="shared" si="4"/>
        <v>0.0829626578236579</v>
      </c>
    </row>
    <row r="59" ht="15" customHeight="1" spans="1:1">
      <c r="A59" s="31" t="s">
        <v>105</v>
      </c>
    </row>
    <row r="60" ht="15" customHeight="1" spans="1:19">
      <c r="A60" s="33" t="s">
        <v>81</v>
      </c>
      <c r="B60" s="34" t="s">
        <v>3</v>
      </c>
      <c r="C60" s="34" t="s">
        <v>4</v>
      </c>
      <c r="D60" s="34" t="s">
        <v>5</v>
      </c>
      <c r="E60" s="34" t="s">
        <v>6</v>
      </c>
      <c r="F60" s="34" t="s">
        <v>7</v>
      </c>
      <c r="G60" s="34" t="s">
        <v>8</v>
      </c>
      <c r="H60" s="34" t="s">
        <v>9</v>
      </c>
      <c r="I60" s="34" t="s">
        <v>10</v>
      </c>
      <c r="J60" s="34" t="s">
        <v>11</v>
      </c>
      <c r="K60" s="34" t="s">
        <v>12</v>
      </c>
      <c r="L60" s="34" t="s">
        <v>13</v>
      </c>
      <c r="M60" s="34" t="s">
        <v>14</v>
      </c>
      <c r="N60" s="34" t="s">
        <v>15</v>
      </c>
      <c r="O60" s="34" t="s">
        <v>16</v>
      </c>
      <c r="P60" s="34" t="s">
        <v>17</v>
      </c>
      <c r="Q60" s="34" t="s">
        <v>18</v>
      </c>
      <c r="R60" s="34" t="s">
        <v>19</v>
      </c>
      <c r="S60" s="34" t="s">
        <v>20</v>
      </c>
    </row>
    <row r="61" ht="15" customHeight="1" spans="1:19">
      <c r="A61" s="104" t="s">
        <v>22</v>
      </c>
      <c r="B61" s="106">
        <f t="shared" ref="B61:S61" si="5">IFERROR(B13/B37,"")</f>
        <v>1.12409092988153</v>
      </c>
      <c r="C61" s="106">
        <f t="shared" si="5"/>
        <v>1.21165171695207</v>
      </c>
      <c r="D61" s="106">
        <f t="shared" si="5"/>
        <v>1.89748216189617</v>
      </c>
      <c r="E61" s="106">
        <f t="shared" si="5"/>
        <v>1.45213715918562</v>
      </c>
      <c r="F61" s="106">
        <f t="shared" si="5"/>
        <v>1.14979010553572</v>
      </c>
      <c r="G61" s="106">
        <f t="shared" si="5"/>
        <v>1.82753002232816</v>
      </c>
      <c r="H61" s="106">
        <f t="shared" si="5"/>
        <v>0.89920998980632</v>
      </c>
      <c r="I61" s="106">
        <f t="shared" si="5"/>
        <v>0.941148573880445</v>
      </c>
      <c r="J61" s="106">
        <f t="shared" si="5"/>
        <v>0.857501917709846</v>
      </c>
      <c r="K61" s="106">
        <f t="shared" si="5"/>
        <v>0.822609915037532</v>
      </c>
      <c r="L61" s="106">
        <f t="shared" si="5"/>
        <v>0.76950290902558</v>
      </c>
      <c r="M61" s="106">
        <f t="shared" si="5"/>
        <v>0.713079785785604</v>
      </c>
      <c r="N61" s="106">
        <f t="shared" si="5"/>
        <v>0.470991436876424</v>
      </c>
      <c r="O61" s="106">
        <f t="shared" si="5"/>
        <v>0.221738005946533</v>
      </c>
      <c r="P61" s="106">
        <f t="shared" si="5"/>
        <v>-0.0908155365093678</v>
      </c>
      <c r="Q61" s="106">
        <f t="shared" si="5"/>
        <v>0.0444548368456259</v>
      </c>
      <c r="R61" s="106">
        <f t="shared" si="5"/>
        <v>0.275958775567449</v>
      </c>
      <c r="S61" s="106">
        <f t="shared" si="5"/>
        <v>0.517218413740871</v>
      </c>
    </row>
    <row r="62" ht="15" customHeight="1" spans="1:19">
      <c r="A62" s="104" t="s">
        <v>38</v>
      </c>
      <c r="B62" s="106">
        <f t="shared" ref="B62:S62" si="6">IFERROR(B14/B38,"")</f>
        <v>7.43956043956044</v>
      </c>
      <c r="C62" s="106">
        <f t="shared" si="6"/>
        <v>-8.10224438902743</v>
      </c>
      <c r="D62" s="106">
        <f t="shared" si="6"/>
        <v>12.3001174299614</v>
      </c>
      <c r="E62" s="106">
        <f t="shared" si="6"/>
        <v>4.44327288064108</v>
      </c>
      <c r="F62" s="106">
        <f t="shared" si="6"/>
        <v>2.76195186284207</v>
      </c>
      <c r="G62" s="106">
        <f t="shared" si="6"/>
        <v>1.92613918395711</v>
      </c>
      <c r="H62" s="106">
        <f t="shared" si="6"/>
        <v>2.22859855022437</v>
      </c>
      <c r="I62" s="106">
        <f t="shared" si="6"/>
        <v>1.4541277952276</v>
      </c>
      <c r="J62" s="106">
        <f t="shared" si="6"/>
        <v>-0.271819925668385</v>
      </c>
      <c r="K62" s="106">
        <f t="shared" si="6"/>
        <v>4.25018368846436</v>
      </c>
      <c r="L62" s="106">
        <f t="shared" si="6"/>
        <v>1.20995891536565</v>
      </c>
      <c r="M62" s="106">
        <f t="shared" si="6"/>
        <v>0.645068187955712</v>
      </c>
      <c r="N62" s="106">
        <f t="shared" si="6"/>
        <v>0.144122569846788</v>
      </c>
      <c r="O62" s="106">
        <f t="shared" si="6"/>
        <v>-0.194243337890604</v>
      </c>
      <c r="P62" s="106">
        <f t="shared" si="6"/>
        <v>-0.393208132275096</v>
      </c>
      <c r="Q62" s="106">
        <f t="shared" si="6"/>
        <v>-0.015012784760896</v>
      </c>
      <c r="R62" s="106">
        <f t="shared" si="6"/>
        <v>0.253889461451369</v>
      </c>
      <c r="S62" s="106">
        <f t="shared" si="6"/>
        <v>0.416926682753729</v>
      </c>
    </row>
    <row r="63" ht="15" customHeight="1" spans="1:19">
      <c r="A63" s="104" t="s">
        <v>42</v>
      </c>
      <c r="B63" s="106">
        <f t="shared" ref="B63:S63" si="7">IFERROR(B15/B39,"")</f>
        <v>0.882547169811321</v>
      </c>
      <c r="C63" s="106">
        <f t="shared" si="7"/>
        <v>0.800297113752122</v>
      </c>
      <c r="D63" s="106">
        <f t="shared" si="7"/>
        <v>0.973452410080744</v>
      </c>
      <c r="E63" s="106">
        <f t="shared" si="7"/>
        <v>1.32729232980799</v>
      </c>
      <c r="F63" s="106">
        <f t="shared" si="7"/>
        <v>1.88809034907598</v>
      </c>
      <c r="G63" s="106">
        <f t="shared" si="7"/>
        <v>0.742842269651223</v>
      </c>
      <c r="H63" s="106">
        <f t="shared" si="7"/>
        <v>0.901843170369508</v>
      </c>
      <c r="I63" s="106">
        <f t="shared" si="7"/>
        <v>1.06392013707815</v>
      </c>
      <c r="J63" s="106">
        <f t="shared" si="7"/>
        <v>0.881354148856418</v>
      </c>
      <c r="K63" s="106">
        <f t="shared" si="7"/>
        <v>1.00063362902688</v>
      </c>
      <c r="L63" s="106">
        <f t="shared" si="7"/>
        <v>0.941730469544007</v>
      </c>
      <c r="M63" s="106">
        <f t="shared" si="7"/>
        <v>0.726782396771809</v>
      </c>
      <c r="N63" s="106">
        <f t="shared" si="7"/>
        <v>0.554331542710146</v>
      </c>
      <c r="O63" s="106">
        <f t="shared" si="7"/>
        <v>0.158720003550423</v>
      </c>
      <c r="P63" s="106">
        <f t="shared" si="7"/>
        <v>0.131813659711326</v>
      </c>
      <c r="Q63" s="106">
        <f t="shared" si="7"/>
        <v>0.321147830374679</v>
      </c>
      <c r="R63" s="106">
        <f t="shared" si="7"/>
        <v>0.499834421292195</v>
      </c>
      <c r="S63" s="106">
        <f t="shared" si="7"/>
        <v>0.616721256375016</v>
      </c>
    </row>
    <row r="64" ht="15" customHeight="1" spans="1:19">
      <c r="A64" s="104" t="s">
        <v>48</v>
      </c>
      <c r="B64" s="106">
        <f t="shared" ref="B64:S64" si="8">IFERROR(B16/B40,"")</f>
        <v>1.91817572099262</v>
      </c>
      <c r="C64" s="106">
        <f t="shared" si="8"/>
        <v>1.25711159737418</v>
      </c>
      <c r="D64" s="106">
        <f t="shared" si="8"/>
        <v>1.65821749795585</v>
      </c>
      <c r="E64" s="106">
        <f t="shared" si="8"/>
        <v>1.13573896654625</v>
      </c>
      <c r="F64" s="106">
        <f t="shared" si="8"/>
        <v>1.09831019536403</v>
      </c>
      <c r="G64" s="106">
        <f t="shared" si="8"/>
        <v>0.6946002170767</v>
      </c>
      <c r="H64" s="106">
        <f t="shared" si="8"/>
        <v>1.14747491141226</v>
      </c>
      <c r="I64" s="106">
        <f t="shared" si="8"/>
        <v>0.810842340024018</v>
      </c>
      <c r="J64" s="106">
        <f t="shared" si="8"/>
        <v>0.993548387096774</v>
      </c>
      <c r="K64" s="106">
        <f t="shared" si="8"/>
        <v>0.831458252510884</v>
      </c>
      <c r="L64" s="106">
        <f t="shared" si="8"/>
        <v>1.12714530526639</v>
      </c>
      <c r="M64" s="106">
        <f t="shared" si="8"/>
        <v>0.867094291212316</v>
      </c>
      <c r="N64" s="106">
        <f t="shared" si="8"/>
        <v>0.762661682490324</v>
      </c>
      <c r="O64" s="106">
        <f t="shared" si="8"/>
        <v>0.520697607890434</v>
      </c>
      <c r="P64" s="106">
        <f t="shared" si="8"/>
        <v>0.443046331027302</v>
      </c>
      <c r="Q64" s="106">
        <f t="shared" si="8"/>
        <v>0.557257900735515</v>
      </c>
      <c r="R64" s="106">
        <f t="shared" si="8"/>
        <v>0.710248475353161</v>
      </c>
      <c r="S64" s="106">
        <f t="shared" si="8"/>
        <v>0.828908745452131</v>
      </c>
    </row>
    <row r="65" ht="15" customHeight="1" spans="1:19">
      <c r="A65" s="104" t="s">
        <v>55</v>
      </c>
      <c r="B65" s="106">
        <f t="shared" ref="B65:S65" si="9">IFERROR(B17/B41,"")</f>
        <v>1.24244920373421</v>
      </c>
      <c r="C65" s="106">
        <f t="shared" si="9"/>
        <v>1.30908261068005</v>
      </c>
      <c r="D65" s="106">
        <f t="shared" si="9"/>
        <v>1.30257597102033</v>
      </c>
      <c r="E65" s="106">
        <f t="shared" si="9"/>
        <v>1.39</v>
      </c>
      <c r="F65" s="106">
        <f t="shared" si="9"/>
        <v>1.29676451682023</v>
      </c>
      <c r="G65" s="106">
        <f t="shared" si="9"/>
        <v>3.80540841929189</v>
      </c>
      <c r="H65" s="106">
        <f t="shared" si="9"/>
        <v>1.16313272579626</v>
      </c>
      <c r="I65" s="106">
        <f t="shared" si="9"/>
        <v>1.14208189442526</v>
      </c>
      <c r="J65" s="106">
        <f t="shared" si="9"/>
        <v>1.00043645886375</v>
      </c>
      <c r="K65" s="106">
        <f t="shared" si="9"/>
        <v>0.748585888657338</v>
      </c>
      <c r="L65" s="106">
        <f t="shared" si="9"/>
        <v>0.996119473189087</v>
      </c>
      <c r="M65" s="106">
        <f t="shared" si="9"/>
        <v>1.12802140059234</v>
      </c>
      <c r="N65" s="106">
        <f t="shared" si="9"/>
        <v>-0.0316643896166519</v>
      </c>
      <c r="O65" s="106">
        <f t="shared" si="9"/>
        <v>-1.670285167077</v>
      </c>
      <c r="P65" s="106">
        <f t="shared" si="9"/>
        <v>-1.38044540563193</v>
      </c>
      <c r="Q65" s="106">
        <f t="shared" si="9"/>
        <v>-0.737079979355155</v>
      </c>
      <c r="R65" s="106">
        <f t="shared" si="9"/>
        <v>-0.364495182857611</v>
      </c>
      <c r="S65" s="106">
        <f t="shared" si="9"/>
        <v>0.419555110954715</v>
      </c>
    </row>
    <row r="67" ht="15" customHeight="1" spans="1:1">
      <c r="A67" s="31" t="s">
        <v>106</v>
      </c>
    </row>
    <row r="68" ht="15" customHeight="1" spans="1:19">
      <c r="A68" s="33" t="s">
        <v>81</v>
      </c>
      <c r="B68" s="34" t="s">
        <v>3</v>
      </c>
      <c r="C68" s="34" t="s">
        <v>4</v>
      </c>
      <c r="D68" s="34" t="s">
        <v>5</v>
      </c>
      <c r="E68" s="34" t="s">
        <v>6</v>
      </c>
      <c r="F68" s="34" t="s">
        <v>7</v>
      </c>
      <c r="G68" s="34" t="s">
        <v>8</v>
      </c>
      <c r="H68" s="34" t="s">
        <v>9</v>
      </c>
      <c r="I68" s="34" t="s">
        <v>10</v>
      </c>
      <c r="J68" s="34" t="s">
        <v>11</v>
      </c>
      <c r="K68" s="34" t="s">
        <v>12</v>
      </c>
      <c r="L68" s="34" t="s">
        <v>13</v>
      </c>
      <c r="M68" s="34" t="s">
        <v>14</v>
      </c>
      <c r="N68" s="34" t="s">
        <v>15</v>
      </c>
      <c r="O68" s="34" t="s">
        <v>16</v>
      </c>
      <c r="P68" s="34" t="s">
        <v>17</v>
      </c>
      <c r="Q68" s="34" t="s">
        <v>18</v>
      </c>
      <c r="R68" s="34" t="s">
        <v>19</v>
      </c>
      <c r="S68" s="34" t="s">
        <v>20</v>
      </c>
    </row>
    <row r="69" ht="15" customHeight="1" spans="1:19">
      <c r="A69" s="104" t="s">
        <v>22</v>
      </c>
      <c r="B69" s="49">
        <f t="shared" ref="B69:S69" si="10">IFERROR(B45/B5,"")</f>
        <v>0.147643325356363</v>
      </c>
      <c r="C69" s="49">
        <f t="shared" si="10"/>
        <v>0.170177779156712</v>
      </c>
      <c r="D69" s="49">
        <f t="shared" si="10"/>
        <v>0.204401650618982</v>
      </c>
      <c r="E69" s="49">
        <f t="shared" si="10"/>
        <v>0.268027006751688</v>
      </c>
      <c r="F69" s="49">
        <f t="shared" si="10"/>
        <v>0.2581820943124</v>
      </c>
      <c r="G69" s="49">
        <f t="shared" si="10"/>
        <v>0.309907939112205</v>
      </c>
      <c r="H69" s="49">
        <f t="shared" si="10"/>
        <v>0.323847848998754</v>
      </c>
      <c r="I69" s="49">
        <f t="shared" si="10"/>
        <v>0.313143798928719</v>
      </c>
      <c r="J69" s="49">
        <f t="shared" si="10"/>
        <v>0.315350534271566</v>
      </c>
      <c r="K69" s="49">
        <f t="shared" si="10"/>
        <v>0.327960914247206</v>
      </c>
      <c r="L69" s="49">
        <f t="shared" si="10"/>
        <v>0.364230092941472</v>
      </c>
      <c r="M69" s="49">
        <f t="shared" si="10"/>
        <v>0.469851874346256</v>
      </c>
      <c r="N69" s="49">
        <f t="shared" si="10"/>
        <v>0.647757817893392</v>
      </c>
      <c r="O69" s="49">
        <f t="shared" si="10"/>
        <v>0.835660064741738</v>
      </c>
      <c r="P69" s="49">
        <f t="shared" si="10"/>
        <v>1.05672467009379</v>
      </c>
      <c r="Q69" s="49">
        <f t="shared" si="10"/>
        <v>0.973486808838704</v>
      </c>
      <c r="R69" s="49">
        <f t="shared" si="10"/>
        <v>0.83467884493543</v>
      </c>
      <c r="S69" s="49">
        <f t="shared" si="10"/>
        <v>0.694599940850382</v>
      </c>
    </row>
    <row r="70" ht="15" customHeight="1" spans="1:19">
      <c r="A70" s="104" t="s">
        <v>38</v>
      </c>
      <c r="B70" s="49">
        <f t="shared" ref="B70:S70" si="11">IFERROR(B46/B6,"")</f>
        <v>0.62897332846182</v>
      </c>
      <c r="C70" s="49">
        <f t="shared" si="11"/>
        <v>0.715058321396206</v>
      </c>
      <c r="D70" s="49">
        <f t="shared" si="11"/>
        <v>0.384896099864934</v>
      </c>
      <c r="E70" s="49">
        <f t="shared" si="11"/>
        <v>0.390017949163337</v>
      </c>
      <c r="F70" s="49">
        <f t="shared" si="11"/>
        <v>0.545567972225236</v>
      </c>
      <c r="G70" s="49">
        <f t="shared" si="11"/>
        <v>0.368506704856139</v>
      </c>
      <c r="H70" s="49">
        <f t="shared" si="11"/>
        <v>0.329482019992211</v>
      </c>
      <c r="I70" s="49">
        <f t="shared" si="11"/>
        <v>0.53048558973117</v>
      </c>
      <c r="J70" s="49">
        <f t="shared" si="11"/>
        <v>1.19576057158892</v>
      </c>
      <c r="K70" s="49">
        <f t="shared" si="11"/>
        <v>1.24745465434634</v>
      </c>
      <c r="L70" s="49">
        <f t="shared" si="11"/>
        <v>0.566630565300308</v>
      </c>
      <c r="M70" s="49">
        <f t="shared" si="11"/>
        <v>0.67017613503974</v>
      </c>
      <c r="N70" s="49">
        <f t="shared" si="11"/>
        <v>0.919764324727268</v>
      </c>
      <c r="O70" s="49">
        <f t="shared" si="11"/>
        <v>1.10552605073327</v>
      </c>
      <c r="P70" s="49">
        <f t="shared" si="11"/>
        <v>1.20360571492985</v>
      </c>
      <c r="Q70" s="49">
        <f t="shared" si="11"/>
        <v>1.00773470271666</v>
      </c>
      <c r="R70" s="49">
        <f t="shared" si="11"/>
        <v>0.86878273673552</v>
      </c>
      <c r="S70" s="49">
        <f t="shared" si="11"/>
        <v>0.779701033017295</v>
      </c>
    </row>
    <row r="71" ht="15" customHeight="1" spans="1:19">
      <c r="A71" s="104" t="s">
        <v>42</v>
      </c>
      <c r="B71" s="49">
        <f t="shared" ref="B71:S71" si="12">IFERROR(B47/B7,"")</f>
        <v>0.395931984502798</v>
      </c>
      <c r="C71" s="49">
        <f t="shared" si="12"/>
        <v>0.492052801724138</v>
      </c>
      <c r="D71" s="49">
        <f t="shared" si="12"/>
        <v>0.383870842851059</v>
      </c>
      <c r="E71" s="49">
        <f t="shared" si="12"/>
        <v>0.282578532578533</v>
      </c>
      <c r="F71" s="49">
        <f t="shared" si="12"/>
        <v>0.355450109190909</v>
      </c>
      <c r="G71" s="49">
        <f t="shared" si="12"/>
        <v>0.524045777657335</v>
      </c>
      <c r="H71" s="49">
        <f t="shared" si="12"/>
        <v>0.431914893617021</v>
      </c>
      <c r="I71" s="49">
        <f t="shared" si="12"/>
        <v>0.342131932927953</v>
      </c>
      <c r="J71" s="49">
        <f t="shared" si="12"/>
        <v>0.268843014882381</v>
      </c>
      <c r="K71" s="49">
        <f t="shared" si="12"/>
        <v>0.344117164872397</v>
      </c>
      <c r="L71" s="49">
        <f t="shared" si="12"/>
        <v>0.316975605920626</v>
      </c>
      <c r="M71" s="49">
        <f t="shared" si="12"/>
        <v>0.419277089202627</v>
      </c>
      <c r="N71" s="49">
        <f t="shared" si="12"/>
        <v>0.55518993643489</v>
      </c>
      <c r="O71" s="49">
        <f t="shared" si="12"/>
        <v>0.87380649249215</v>
      </c>
      <c r="P71" s="49">
        <f t="shared" si="12"/>
        <v>0.918475193982593</v>
      </c>
      <c r="Q71" s="49">
        <f t="shared" si="12"/>
        <v>0.808232897135465</v>
      </c>
      <c r="R71" s="49">
        <f t="shared" si="12"/>
        <v>0.706046425824751</v>
      </c>
      <c r="S71" s="49">
        <f t="shared" si="12"/>
        <v>0.64070266641283</v>
      </c>
    </row>
    <row r="72" ht="15" customHeight="1" spans="1:19">
      <c r="A72" s="104" t="s">
        <v>48</v>
      </c>
      <c r="B72" s="49">
        <f t="shared" ref="B72:S72" si="13">IFERROR(B48/B8,"")</f>
        <v>0.322595926101374</v>
      </c>
      <c r="C72" s="49">
        <f t="shared" si="13"/>
        <v>0.332437633901013</v>
      </c>
      <c r="D72" s="49">
        <f t="shared" si="13"/>
        <v>0.293133495991635</v>
      </c>
      <c r="E72" s="49">
        <f t="shared" si="13"/>
        <v>0.279621443247618</v>
      </c>
      <c r="F72" s="49">
        <f t="shared" si="13"/>
        <v>0.277998017839445</v>
      </c>
      <c r="G72" s="49">
        <f t="shared" si="13"/>
        <v>0.476498858175125</v>
      </c>
      <c r="H72" s="49">
        <f t="shared" si="13"/>
        <v>0.415889845094664</v>
      </c>
      <c r="I72" s="49">
        <f t="shared" si="13"/>
        <v>0.390094717010349</v>
      </c>
      <c r="J72" s="49">
        <f t="shared" si="13"/>
        <v>0.321879929962034</v>
      </c>
      <c r="K72" s="49">
        <f t="shared" si="13"/>
        <v>0.617850421000495</v>
      </c>
      <c r="L72" s="49">
        <f t="shared" si="13"/>
        <v>0.380310210510033</v>
      </c>
      <c r="M72" s="49">
        <f t="shared" si="13"/>
        <v>0.407936229852838</v>
      </c>
      <c r="N72" s="49">
        <f t="shared" si="13"/>
        <v>0.601822107081174</v>
      </c>
      <c r="O72" s="49">
        <f t="shared" si="13"/>
        <v>0.752195442967637</v>
      </c>
      <c r="P72" s="49">
        <f t="shared" si="13"/>
        <v>0.804037166666602</v>
      </c>
      <c r="Q72" s="49">
        <f t="shared" si="13"/>
        <v>0.763001695251729</v>
      </c>
      <c r="R72" s="49">
        <f t="shared" si="13"/>
        <v>0.705107212855694</v>
      </c>
      <c r="S72" s="49">
        <f t="shared" si="13"/>
        <v>0.663130685781995</v>
      </c>
    </row>
    <row r="73" ht="15" customHeight="1" spans="1:19">
      <c r="A73" s="104" t="s">
        <v>55</v>
      </c>
      <c r="B73" s="49">
        <f t="shared" ref="B73:S73" si="14">IFERROR(B49/B9,"")</f>
        <v>0.0456942003514939</v>
      </c>
      <c r="C73" s="49">
        <f t="shared" si="14"/>
        <v>0.0388713893170699</v>
      </c>
      <c r="D73" s="49">
        <f t="shared" si="14"/>
        <v>0.0970284598214286</v>
      </c>
      <c r="E73" s="49">
        <f t="shared" si="14"/>
        <v>0.0876843657817109</v>
      </c>
      <c r="F73" s="49">
        <f t="shared" si="14"/>
        <v>0.143079646017699</v>
      </c>
      <c r="G73" s="49">
        <f t="shared" si="14"/>
        <v>0.112829845313922</v>
      </c>
      <c r="H73" s="49">
        <f t="shared" si="14"/>
        <v>0.114081506425675</v>
      </c>
      <c r="I73" s="49">
        <f t="shared" si="14"/>
        <v>0.119034934165462</v>
      </c>
      <c r="J73" s="49">
        <f t="shared" si="14"/>
        <v>0.134378147029204</v>
      </c>
      <c r="K73" s="49">
        <f t="shared" si="14"/>
        <v>0.472851153039832</v>
      </c>
      <c r="L73" s="49">
        <f t="shared" si="14"/>
        <v>0.506524525224281</v>
      </c>
      <c r="M73" s="49">
        <f t="shared" si="14"/>
        <v>0.367696674342634</v>
      </c>
      <c r="N73" s="49">
        <f t="shared" si="14"/>
        <v>1.0189232025359</v>
      </c>
      <c r="O73" s="49">
        <f t="shared" si="14"/>
        <v>2.03801129504969</v>
      </c>
      <c r="P73" s="49">
        <f t="shared" si="14"/>
        <v>1.54748091521494</v>
      </c>
      <c r="Q73" s="49">
        <f t="shared" si="14"/>
        <v>1.39368399425926</v>
      </c>
      <c r="R73" s="49">
        <f t="shared" si="14"/>
        <v>1.21824464244996</v>
      </c>
      <c r="S73" s="49">
        <f t="shared" si="14"/>
        <v>0.782210890903125</v>
      </c>
    </row>
  </sheetData>
  <mergeCells count="10">
    <mergeCell ref="A1:S1"/>
    <mergeCell ref="A3:S3"/>
    <mergeCell ref="A11:S11"/>
    <mergeCell ref="A19:S19"/>
    <mergeCell ref="A27:S27"/>
    <mergeCell ref="A35:S35"/>
    <mergeCell ref="A43:S43"/>
    <mergeCell ref="A51:S51"/>
    <mergeCell ref="A59:S59"/>
    <mergeCell ref="A67:S67"/>
  </mergeCells>
  <conditionalFormatting sqref="B53:S57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1:S65">
    <cfRule type="colorScale" priority="3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9:S73">
    <cfRule type="colorScale" priority="4">
      <colorScale>
        <cfvo type="num" val="0.05"/>
        <cfvo type="num" val="0.25"/>
        <cfvo type="num" val="0.6"/>
        <color rgb="FF63BE7B"/>
        <color rgb="FFFFEB84"/>
        <color rgb="FFF8696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73"/>
  <sheetViews>
    <sheetView showGridLines="0" tabSelected="1" topLeftCell="A4" workbookViewId="0">
      <selection activeCell="O24" sqref="O24"/>
    </sheetView>
  </sheetViews>
  <sheetFormatPr defaultColWidth="8.6796875" defaultRowHeight="14"/>
  <cols>
    <col min="1" max="1" width="28" customWidth="1"/>
    <col min="2" max="20" width="10" customWidth="1"/>
  </cols>
  <sheetData>
    <row r="1" ht="25.5" customHeight="1" spans="1:1">
      <c r="A1" s="103" t="s">
        <v>107</v>
      </c>
    </row>
    <row r="3" ht="15" customHeight="1" spans="1:1">
      <c r="A3" s="31" t="s">
        <v>108</v>
      </c>
    </row>
    <row r="4" ht="15" customHeight="1" spans="1:19">
      <c r="A4" s="33" t="s">
        <v>81</v>
      </c>
      <c r="B4" s="34" t="s">
        <v>3</v>
      </c>
      <c r="C4" s="34" t="s">
        <v>4</v>
      </c>
      <c r="D4" s="34" t="s">
        <v>5</v>
      </c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  <c r="J4" s="34" t="s">
        <v>11</v>
      </c>
      <c r="K4" s="34" t="s">
        <v>12</v>
      </c>
      <c r="L4" s="34" t="s">
        <v>13</v>
      </c>
      <c r="M4" s="34" t="s">
        <v>14</v>
      </c>
      <c r="N4" s="34" t="s">
        <v>15</v>
      </c>
      <c r="O4" s="34" t="s">
        <v>16</v>
      </c>
      <c r="P4" s="34" t="s">
        <v>17</v>
      </c>
      <c r="Q4" s="34" t="s">
        <v>18</v>
      </c>
      <c r="R4" s="34" t="s">
        <v>19</v>
      </c>
      <c r="S4" s="34" t="s">
        <v>20</v>
      </c>
    </row>
    <row r="5" ht="15" customHeight="1" spans="1:19">
      <c r="A5" s="104" t="s">
        <v>22</v>
      </c>
      <c r="B5" s="105">
        <f>'0. Database'!C6</f>
        <v>26764</v>
      </c>
      <c r="C5" s="105">
        <f>'0. Database'!D6</f>
        <v>27759</v>
      </c>
      <c r="D5" s="105">
        <f>'0. Database'!E6</f>
        <v>13359</v>
      </c>
      <c r="E5" s="105">
        <f>'0. Database'!F6</f>
        <v>11756</v>
      </c>
      <c r="F5" s="105">
        <f>'0. Database'!G6</f>
        <v>11389</v>
      </c>
      <c r="G5" s="105">
        <f>'0. Database'!H6</f>
        <v>12924</v>
      </c>
      <c r="H5" s="105">
        <f>'0. Database'!I6</f>
        <v>16219</v>
      </c>
      <c r="I5" s="105">
        <f>'0. Database'!J6</f>
        <v>18724</v>
      </c>
      <c r="J5" s="105">
        <f>'0. Database'!K6</f>
        <v>24351</v>
      </c>
      <c r="K5" s="105">
        <f>'0. Database'!L6</f>
        <v>29687</v>
      </c>
      <c r="L5" s="105">
        <f>'0. Database'!M6</f>
        <v>50074</v>
      </c>
      <c r="M5" s="105">
        <f>'0. Database'!N6</f>
        <v>59661</v>
      </c>
      <c r="N5" s="105">
        <f>'0. Database'!O6</f>
        <v>69773</v>
      </c>
      <c r="O5" s="105">
        <f>'0. Database'!P6</f>
        <v>79541.62</v>
      </c>
      <c r="P5" s="105">
        <f>'0. Database'!Q6</f>
        <v>85628.96</v>
      </c>
      <c r="Q5" s="105">
        <f>'0. Database'!R6</f>
        <v>69877.51</v>
      </c>
      <c r="R5" s="105">
        <f>'0. Database'!S6</f>
        <v>101371.29</v>
      </c>
      <c r="S5" s="105">
        <f>'0. Database'!T6</f>
        <v>108509.49</v>
      </c>
    </row>
    <row r="6" ht="15" customHeight="1" spans="1:19">
      <c r="A6" s="104" t="s">
        <v>38</v>
      </c>
      <c r="B6" s="105">
        <f>'0. Database'!C22</f>
        <v>673</v>
      </c>
      <c r="C6" s="105">
        <f>'0. Database'!D22</f>
        <v>458</v>
      </c>
      <c r="D6" s="105">
        <f>'0. Database'!E22</f>
        <v>1507</v>
      </c>
      <c r="E6" s="105">
        <f>'0. Database'!F22</f>
        <v>3108</v>
      </c>
      <c r="F6" s="105">
        <f>'0. Database'!G22</f>
        <v>4331</v>
      </c>
      <c r="G6" s="105">
        <f>'0. Database'!H22</f>
        <v>7296</v>
      </c>
      <c r="H6" s="105">
        <f>'0. Database'!I22</f>
        <v>9201</v>
      </c>
      <c r="I6" s="105">
        <f>'0. Database'!J22</f>
        <v>13531</v>
      </c>
      <c r="J6" s="105">
        <f>'0. Database'!K22</f>
        <v>18532</v>
      </c>
      <c r="K6" s="105">
        <f>'0. Database'!L22</f>
        <v>22841</v>
      </c>
      <c r="L6" s="105">
        <f>'0. Database'!M22</f>
        <v>24631</v>
      </c>
      <c r="M6" s="105">
        <f>'0. Database'!N22</f>
        <v>39834</v>
      </c>
      <c r="N6" s="105">
        <f>'0. Database'!O22</f>
        <v>45606</v>
      </c>
      <c r="O6" s="105">
        <f>'0. Database'!P22</f>
        <v>58892.45</v>
      </c>
      <c r="P6" s="105">
        <f>'0. Database'!Q22</f>
        <v>76144.3</v>
      </c>
      <c r="Q6" s="105">
        <f>'0. Database'!R22</f>
        <v>98372.18</v>
      </c>
      <c r="R6" s="105">
        <f>'0. Database'!S22</f>
        <v>123330.71</v>
      </c>
      <c r="S6" s="105">
        <f>'0. Database'!T22</f>
        <v>152115.05</v>
      </c>
    </row>
    <row r="7" ht="15" customHeight="1" spans="1:19">
      <c r="A7" s="104" t="s">
        <v>42</v>
      </c>
      <c r="B7" s="105">
        <f>'0. Database'!C37</f>
        <v>16260</v>
      </c>
      <c r="C7" s="105">
        <f>'0. Database'!D37</f>
        <v>18965</v>
      </c>
      <c r="D7" s="105">
        <f>'0. Database'!E37</f>
        <v>23319</v>
      </c>
      <c r="E7" s="105">
        <f>'0. Database'!F37</f>
        <v>27055</v>
      </c>
      <c r="F7" s="105">
        <f>'0. Database'!G37</f>
        <v>32456</v>
      </c>
      <c r="G7" s="105">
        <f>'0. Database'!H37</f>
        <v>43137</v>
      </c>
      <c r="H7" s="105">
        <f>'0. Database'!I37</f>
        <v>48999</v>
      </c>
      <c r="I7" s="105">
        <f>'0. Database'!J37</f>
        <v>54606</v>
      </c>
      <c r="J7" s="105">
        <f>'0. Database'!K37</f>
        <v>91855</v>
      </c>
      <c r="K7" s="105">
        <f>'0. Database'!L37</f>
        <v>82699</v>
      </c>
      <c r="L7" s="105">
        <f>'0. Database'!M37</f>
        <v>95858</v>
      </c>
      <c r="M7" s="105">
        <f>'0. Database'!N37</f>
        <v>121263</v>
      </c>
      <c r="N7" s="105">
        <f>'0. Database'!O37</f>
        <v>139404</v>
      </c>
      <c r="O7" s="105">
        <f>'0. Database'!P37</f>
        <v>166048.71</v>
      </c>
      <c r="P7" s="105">
        <f>'0. Database'!Q37</f>
        <v>188404.24</v>
      </c>
      <c r="Q7" s="105">
        <f>'0. Database'!R37</f>
        <v>207483.23</v>
      </c>
      <c r="R7" s="105">
        <f>'0. Database'!S37</f>
        <v>229196.58</v>
      </c>
      <c r="S7" s="105">
        <f>'0. Database'!T37</f>
        <v>258679.36</v>
      </c>
    </row>
    <row r="8" ht="15" customHeight="1" spans="1:19">
      <c r="A8" s="104" t="s">
        <v>48</v>
      </c>
      <c r="B8" s="105">
        <f>'0. Database'!C54</f>
        <v>2804</v>
      </c>
      <c r="C8" s="105">
        <f>'0. Database'!D54</f>
        <v>4994.8</v>
      </c>
      <c r="D8" s="105">
        <f>'0. Database'!E54</f>
        <v>6225</v>
      </c>
      <c r="E8" s="105">
        <f>'0. Database'!F54</f>
        <v>12427</v>
      </c>
      <c r="F8" s="105">
        <f>'0. Database'!G54</f>
        <v>20202</v>
      </c>
      <c r="G8" s="105">
        <f>'0. Database'!H54</f>
        <v>24913</v>
      </c>
      <c r="H8" s="105">
        <f>'0. Database'!I54</f>
        <v>28489</v>
      </c>
      <c r="I8" s="105">
        <f>'0. Database'!J54</f>
        <v>39294</v>
      </c>
      <c r="J8" s="105">
        <f>'0. Database'!K54</f>
        <v>56946</v>
      </c>
      <c r="K8" s="105">
        <f>'0. Database'!L54</f>
        <v>42661</v>
      </c>
      <c r="L8" s="105">
        <f>'0. Database'!M54</f>
        <v>62871</v>
      </c>
      <c r="M8" s="105">
        <f>'0. Database'!N54</f>
        <v>87109</v>
      </c>
      <c r="N8" s="105">
        <f>'0. Database'!O54</f>
        <v>102469</v>
      </c>
      <c r="O8" s="105">
        <f>'0. Database'!P54</f>
        <v>107256.35</v>
      </c>
      <c r="P8" s="105">
        <f>'0. Database'!Q54</f>
        <v>123332.59</v>
      </c>
      <c r="Q8" s="105">
        <f>'0. Database'!R54</f>
        <v>142728</v>
      </c>
      <c r="R8" s="105">
        <f>'0. Database'!S54</f>
        <v>179457.68</v>
      </c>
      <c r="S8" s="105">
        <f>'0. Database'!T54</f>
        <v>192345.26</v>
      </c>
    </row>
    <row r="9" ht="15" customHeight="1" spans="1:19">
      <c r="A9" s="104" t="s">
        <v>55</v>
      </c>
      <c r="B9" s="105">
        <f>'0. Database'!C72</f>
        <v>14684</v>
      </c>
      <c r="C9" s="105">
        <f>'0. Database'!D72</f>
        <v>14758</v>
      </c>
      <c r="D9" s="105">
        <f>'0. Database'!E72</f>
        <v>13870</v>
      </c>
      <c r="E9" s="105">
        <f>'0. Database'!F72</f>
        <v>12604</v>
      </c>
      <c r="F9" s="105">
        <f>'0. Database'!G72</f>
        <v>12710</v>
      </c>
      <c r="G9" s="105">
        <f>'0. Database'!H72</f>
        <v>13264</v>
      </c>
      <c r="H9" s="105">
        <f>'0. Database'!I72</f>
        <v>13535</v>
      </c>
      <c r="I9" s="105">
        <f>'0. Database'!J72</f>
        <v>13897</v>
      </c>
      <c r="J9" s="105">
        <f>'0. Database'!K72</f>
        <v>15214</v>
      </c>
      <c r="K9" s="105">
        <f>'0. Database'!L72</f>
        <v>10927</v>
      </c>
      <c r="L9" s="105">
        <f>'0. Database'!M72</f>
        <v>13094</v>
      </c>
      <c r="M9" s="105">
        <f>'0. Database'!N72</f>
        <v>15354</v>
      </c>
      <c r="N9" s="105">
        <f>'0. Database'!O72</f>
        <v>17678</v>
      </c>
      <c r="O9" s="105">
        <f>'0. Database'!P72</f>
        <v>19462.44</v>
      </c>
      <c r="P9" s="105">
        <f>'0. Database'!Q72</f>
        <v>21128.19</v>
      </c>
      <c r="Q9" s="105">
        <f>'0. Database'!R72</f>
        <v>36930.86</v>
      </c>
      <c r="R9" s="105">
        <f>'0. Database'!S72</f>
        <v>53057.71</v>
      </c>
      <c r="S9" s="105">
        <f>'0. Database'!T72</f>
        <v>57952.82</v>
      </c>
    </row>
    <row r="11" ht="15" customHeight="1" spans="1:1">
      <c r="A11" s="31" t="s">
        <v>109</v>
      </c>
    </row>
    <row r="12" ht="15" customHeight="1" spans="1:19">
      <c r="A12" s="33" t="s">
        <v>81</v>
      </c>
      <c r="B12" s="34" t="s">
        <v>3</v>
      </c>
      <c r="C12" s="34" t="s">
        <v>4</v>
      </c>
      <c r="D12" s="34" t="s">
        <v>5</v>
      </c>
      <c r="E12" s="34" t="s">
        <v>6</v>
      </c>
      <c r="F12" s="34" t="s">
        <v>7</v>
      </c>
      <c r="G12" s="34" t="s">
        <v>8</v>
      </c>
      <c r="H12" s="34" t="s">
        <v>9</v>
      </c>
      <c r="I12" s="34" t="s">
        <v>10</v>
      </c>
      <c r="J12" s="34" t="s">
        <v>11</v>
      </c>
      <c r="K12" s="34" t="s">
        <v>12</v>
      </c>
      <c r="L12" s="34" t="s">
        <v>13</v>
      </c>
      <c r="M12" s="34" t="s">
        <v>14</v>
      </c>
      <c r="N12" s="34" t="s">
        <v>15</v>
      </c>
      <c r="O12" s="34" t="s">
        <v>16</v>
      </c>
      <c r="P12" s="34" t="s">
        <v>17</v>
      </c>
      <c r="Q12" s="34" t="s">
        <v>18</v>
      </c>
      <c r="R12" s="34" t="s">
        <v>19</v>
      </c>
      <c r="S12" s="34" t="s">
        <v>20</v>
      </c>
    </row>
    <row r="13" ht="15" customHeight="1" spans="1:19">
      <c r="A13" s="104" t="s">
        <v>22</v>
      </c>
      <c r="B13" s="105">
        <f>'0. Database'!C7</f>
        <v>21863</v>
      </c>
      <c r="C13" s="105">
        <f>'0. Database'!D7</f>
        <v>22074</v>
      </c>
      <c r="D13" s="105">
        <f>'0. Database'!E7</f>
        <v>12193</v>
      </c>
      <c r="E13" s="105">
        <f>'0. Database'!F7</f>
        <v>16798</v>
      </c>
      <c r="F13" s="105">
        <f>'0. Database'!G7</f>
        <v>25489</v>
      </c>
      <c r="G13" s="105">
        <f>'0. Database'!H7</f>
        <v>16571</v>
      </c>
      <c r="H13" s="105">
        <f>'0. Database'!I7</f>
        <v>39240</v>
      </c>
      <c r="I13" s="105">
        <f>'0. Database'!J7</f>
        <v>44281</v>
      </c>
      <c r="J13" s="105">
        <f>'0. Database'!K7</f>
        <v>61271</v>
      </c>
      <c r="K13" s="105">
        <f>'0. Database'!L7</f>
        <v>72738</v>
      </c>
      <c r="L13" s="105">
        <f>'0. Database'!M7</f>
        <v>72361</v>
      </c>
      <c r="M13" s="105">
        <f>'0. Database'!N7</f>
        <v>88136</v>
      </c>
      <c r="N13" s="105">
        <f>'0. Database'!O7</f>
        <v>101832</v>
      </c>
      <c r="O13" s="105">
        <f>'0. Database'!P7</f>
        <v>129372.86</v>
      </c>
      <c r="P13" s="105">
        <f>'0. Database'!Q7</f>
        <v>144971.56</v>
      </c>
      <c r="Q13" s="105">
        <f>'0. Database'!R7</f>
        <v>175683.92</v>
      </c>
      <c r="R13" s="105">
        <f>'0. Database'!S7</f>
        <v>215472.22</v>
      </c>
      <c r="S13" s="105">
        <f>'0. Database'!T7</f>
        <v>258948.36</v>
      </c>
    </row>
    <row r="14" ht="15" customHeight="1" spans="1:19">
      <c r="A14" s="104" t="s">
        <v>38</v>
      </c>
      <c r="B14" s="105">
        <f>'0. Database'!C23</f>
        <v>273</v>
      </c>
      <c r="C14" s="105">
        <f>'0. Database'!D23</f>
        <v>-240.6</v>
      </c>
      <c r="D14" s="105">
        <f>'0. Database'!E23</f>
        <v>596.1</v>
      </c>
      <c r="E14" s="105">
        <f>'0. Database'!F23</f>
        <v>2371</v>
      </c>
      <c r="F14" s="105">
        <f>'0. Database'!G23</f>
        <v>3033</v>
      </c>
      <c r="G14" s="105">
        <f>'0. Database'!H23</f>
        <v>10073</v>
      </c>
      <c r="H14" s="105">
        <f>'0. Database'!I23</f>
        <v>11588</v>
      </c>
      <c r="I14" s="105">
        <f>'0. Database'!J23</f>
        <v>21331</v>
      </c>
      <c r="J14" s="105">
        <f>'0. Database'!K23</f>
        <v>33364</v>
      </c>
      <c r="K14" s="105">
        <f>'0. Database'!L23</f>
        <v>-2722</v>
      </c>
      <c r="L14" s="105">
        <f>'0. Database'!M23</f>
        <v>30425</v>
      </c>
      <c r="M14" s="105">
        <f>'0. Database'!N23</f>
        <v>59248</v>
      </c>
      <c r="N14" s="105">
        <f>'0. Database'!O23</f>
        <v>77670</v>
      </c>
      <c r="O14" s="105">
        <f>'0. Database'!P23</f>
        <v>98333.72</v>
      </c>
      <c r="P14" s="105">
        <f>'0. Database'!Q23</f>
        <v>116218.4</v>
      </c>
      <c r="Q14" s="105">
        <f>'0. Database'!R23</f>
        <v>145016.4</v>
      </c>
      <c r="R14" s="105">
        <f>'0. Database'!S23</f>
        <v>177176.2</v>
      </c>
      <c r="S14" s="105">
        <f>'0. Database'!T23</f>
        <v>211925.99</v>
      </c>
    </row>
    <row r="15" ht="15" customHeight="1" spans="1:19">
      <c r="A15" s="104" t="s">
        <v>42</v>
      </c>
      <c r="B15" s="105">
        <f>'0. Database'!C38</f>
        <v>12720</v>
      </c>
      <c r="C15" s="105">
        <f>'0. Database'!D38</f>
        <v>14136</v>
      </c>
      <c r="D15" s="105">
        <f>'0. Database'!E38</f>
        <v>16348</v>
      </c>
      <c r="E15" s="105">
        <f>'0. Database'!F38</f>
        <v>19478</v>
      </c>
      <c r="F15" s="105">
        <f>'0. Database'!G38</f>
        <v>12662</v>
      </c>
      <c r="G15" s="105">
        <f>'0. Database'!H38</f>
        <v>30736</v>
      </c>
      <c r="H15" s="105">
        <f>'0. Database'!I38</f>
        <v>34343</v>
      </c>
      <c r="I15" s="105">
        <f>'0. Database'!J38</f>
        <v>40269</v>
      </c>
      <c r="J15" s="105">
        <f>'0. Database'!K38</f>
        <v>76033</v>
      </c>
      <c r="K15" s="105">
        <f>'0. Database'!L38</f>
        <v>59972</v>
      </c>
      <c r="L15" s="105">
        <f>'0. Database'!M38</f>
        <v>73795</v>
      </c>
      <c r="M15" s="105">
        <f>'0. Database'!N38</f>
        <v>100118</v>
      </c>
      <c r="N15" s="105">
        <f>'0. Database'!O38</f>
        <v>132170</v>
      </c>
      <c r="O15" s="105">
        <f>'0. Database'!P38</f>
        <v>168543.28</v>
      </c>
      <c r="P15" s="105">
        <f>'0. Database'!Q38</f>
        <v>174626.97</v>
      </c>
      <c r="Q15" s="105">
        <f>'0. Database'!R38</f>
        <v>210753.44</v>
      </c>
      <c r="R15" s="105">
        <f>'0. Database'!S38</f>
        <v>249488.6</v>
      </c>
      <c r="S15" s="105">
        <f>'0. Database'!T38</f>
        <v>285975.76</v>
      </c>
    </row>
    <row r="16" ht="15" customHeight="1" spans="1:19">
      <c r="A16" s="104" t="s">
        <v>48</v>
      </c>
      <c r="B16" s="105">
        <f>'0. Database'!C55</f>
        <v>1491</v>
      </c>
      <c r="C16" s="105">
        <f>'0. Database'!D55</f>
        <v>2924.8</v>
      </c>
      <c r="D16" s="105">
        <f>'0. Database'!E55</f>
        <v>3669</v>
      </c>
      <c r="E16" s="105">
        <f>'0. Database'!F55</f>
        <v>10187.2</v>
      </c>
      <c r="F16" s="105">
        <f>'0. Database'!G55</f>
        <v>15919</v>
      </c>
      <c r="G16" s="105">
        <f>'0. Database'!H55</f>
        <v>22112</v>
      </c>
      <c r="H16" s="105">
        <f>'0. Database'!I55</f>
        <v>18484.5</v>
      </c>
      <c r="I16" s="105">
        <f>'0. Database'!J55</f>
        <v>29145</v>
      </c>
      <c r="J16" s="105">
        <f>'0. Database'!K55</f>
        <v>39370</v>
      </c>
      <c r="K16" s="105">
        <f>'0. Database'!L55</f>
        <v>23199</v>
      </c>
      <c r="L16" s="105">
        <f>'0. Database'!M55</f>
        <v>39097</v>
      </c>
      <c r="M16" s="105">
        <f>'0. Database'!N55</f>
        <v>62360</v>
      </c>
      <c r="N16" s="105">
        <f>'0. Database'!O55</f>
        <v>60458</v>
      </c>
      <c r="O16" s="105">
        <f>'0. Database'!P55</f>
        <v>85782.86</v>
      </c>
      <c r="P16" s="105">
        <f>'0. Database'!Q55</f>
        <v>91160.94</v>
      </c>
      <c r="Q16" s="105">
        <f>'0. Database'!R55</f>
        <v>103452.71</v>
      </c>
      <c r="R16" s="105">
        <f>'0. Database'!S55</f>
        <v>115846.5</v>
      </c>
      <c r="S16" s="105">
        <f>'0. Database'!T55</f>
        <v>127804.37</v>
      </c>
    </row>
    <row r="17" ht="15" customHeight="1" spans="1:19">
      <c r="A17" s="104" t="s">
        <v>55</v>
      </c>
      <c r="B17" s="105">
        <f>'0. Database'!C73</f>
        <v>10926</v>
      </c>
      <c r="C17" s="105">
        <f>'0. Database'!D73</f>
        <v>10955</v>
      </c>
      <c r="D17" s="105">
        <f>'0. Database'!E73</f>
        <v>9938</v>
      </c>
      <c r="E17" s="105">
        <f>'0. Database'!F73</f>
        <v>8900</v>
      </c>
      <c r="F17" s="105">
        <f>'0. Database'!G73</f>
        <v>9334</v>
      </c>
      <c r="G17" s="105">
        <f>'0. Database'!H73</f>
        <v>3587</v>
      </c>
      <c r="H17" s="105">
        <f>'0. Database'!I73</f>
        <v>11083</v>
      </c>
      <c r="I17" s="105">
        <f>'0. Database'!J73</f>
        <v>10135</v>
      </c>
      <c r="J17" s="105">
        <f>'0. Database'!K73</f>
        <v>13747</v>
      </c>
      <c r="K17" s="105">
        <f>'0. Database'!L73</f>
        <v>6718</v>
      </c>
      <c r="L17" s="105">
        <f>'0. Database'!M73</f>
        <v>8504</v>
      </c>
      <c r="M17" s="105">
        <f>'0. Database'!N73</f>
        <v>10467</v>
      </c>
      <c r="N17" s="105">
        <f>'0. Database'!O73</f>
        <v>12443</v>
      </c>
      <c r="O17" s="105">
        <f>'0. Database'!P73</f>
        <v>15820.55</v>
      </c>
      <c r="P17" s="105">
        <f>'0. Database'!Q73</f>
        <v>13363.1</v>
      </c>
      <c r="Q17" s="105">
        <f>'0. Database'!R73</f>
        <v>26776.66</v>
      </c>
      <c r="R17" s="105">
        <f>'0. Database'!S73</f>
        <v>39834.82</v>
      </c>
      <c r="S17" s="105">
        <f>'0. Database'!T73</f>
        <v>44104.48</v>
      </c>
    </row>
    <row r="19" ht="15" customHeight="1" spans="1:1">
      <c r="A19" s="31" t="s">
        <v>110</v>
      </c>
    </row>
    <row r="20" ht="15" customHeight="1" spans="1:19">
      <c r="A20" s="33" t="s">
        <v>81</v>
      </c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8</v>
      </c>
      <c r="H20" s="34" t="s">
        <v>9</v>
      </c>
      <c r="I20" s="34" t="s">
        <v>10</v>
      </c>
      <c r="J20" s="34" t="s">
        <v>11</v>
      </c>
      <c r="K20" s="34" t="s">
        <v>12</v>
      </c>
      <c r="L20" s="34" t="s">
        <v>13</v>
      </c>
      <c r="M20" s="34" t="s">
        <v>14</v>
      </c>
      <c r="N20" s="34" t="s">
        <v>15</v>
      </c>
      <c r="O20" s="34" t="s">
        <v>16</v>
      </c>
      <c r="P20" s="34" t="s">
        <v>17</v>
      </c>
      <c r="Q20" s="34" t="s">
        <v>18</v>
      </c>
      <c r="R20" s="34" t="s">
        <v>19</v>
      </c>
      <c r="S20" s="34" t="s">
        <v>20</v>
      </c>
    </row>
    <row r="21" ht="15" customHeight="1" spans="1:19">
      <c r="A21" s="104" t="s">
        <v>22</v>
      </c>
      <c r="B21" s="105">
        <f>'0. Database'!C8</f>
        <v>2.58</v>
      </c>
      <c r="C21" s="105">
        <f>'0. Database'!D8</f>
        <v>2.63</v>
      </c>
      <c r="D21" s="105">
        <f>'0. Database'!E8</f>
        <v>1.48</v>
      </c>
      <c r="E21" s="105">
        <f>'0. Database'!F8</f>
        <v>2.1</v>
      </c>
      <c r="F21" s="105">
        <f>'0. Database'!G8</f>
        <v>2.71</v>
      </c>
      <c r="G21" s="105">
        <f>'0. Database'!H8</f>
        <v>2.13</v>
      </c>
      <c r="H21" s="105">
        <f>'0. Database'!I8</f>
        <v>5.06</v>
      </c>
      <c r="I21" s="105">
        <f>'0. Database'!J8</f>
        <v>5.76</v>
      </c>
      <c r="J21" s="105">
        <f>'0. Database'!K8</f>
        <v>8.05</v>
      </c>
      <c r="K21" s="105">
        <f>'0. Database'!L8</f>
        <v>9.65</v>
      </c>
      <c r="L21" s="105">
        <f>'0. Database'!M8</f>
        <v>9.68</v>
      </c>
      <c r="M21" s="105">
        <f>'0. Database'!N8</f>
        <v>11.8</v>
      </c>
      <c r="N21" s="105">
        <f>'0. Database'!O8</f>
        <v>13.64</v>
      </c>
      <c r="O21" s="105">
        <f>'0. Database'!P8</f>
        <v>17.28</v>
      </c>
      <c r="P21" s="105">
        <f>'0. Database'!Q8</f>
        <v>19.42</v>
      </c>
      <c r="Q21" s="105">
        <f>'0. Database'!R8</f>
        <v>22.81</v>
      </c>
      <c r="R21" s="105">
        <f>'0. Database'!S8</f>
        <v>27</v>
      </c>
      <c r="S21" s="105">
        <f>'0. Database'!T8</f>
        <v>31.49</v>
      </c>
    </row>
    <row r="22" ht="15" customHeight="1" spans="1:19">
      <c r="A22" s="104" t="s">
        <v>38</v>
      </c>
      <c r="B22" s="105">
        <f>'0. Database'!C24</f>
        <v>0.03</v>
      </c>
      <c r="C22" s="105">
        <f>'0. Database'!D24</f>
        <v>-0.03</v>
      </c>
      <c r="D22" s="105">
        <f>'0. Database'!E24</f>
        <v>0.06</v>
      </c>
      <c r="E22" s="105">
        <f>'0. Database'!F24</f>
        <v>0.25</v>
      </c>
      <c r="F22" s="105">
        <f>'0. Database'!G24</f>
        <v>0.23</v>
      </c>
      <c r="G22" s="105">
        <f>'0. Database'!H24</f>
        <v>1.01</v>
      </c>
      <c r="H22" s="105">
        <f>'0. Database'!I24</f>
        <v>1.15</v>
      </c>
      <c r="I22" s="105">
        <f>'0. Database'!J24</f>
        <v>2.09</v>
      </c>
      <c r="J22" s="105">
        <f>'0. Database'!K24</f>
        <v>2.33</v>
      </c>
      <c r="K22" s="105">
        <f>'0. Database'!L24</f>
        <v>0.72</v>
      </c>
      <c r="L22" s="105">
        <f>'0. Database'!M24</f>
        <v>2.84</v>
      </c>
      <c r="M22" s="105">
        <f>'0. Database'!N24</f>
        <v>5.53</v>
      </c>
      <c r="N22" s="105">
        <f>'0. Database'!O24</f>
        <v>7.17</v>
      </c>
      <c r="O22" s="105">
        <f>'0. Database'!P24</f>
        <v>8.79</v>
      </c>
      <c r="P22" s="105">
        <f>'0. Database'!Q24</f>
        <v>10.03</v>
      </c>
      <c r="Q22" s="105">
        <f>'0. Database'!R24</f>
        <v>12.92</v>
      </c>
      <c r="R22" s="105">
        <f>'0. Database'!S24</f>
        <v>14.34</v>
      </c>
      <c r="S22" s="105">
        <f>'0. Database'!T24</f>
        <v>17.13</v>
      </c>
    </row>
    <row r="23" ht="15" customHeight="1" spans="1:19">
      <c r="A23" s="104" t="s">
        <v>42</v>
      </c>
      <c r="B23" s="105">
        <f>'0. Database'!C39</f>
        <v>0.9</v>
      </c>
      <c r="C23" s="105">
        <f>'0. Database'!D39</f>
        <v>1.01</v>
      </c>
      <c r="D23" s="105">
        <f>'0. Database'!E39</f>
        <v>1.14</v>
      </c>
      <c r="E23" s="105">
        <f>'0. Database'!F39</f>
        <v>1.39</v>
      </c>
      <c r="F23" s="105">
        <f>'0. Database'!G39</f>
        <v>1.6</v>
      </c>
      <c r="G23" s="105">
        <f>'0. Database'!H39</f>
        <v>2.19</v>
      </c>
      <c r="H23" s="105">
        <f>'0. Database'!I39</f>
        <v>2.33</v>
      </c>
      <c r="I23" s="105">
        <f>'0. Database'!J39</f>
        <v>2.93</v>
      </c>
      <c r="J23" s="105">
        <f>'0. Database'!K39</f>
        <v>5.61</v>
      </c>
      <c r="K23" s="105">
        <f>'0. Database'!L39</f>
        <v>4.56</v>
      </c>
      <c r="L23" s="105">
        <f>'0. Database'!M39</f>
        <v>5.8</v>
      </c>
      <c r="M23" s="105">
        <f>'0. Database'!N39</f>
        <v>8.04</v>
      </c>
      <c r="N23" s="105">
        <f>'0. Database'!O39</f>
        <v>10.81</v>
      </c>
      <c r="O23" s="105">
        <f>'0. Database'!P39</f>
        <v>14.19</v>
      </c>
      <c r="P23" s="105">
        <f>'0. Database'!Q39</f>
        <v>14.69</v>
      </c>
      <c r="Q23" s="105">
        <f>'0. Database'!R39</f>
        <v>17.35</v>
      </c>
      <c r="R23" s="105">
        <f>'0. Database'!S39</f>
        <v>21.25</v>
      </c>
      <c r="S23" s="105">
        <f>'0. Database'!T39</f>
        <v>26.04</v>
      </c>
    </row>
    <row r="24" ht="15" customHeight="1" spans="1:19">
      <c r="A24" s="104" t="s">
        <v>48</v>
      </c>
      <c r="B24" s="105">
        <f>'0. Database'!C56</f>
        <v>0.6</v>
      </c>
      <c r="C24" s="105">
        <f>'0. Database'!D56</f>
        <v>1.1</v>
      </c>
      <c r="D24" s="105">
        <f>'0. Database'!E56</f>
        <v>1.29</v>
      </c>
      <c r="E24" s="105">
        <f>'0. Database'!F56</f>
        <v>3.49</v>
      </c>
      <c r="F24" s="105">
        <f>'0. Database'!G56</f>
        <v>6.16</v>
      </c>
      <c r="G24" s="105">
        <f>'0. Database'!H56</f>
        <v>7.57</v>
      </c>
      <c r="H24" s="105">
        <f>'0. Database'!I56</f>
        <v>8.56</v>
      </c>
      <c r="I24" s="105">
        <f>'0. Database'!J56</f>
        <v>9.78</v>
      </c>
      <c r="J24" s="105">
        <f>'0. Database'!K56</f>
        <v>13.77</v>
      </c>
      <c r="K24" s="105">
        <f>'0. Database'!L56</f>
        <v>8.59</v>
      </c>
      <c r="L24" s="105">
        <f>'0. Database'!M56</f>
        <v>14.87</v>
      </c>
      <c r="M24" s="105">
        <f>'0. Database'!N56</f>
        <v>23.86</v>
      </c>
      <c r="N24" s="105">
        <f>'0. Database'!O56</f>
        <v>23.49</v>
      </c>
      <c r="O24" s="105">
        <f>'0. Database'!P56</f>
        <v>32.2</v>
      </c>
      <c r="P24" s="105">
        <f>'0. Database'!Q56</f>
        <v>34.9</v>
      </c>
      <c r="Q24" s="105">
        <f>'0. Database'!R56</f>
        <v>40.5</v>
      </c>
      <c r="R24" s="105">
        <f>'0. Database'!S56</f>
        <v>48.62</v>
      </c>
      <c r="S24" s="105">
        <f>'0. Database'!T56</f>
        <v>57</v>
      </c>
    </row>
    <row r="25" ht="15" customHeight="1" spans="1:19">
      <c r="A25" s="104" t="s">
        <v>55</v>
      </c>
      <c r="B25" s="105">
        <f>'0. Database'!C74</f>
        <v>2.26</v>
      </c>
      <c r="C25" s="105">
        <f>'0. Database'!D74</f>
        <v>2.38</v>
      </c>
      <c r="D25" s="105">
        <f>'0. Database'!E74</f>
        <v>2.21</v>
      </c>
      <c r="E25" s="105">
        <f>'0. Database'!F74</f>
        <v>2.07</v>
      </c>
      <c r="F25" s="105">
        <f>'0. Database'!G74</f>
        <v>2.21</v>
      </c>
      <c r="G25" s="105">
        <f>'0. Database'!H74</f>
        <v>0.9</v>
      </c>
      <c r="H25" s="105">
        <f>'0. Database'!I74</f>
        <v>2.97</v>
      </c>
      <c r="I25" s="105">
        <f>'0. Database'!J74</f>
        <v>3.08</v>
      </c>
      <c r="J25" s="105">
        <f>'0. Database'!K74</f>
        <v>4.55</v>
      </c>
      <c r="K25" s="105">
        <f>'0. Database'!L74</f>
        <v>2.41</v>
      </c>
      <c r="L25" s="105">
        <f>'0. Database'!M74</f>
        <v>3.07</v>
      </c>
      <c r="M25" s="105">
        <f>'0. Database'!N74</f>
        <v>3.71</v>
      </c>
      <c r="N25" s="105">
        <f>'0. Database'!O74</f>
        <v>4.34</v>
      </c>
      <c r="O25" s="105">
        <f>'0. Database'!P74</f>
        <v>5.85</v>
      </c>
      <c r="P25" s="105">
        <f>'0. Database'!Q74</f>
        <v>6.26</v>
      </c>
      <c r="Q25" s="105">
        <f>'0. Database'!R74</f>
        <v>8.79</v>
      </c>
      <c r="R25" s="105">
        <f>'0. Database'!S74</f>
        <v>12.89</v>
      </c>
      <c r="S25" s="105">
        <f>'0. Database'!T74</f>
        <v>16.76</v>
      </c>
    </row>
    <row r="27" ht="15" customHeight="1" spans="1:1">
      <c r="A27" s="31" t="s">
        <v>111</v>
      </c>
    </row>
    <row r="28" ht="15" customHeight="1" spans="1:19">
      <c r="A28" s="33" t="s">
        <v>81</v>
      </c>
      <c r="B28" s="34" t="s">
        <v>3</v>
      </c>
      <c r="C28" s="34" t="s">
        <v>4</v>
      </c>
      <c r="D28" s="34" t="s">
        <v>5</v>
      </c>
      <c r="E28" s="34" t="s">
        <v>6</v>
      </c>
      <c r="F28" s="34" t="s">
        <v>7</v>
      </c>
      <c r="G28" s="34" t="s">
        <v>8</v>
      </c>
      <c r="H28" s="34" t="s">
        <v>9</v>
      </c>
      <c r="I28" s="34" t="s">
        <v>10</v>
      </c>
      <c r="J28" s="34" t="s">
        <v>11</v>
      </c>
      <c r="K28" s="34" t="s">
        <v>12</v>
      </c>
      <c r="L28" s="34" t="s">
        <v>13</v>
      </c>
      <c r="M28" s="34" t="s">
        <v>14</v>
      </c>
      <c r="N28" s="34" t="s">
        <v>15</v>
      </c>
      <c r="O28" s="34" t="s">
        <v>16</v>
      </c>
      <c r="P28" s="34" t="s">
        <v>17</v>
      </c>
      <c r="Q28" s="34" t="s">
        <v>18</v>
      </c>
      <c r="R28" s="34" t="s">
        <v>19</v>
      </c>
      <c r="S28" s="34" t="s">
        <v>20</v>
      </c>
    </row>
    <row r="29" ht="15" customHeight="1" spans="1:19">
      <c r="A29" s="104" t="s">
        <v>22</v>
      </c>
      <c r="B29" s="105">
        <f>'0. Database'!C9</f>
        <v>8375</v>
      </c>
      <c r="C29" s="105">
        <f>'0. Database'!D9</f>
        <v>8299</v>
      </c>
      <c r="D29" s="105">
        <f>'0. Database'!E9</f>
        <v>8177</v>
      </c>
      <c r="E29" s="105">
        <f>'0. Database'!F9</f>
        <v>7925</v>
      </c>
      <c r="F29" s="105">
        <f>'0. Database'!G9</f>
        <v>7746</v>
      </c>
      <c r="G29" s="105">
        <f>'0. Database'!H9</f>
        <v>7700</v>
      </c>
      <c r="H29" s="105">
        <f>'0. Database'!I9</f>
        <v>7673</v>
      </c>
      <c r="I29" s="105">
        <f>'0. Database'!J9</f>
        <v>7610</v>
      </c>
      <c r="J29" s="105">
        <f>'0. Database'!K9</f>
        <v>7547</v>
      </c>
      <c r="K29" s="105">
        <f>'0. Database'!L9</f>
        <v>7496</v>
      </c>
      <c r="L29" s="105">
        <f>'0. Database'!M9</f>
        <v>7446</v>
      </c>
      <c r="M29" s="105">
        <f>'0. Database'!N9</f>
        <v>7431</v>
      </c>
      <c r="N29" s="105">
        <f>'0. Database'!O9</f>
        <v>7433</v>
      </c>
      <c r="O29" s="105">
        <f>'0. Database'!P9</f>
        <v>7425.9</v>
      </c>
      <c r="P29" s="105">
        <f>'0. Database'!Q9</f>
        <v>7410.77</v>
      </c>
      <c r="Q29" s="105">
        <f>'0. Database'!R9</f>
        <v>7384.08</v>
      </c>
      <c r="R29" s="105">
        <f>'0. Database'!S9</f>
        <v>7370.87</v>
      </c>
      <c r="S29" s="105">
        <f>'0. Database'!T9</f>
        <v>7345.29</v>
      </c>
    </row>
    <row r="30" ht="15" customHeight="1" spans="1:19">
      <c r="A30" s="104" t="s">
        <v>38</v>
      </c>
      <c r="B30" s="105">
        <f>'0. Database'!C25</f>
        <v>9140</v>
      </c>
      <c r="C30" s="105">
        <f>'0. Database'!D25</f>
        <v>9240</v>
      </c>
      <c r="D30" s="105">
        <f>'0. Database'!E25</f>
        <v>9340</v>
      </c>
      <c r="E30" s="105">
        <f>'0. Database'!F25</f>
        <v>9480</v>
      </c>
      <c r="F30" s="105">
        <f>'0. Database'!G25</f>
        <v>9600</v>
      </c>
      <c r="G30" s="105">
        <f>'0. Database'!H25</f>
        <v>9740</v>
      </c>
      <c r="H30" s="105">
        <f>'0. Database'!I25</f>
        <v>9880</v>
      </c>
      <c r="I30" s="105">
        <f>'0. Database'!J25</f>
        <v>10000</v>
      </c>
      <c r="J30" s="105">
        <f>'0. Database'!K25</f>
        <v>10120</v>
      </c>
      <c r="K30" s="105">
        <f>'0. Database'!L25</f>
        <v>10189</v>
      </c>
      <c r="L30" s="105">
        <f>'0. Database'!M25</f>
        <v>10304</v>
      </c>
      <c r="M30" s="105">
        <f>'0. Database'!N25</f>
        <v>10473</v>
      </c>
      <c r="N30" s="105">
        <f>'0. Database'!O25</f>
        <v>10656</v>
      </c>
      <c r="O30" s="105">
        <f>'0. Database'!P25</f>
        <v>10862.95</v>
      </c>
      <c r="P30" s="105">
        <f>'0. Database'!Q25</f>
        <v>10969.88</v>
      </c>
      <c r="Q30" s="105">
        <f>'0. Database'!R25</f>
        <v>11057.54</v>
      </c>
      <c r="R30" s="105">
        <f>'0. Database'!S25</f>
        <v>11153.52</v>
      </c>
      <c r="S30" s="105">
        <f>'0. Database'!T25</f>
        <v>11258.12</v>
      </c>
    </row>
    <row r="31" ht="15" customHeight="1" spans="1:19">
      <c r="A31" s="104" t="s">
        <v>42</v>
      </c>
      <c r="B31" s="105">
        <f>'0. Database'!C40</f>
        <v>13313.88</v>
      </c>
      <c r="C31" s="105">
        <f>'0. Database'!D40</f>
        <v>13518.7</v>
      </c>
      <c r="D31" s="105">
        <f>'0. Database'!E40</f>
        <v>13692.52</v>
      </c>
      <c r="E31" s="105">
        <f>'0. Database'!F40</f>
        <v>13842.18</v>
      </c>
      <c r="F31" s="105">
        <f>'0. Database'!G40</f>
        <v>13858.02</v>
      </c>
      <c r="G31" s="105">
        <f>'0. Database'!H40</f>
        <v>13902.8</v>
      </c>
      <c r="H31" s="105">
        <f>'0. Database'!I40</f>
        <v>13851.92</v>
      </c>
      <c r="I31" s="105">
        <f>'0. Database'!J40</f>
        <v>13616.32</v>
      </c>
      <c r="J31" s="105">
        <f>'0. Database'!K40</f>
        <v>13353</v>
      </c>
      <c r="K31" s="105">
        <f>'0. Database'!L40</f>
        <v>13063</v>
      </c>
      <c r="L31" s="105">
        <f>'0. Database'!M40</f>
        <v>12630</v>
      </c>
      <c r="M31" s="105">
        <f>'0. Database'!N40</f>
        <v>12319</v>
      </c>
      <c r="N31" s="105">
        <f>'0. Database'!O40</f>
        <v>12116</v>
      </c>
      <c r="O31" s="105">
        <f>'0. Database'!P40</f>
        <v>12096.35</v>
      </c>
      <c r="P31" s="105">
        <f>'0. Database'!Q40</f>
        <v>12055.53</v>
      </c>
      <c r="Q31" s="105">
        <f>'0. Database'!R40</f>
        <v>12150.69</v>
      </c>
      <c r="R31" s="105">
        <f>'0. Database'!S40</f>
        <v>12227.42</v>
      </c>
      <c r="S31" s="105">
        <f>'0. Database'!T40</f>
        <v>12193.09</v>
      </c>
    </row>
    <row r="32" ht="15" customHeight="1" spans="1:19">
      <c r="A32" s="104" t="s">
        <v>48</v>
      </c>
      <c r="B32" s="105">
        <f>'0. Database'!C57</f>
        <v>2420</v>
      </c>
      <c r="C32" s="105">
        <f>'0. Database'!D57</f>
        <v>2614</v>
      </c>
      <c r="D32" s="105">
        <f>'0. Database'!E57</f>
        <v>2803</v>
      </c>
      <c r="E32" s="105">
        <f>'0. Database'!F57</f>
        <v>2863</v>
      </c>
      <c r="F32" s="105">
        <f>'0. Database'!G57</f>
        <v>2901</v>
      </c>
      <c r="G32" s="105">
        <f>'0. Database'!H57</f>
        <v>2890</v>
      </c>
      <c r="H32" s="105">
        <f>'0. Database'!I57</f>
        <v>2854</v>
      </c>
      <c r="I32" s="105">
        <f>'0. Database'!J57</f>
        <v>2851</v>
      </c>
      <c r="J32" s="105">
        <f>'0. Database'!K57</f>
        <v>2815</v>
      </c>
      <c r="K32" s="105">
        <f>'0. Database'!L57</f>
        <v>2687</v>
      </c>
      <c r="L32" s="105">
        <f>'0. Database'!M57</f>
        <v>2574</v>
      </c>
      <c r="M32" s="105">
        <f>'0. Database'!N57</f>
        <v>2534</v>
      </c>
      <c r="N32" s="105">
        <f>'0. Database'!O57</f>
        <v>2521</v>
      </c>
      <c r="O32" s="105">
        <f>'0. Database'!P57</f>
        <v>2541.31</v>
      </c>
      <c r="P32" s="105">
        <f>'0. Database'!Q57</f>
        <v>2546.74</v>
      </c>
      <c r="Q32" s="105">
        <f>'0. Database'!R57</f>
        <v>2570.97</v>
      </c>
      <c r="R32" s="105">
        <f>'0. Database'!S57</f>
        <v>2587.5</v>
      </c>
      <c r="S32" s="105">
        <f>'0. Database'!T57</f>
        <v>2579.74</v>
      </c>
    </row>
    <row r="33" ht="15" customHeight="1" spans="1:19">
      <c r="A33" s="104" t="s">
        <v>55</v>
      </c>
      <c r="B33" s="105">
        <f>'0. Database'!C75</f>
        <v>4769</v>
      </c>
      <c r="C33" s="105">
        <f>'0. Database'!D75</f>
        <v>4528</v>
      </c>
      <c r="D33" s="105">
        <f>'0. Database'!E75</f>
        <v>4404</v>
      </c>
      <c r="E33" s="105">
        <f>'0. Database'!F75</f>
        <v>4221</v>
      </c>
      <c r="F33" s="105">
        <f>'0. Database'!G75</f>
        <v>4115</v>
      </c>
      <c r="G33" s="105">
        <f>'0. Database'!H75</f>
        <v>4121</v>
      </c>
      <c r="H33" s="105">
        <f>'0. Database'!I75</f>
        <v>3634</v>
      </c>
      <c r="I33" s="105">
        <f>'0. Database'!J75</f>
        <v>3211</v>
      </c>
      <c r="J33" s="105">
        <f>'0. Database'!K75</f>
        <v>2945</v>
      </c>
      <c r="K33" s="105">
        <f>'0. Database'!L75</f>
        <v>2700</v>
      </c>
      <c r="L33" s="105">
        <f>'0. Database'!M75</f>
        <v>2696</v>
      </c>
      <c r="M33" s="105">
        <f>'0. Database'!N75</f>
        <v>2744</v>
      </c>
      <c r="N33" s="105">
        <f>'0. Database'!O75</f>
        <v>2789</v>
      </c>
      <c r="O33" s="105">
        <f>'0. Database'!P75</f>
        <v>2864.8</v>
      </c>
      <c r="P33" s="105">
        <f>'0. Database'!Q75</f>
        <v>2932.9</v>
      </c>
      <c r="Q33" s="105">
        <f>'0. Database'!R75</f>
        <v>2976.37</v>
      </c>
      <c r="R33" s="105">
        <f>'0. Database'!S75</f>
        <v>3004.08</v>
      </c>
      <c r="S33" s="105">
        <f>'0. Database'!T75</f>
        <v>3041.61</v>
      </c>
    </row>
    <row r="35" ht="15" customHeight="1" spans="1:1">
      <c r="A35" s="31" t="s">
        <v>112</v>
      </c>
    </row>
    <row r="36" ht="15" customHeight="1" spans="1:19">
      <c r="A36" s="33" t="s">
        <v>81</v>
      </c>
      <c r="B36" s="34" t="s">
        <v>3</v>
      </c>
      <c r="C36" s="34" t="s">
        <v>4</v>
      </c>
      <c r="D36" s="34" t="s">
        <v>5</v>
      </c>
      <c r="E36" s="34" t="s">
        <v>6</v>
      </c>
      <c r="F36" s="34" t="s">
        <v>7</v>
      </c>
      <c r="G36" s="34" t="s">
        <v>8</v>
      </c>
      <c r="H36" s="34" t="s">
        <v>9</v>
      </c>
      <c r="I36" s="34" t="s">
        <v>10</v>
      </c>
      <c r="J36" s="34" t="s">
        <v>11</v>
      </c>
      <c r="K36" s="34" t="s">
        <v>12</v>
      </c>
      <c r="L36" s="34" t="s">
        <v>13</v>
      </c>
      <c r="M36" s="34" t="s">
        <v>14</v>
      </c>
      <c r="N36" s="34" t="s">
        <v>15</v>
      </c>
      <c r="O36" s="34" t="s">
        <v>16</v>
      </c>
      <c r="P36" s="34" t="s">
        <v>17</v>
      </c>
      <c r="Q36" s="34" t="s">
        <v>18</v>
      </c>
      <c r="R36" s="34" t="s">
        <v>19</v>
      </c>
      <c r="S36" s="34" t="s">
        <v>20</v>
      </c>
    </row>
    <row r="37" ht="15" customHeight="1" spans="1:19">
      <c r="A37" s="104" t="s">
        <v>22</v>
      </c>
      <c r="B37" s="105">
        <f>'0. Database'!C10</f>
        <v>2406</v>
      </c>
      <c r="C37" s="105">
        <f>'0. Database'!D10</f>
        <v>2446</v>
      </c>
      <c r="D37" s="105">
        <f>'0. Database'!E10</f>
        <v>2574</v>
      </c>
      <c r="E37" s="105">
        <f>'0. Database'!F10</f>
        <v>2668</v>
      </c>
      <c r="F37" s="105">
        <f>'0. Database'!G10</f>
        <v>3266</v>
      </c>
      <c r="G37" s="105">
        <f>'0. Database'!H10</f>
        <v>3940</v>
      </c>
      <c r="H37" s="105">
        <f>'0. Database'!I10</f>
        <v>4652</v>
      </c>
      <c r="I37" s="105">
        <f>'0. Database'!J10</f>
        <v>5289</v>
      </c>
      <c r="J37" s="105">
        <f>'0. Database'!K10</f>
        <v>6118</v>
      </c>
      <c r="K37" s="105">
        <f>'0. Database'!L10</f>
        <v>7502</v>
      </c>
      <c r="L37" s="105">
        <f>'0. Database'!M10</f>
        <v>9611</v>
      </c>
      <c r="M37" s="105">
        <f>'0. Database'!N10</f>
        <v>10734</v>
      </c>
      <c r="N37" s="105">
        <f>'0. Database'!O10</f>
        <v>11974</v>
      </c>
      <c r="O37" s="105">
        <f>'0. Database'!P10</f>
        <v>12189</v>
      </c>
      <c r="P37" s="105">
        <f>'0. Database'!Q10</f>
        <v>10478.4</v>
      </c>
      <c r="Q37" s="105">
        <f>'0. Database'!R10</f>
        <v>11434.24</v>
      </c>
      <c r="R37" s="105">
        <f>'0. Database'!S10</f>
        <v>12826.56</v>
      </c>
      <c r="S37" s="105">
        <f>'0. Database'!T10</f>
        <v>14871.62</v>
      </c>
    </row>
    <row r="38" ht="15" customHeight="1" spans="1:19">
      <c r="A38" s="104" t="s">
        <v>38</v>
      </c>
      <c r="B38" s="105">
        <f>'0. Database'!C26</f>
        <v>-1134</v>
      </c>
      <c r="C38" s="105">
        <f>'0. Database'!D26</f>
        <v>-1497</v>
      </c>
      <c r="D38" s="105">
        <f>'0. Database'!E26</f>
        <v>-2120</v>
      </c>
      <c r="E38" s="105">
        <f>'0. Database'!F26</f>
        <v>-2975</v>
      </c>
      <c r="F38" s="105">
        <f>'0. Database'!G26</f>
        <v>-4214</v>
      </c>
      <c r="G38" s="105">
        <f>'0. Database'!H26</f>
        <v>-5418</v>
      </c>
      <c r="H38" s="105">
        <f>'0. Database'!I26</f>
        <v>-6864</v>
      </c>
      <c r="I38" s="105">
        <f>'0. Database'!J26</f>
        <v>-9208</v>
      </c>
      <c r="J38" s="105">
        <f>'0. Database'!K26</f>
        <v>-12757</v>
      </c>
      <c r="K38" s="105">
        <f>'0. Database'!L26</f>
        <v>-19621</v>
      </c>
      <c r="L38" s="105">
        <f>'0. Database'!M26</f>
        <v>-24023</v>
      </c>
      <c r="M38" s="105">
        <f>'0. Database'!N26</f>
        <v>-22077.4</v>
      </c>
      <c r="N38" s="105">
        <f>'0. Database'!O26</f>
        <v>-19467</v>
      </c>
      <c r="O38" s="105">
        <f>'0. Database'!P26</f>
        <v>-18863.32</v>
      </c>
      <c r="P38" s="105">
        <f>'0. Database'!Q26</f>
        <v>-17920.15</v>
      </c>
      <c r="Q38" s="105">
        <f>'0. Database'!R26</f>
        <v>-18816.16</v>
      </c>
      <c r="R38" s="105">
        <f>'0. Database'!S26</f>
        <v>-19756.97</v>
      </c>
      <c r="S38" s="105">
        <f>'0. Database'!T26</f>
        <v>-20744.82</v>
      </c>
    </row>
    <row r="39" ht="15" customHeight="1" spans="1:19">
      <c r="A39" s="104" t="s">
        <v>42</v>
      </c>
      <c r="B39" s="105">
        <f>'0. Database'!C41</f>
        <v>-3268</v>
      </c>
      <c r="C39" s="105">
        <f>'0. Database'!D41</f>
        <v>-4175</v>
      </c>
      <c r="D39" s="105">
        <f>'0. Database'!E41</f>
        <v>-4903</v>
      </c>
      <c r="E39" s="105">
        <f>'0. Database'!F41</f>
        <v>-6703</v>
      </c>
      <c r="F39" s="105">
        <f>'0. Database'!G41</f>
        <v>-7679</v>
      </c>
      <c r="G39" s="105">
        <f>'0. Database'!H41</f>
        <v>-9353</v>
      </c>
      <c r="H39" s="105">
        <f>'0. Database'!I41</f>
        <v>-10794</v>
      </c>
      <c r="I39" s="105">
        <f>'0. Database'!J41</f>
        <v>-12991</v>
      </c>
      <c r="J39" s="105">
        <f>'0. Database'!K41</f>
        <v>-15376</v>
      </c>
      <c r="K39" s="105">
        <f>'0. Database'!L41</f>
        <v>-19362</v>
      </c>
      <c r="L39" s="105">
        <f>'0. Database'!M41</f>
        <v>-22460</v>
      </c>
      <c r="M39" s="105">
        <f>'0. Database'!N41</f>
        <v>-22785</v>
      </c>
      <c r="N39" s="105">
        <f>'0. Database'!O41</f>
        <v>-24953</v>
      </c>
      <c r="O39" s="105">
        <f>'0. Database'!P41</f>
        <v>-27937.33</v>
      </c>
      <c r="P39" s="105">
        <f>'0. Database'!Q41</f>
        <v>-30032.63</v>
      </c>
      <c r="Q39" s="105">
        <f>'0. Database'!R41</f>
        <v>-31979.73</v>
      </c>
      <c r="R39" s="105">
        <f>'0. Database'!S41</f>
        <v>-33657.1</v>
      </c>
      <c r="S39" s="105">
        <f>'0. Database'!T41</f>
        <v>-35339.95</v>
      </c>
    </row>
    <row r="40" ht="15" customHeight="1" spans="1:19">
      <c r="A40" s="104" t="s">
        <v>48</v>
      </c>
      <c r="B40" s="105">
        <f>'0. Database'!C58</f>
        <v>-906</v>
      </c>
      <c r="C40" s="105">
        <f>'0. Database'!D58</f>
        <v>-1837</v>
      </c>
      <c r="D40" s="105">
        <f>'0. Database'!E58</f>
        <v>-2969</v>
      </c>
      <c r="E40" s="105">
        <f>'0. Database'!F58</f>
        <v>-3202</v>
      </c>
      <c r="F40" s="105">
        <f>'0. Database'!G58</f>
        <v>-3723</v>
      </c>
      <c r="G40" s="105">
        <f>'0. Database'!H58</f>
        <v>-4152</v>
      </c>
      <c r="H40" s="105">
        <f>'0. Database'!I58</f>
        <v>-4835</v>
      </c>
      <c r="I40" s="105">
        <f>'0. Database'!J58</f>
        <v>-6536</v>
      </c>
      <c r="J40" s="105">
        <f>'0. Database'!K58</f>
        <v>-9163</v>
      </c>
      <c r="K40" s="105">
        <f>'0. Database'!L58</f>
        <v>-11991</v>
      </c>
      <c r="L40" s="105">
        <f>'0. Database'!M58</f>
        <v>-14027</v>
      </c>
      <c r="M40" s="105">
        <f>'0. Database'!N58</f>
        <v>-16690</v>
      </c>
      <c r="N40" s="105">
        <f>'0. Database'!O58</f>
        <v>-20426</v>
      </c>
      <c r="O40" s="105">
        <f>'0. Database'!P58</f>
        <v>-23722.2</v>
      </c>
      <c r="P40" s="105">
        <f>'0. Database'!Q58</f>
        <v>-24908.31</v>
      </c>
      <c r="Q40" s="105">
        <f>'0. Database'!R58</f>
        <v>-26153.73</v>
      </c>
      <c r="R40" s="105">
        <f>'0. Database'!S58</f>
        <v>-27461.41</v>
      </c>
      <c r="S40" s="105">
        <f>'0. Database'!T58</f>
        <v>-28834.48</v>
      </c>
    </row>
    <row r="41" ht="15" customHeight="1" spans="1:19">
      <c r="A41" s="104" t="s">
        <v>55</v>
      </c>
      <c r="B41" s="105">
        <f>'0. Database'!C76</f>
        <v>755</v>
      </c>
      <c r="C41" s="105">
        <f>'0. Database'!D76</f>
        <v>805</v>
      </c>
      <c r="D41" s="105">
        <f>'0. Database'!E76</f>
        <v>933</v>
      </c>
      <c r="E41" s="105">
        <f>'0. Database'!F76</f>
        <v>1037</v>
      </c>
      <c r="F41" s="105">
        <f>'0. Database'!G76</f>
        <v>1350</v>
      </c>
      <c r="G41" s="105">
        <f>'0. Database'!H76</f>
        <v>1607</v>
      </c>
      <c r="H41" s="105">
        <f>'0. Database'!I76</f>
        <v>1653</v>
      </c>
      <c r="I41" s="105">
        <f>'0. Database'!J76</f>
        <v>1590</v>
      </c>
      <c r="J41" s="105">
        <f>'0. Database'!K76</f>
        <v>1837</v>
      </c>
      <c r="K41" s="105">
        <f>'0. Database'!L76</f>
        <v>2613</v>
      </c>
      <c r="L41" s="105">
        <f>'0. Database'!M76</f>
        <v>3547</v>
      </c>
      <c r="M41" s="105">
        <f>'0. Database'!N76</f>
        <v>3974</v>
      </c>
      <c r="N41" s="105">
        <f>'0. Database'!O76</f>
        <v>4674</v>
      </c>
      <c r="O41" s="105">
        <f>'0. Database'!P76</f>
        <v>5069.6</v>
      </c>
      <c r="P41" s="105">
        <f>'0. Database'!Q76</f>
        <v>6473.15</v>
      </c>
      <c r="Q41" s="105">
        <f>'0. Database'!R76</f>
        <v>8609.75</v>
      </c>
      <c r="R41" s="105">
        <f>'0. Database'!S76</f>
        <v>10649.61</v>
      </c>
      <c r="S41" s="105">
        <f>'0. Database'!T76</f>
        <v>11212.32</v>
      </c>
    </row>
    <row r="43" ht="15" customHeight="1" spans="1:1">
      <c r="A43" s="31" t="s">
        <v>101</v>
      </c>
    </row>
    <row r="44" ht="15" customHeight="1" spans="1:19">
      <c r="A44" s="33" t="s">
        <v>81</v>
      </c>
      <c r="B44" s="34" t="s">
        <v>3</v>
      </c>
      <c r="C44" s="34" t="s">
        <v>4</v>
      </c>
      <c r="D44" s="34" t="s">
        <v>5</v>
      </c>
      <c r="E44" s="34" t="s">
        <v>6</v>
      </c>
      <c r="F44" s="34" t="s">
        <v>7</v>
      </c>
      <c r="G44" s="34" t="s">
        <v>8</v>
      </c>
      <c r="H44" s="34" t="s">
        <v>9</v>
      </c>
      <c r="I44" s="34" t="s">
        <v>10</v>
      </c>
      <c r="J44" s="34" t="s">
        <v>11</v>
      </c>
      <c r="K44" s="34" t="s">
        <v>12</v>
      </c>
      <c r="L44" s="34" t="s">
        <v>13</v>
      </c>
      <c r="M44" s="34" t="s">
        <v>14</v>
      </c>
      <c r="N44" s="34" t="s">
        <v>15</v>
      </c>
      <c r="O44" s="34" t="s">
        <v>16</v>
      </c>
      <c r="P44" s="34" t="s">
        <v>17</v>
      </c>
      <c r="Q44" s="34" t="s">
        <v>18</v>
      </c>
      <c r="R44" s="34" t="s">
        <v>19</v>
      </c>
      <c r="S44" s="34" t="s">
        <v>20</v>
      </c>
    </row>
    <row r="45" ht="15" customHeight="1" spans="1:19">
      <c r="A45" s="104" t="s">
        <v>22</v>
      </c>
      <c r="B45" s="105">
        <f>'0. Database'!C5</f>
        <v>77849</v>
      </c>
      <c r="C45" s="105">
        <f>'0. Database'!D5</f>
        <v>86833</v>
      </c>
      <c r="D45" s="105">
        <f>'0. Database'!E5</f>
        <v>93580</v>
      </c>
      <c r="E45" s="105">
        <f>'0. Database'!F5</f>
        <v>91963</v>
      </c>
      <c r="F45" s="105">
        <f>'0. Database'!G5</f>
        <v>96657</v>
      </c>
      <c r="G45" s="105">
        <f>'0. Database'!H5</f>
        <v>110360</v>
      </c>
      <c r="H45" s="105">
        <f>'0. Database'!I5</f>
        <v>125843</v>
      </c>
      <c r="I45" s="105">
        <f>'0. Database'!J5</f>
        <v>143015</v>
      </c>
      <c r="J45" s="105">
        <f>'0. Database'!K5</f>
        <v>168088</v>
      </c>
      <c r="K45" s="105">
        <f>'0. Database'!L5</f>
        <v>198270</v>
      </c>
      <c r="L45" s="105">
        <f>'0. Database'!M5</f>
        <v>211915</v>
      </c>
      <c r="M45" s="105">
        <f>'0. Database'!N5</f>
        <v>245122</v>
      </c>
      <c r="N45" s="105">
        <f>'0. Database'!O5</f>
        <v>281724</v>
      </c>
      <c r="O45" s="105">
        <f>'0. Database'!P5</f>
        <v>329213.24</v>
      </c>
      <c r="P45" s="105">
        <f>'0. Database'!Q5</f>
        <v>383408.94</v>
      </c>
      <c r="Q45" s="105">
        <f>'0. Database'!R5</f>
        <v>450123.14</v>
      </c>
      <c r="R45" s="105">
        <f>'0. Database'!S5</f>
        <v>533860.75</v>
      </c>
      <c r="S45" s="105">
        <f>'0. Database'!T5</f>
        <v>624709.64</v>
      </c>
    </row>
    <row r="46" ht="15" customHeight="1" spans="1:19">
      <c r="A46" s="104" t="s">
        <v>38</v>
      </c>
      <c r="B46" s="105">
        <f>'0. Database'!C21</f>
        <v>74452</v>
      </c>
      <c r="C46" s="105">
        <f>'0. Database'!D21</f>
        <v>88988</v>
      </c>
      <c r="D46" s="105">
        <f>'0. Database'!E21</f>
        <v>107006</v>
      </c>
      <c r="E46" s="105">
        <f>'0. Database'!F21</f>
        <v>135987</v>
      </c>
      <c r="F46" s="105">
        <f>'0. Database'!G21</f>
        <v>177866</v>
      </c>
      <c r="G46" s="105">
        <f>'0. Database'!H21</f>
        <v>232887</v>
      </c>
      <c r="H46" s="105">
        <f>'0. Database'!I21</f>
        <v>280522</v>
      </c>
      <c r="I46" s="105">
        <f>'0. Database'!J21</f>
        <v>386064</v>
      </c>
      <c r="J46" s="105">
        <f>'0. Database'!K21</f>
        <v>469822</v>
      </c>
      <c r="K46" s="105">
        <f>'0. Database'!L21</f>
        <v>513983</v>
      </c>
      <c r="L46" s="105">
        <f>'0. Database'!M21</f>
        <v>574785</v>
      </c>
      <c r="M46" s="105">
        <f>'0. Database'!N21</f>
        <v>637959</v>
      </c>
      <c r="N46" s="105">
        <f>'0. Database'!O21</f>
        <v>716924</v>
      </c>
      <c r="O46" s="105">
        <f>'0. Database'!P21</f>
        <v>824745.86</v>
      </c>
      <c r="P46" s="105">
        <f>'0. Database'!Q21</f>
        <v>933246.82</v>
      </c>
      <c r="Q46" s="105">
        <f>'0. Database'!R21</f>
        <v>1035581.9</v>
      </c>
      <c r="R46" s="105">
        <f>'0. Database'!S21</f>
        <v>1167156.74</v>
      </c>
      <c r="S46" s="105">
        <f>'0. Database'!T21</f>
        <v>1303433.68</v>
      </c>
    </row>
    <row r="47" ht="15" customHeight="1" spans="1:19">
      <c r="A47" s="104" t="s">
        <v>42</v>
      </c>
      <c r="B47" s="105">
        <f>'0. Database'!C36</f>
        <v>55519</v>
      </c>
      <c r="C47" s="105">
        <f>'0. Database'!D36</f>
        <v>66001</v>
      </c>
      <c r="D47" s="105">
        <f>'0. Database'!E36</f>
        <v>74989</v>
      </c>
      <c r="E47" s="105">
        <f>'0. Database'!F36</f>
        <v>90272</v>
      </c>
      <c r="F47" s="105">
        <f>'0. Database'!G36</f>
        <v>110855</v>
      </c>
      <c r="G47" s="105">
        <f>'0. Database'!H36</f>
        <v>136819</v>
      </c>
      <c r="H47" s="105">
        <f>'0. Database'!I36</f>
        <v>161857</v>
      </c>
      <c r="I47" s="105">
        <f>'0. Database'!J36</f>
        <v>182527</v>
      </c>
      <c r="J47" s="105">
        <f>'0. Database'!K36</f>
        <v>257637</v>
      </c>
      <c r="K47" s="105">
        <f>'0. Database'!L36</f>
        <v>282836</v>
      </c>
      <c r="L47" s="105">
        <f>'0. Database'!M36</f>
        <v>307394</v>
      </c>
      <c r="M47" s="105">
        <f>'0. Database'!N36</f>
        <v>350018</v>
      </c>
      <c r="N47" s="105">
        <f>'0. Database'!O36</f>
        <v>402836</v>
      </c>
      <c r="O47" s="105">
        <f>'0. Database'!P36</f>
        <v>486455.79</v>
      </c>
      <c r="P47" s="105">
        <f>'0. Database'!Q36</f>
        <v>578508.88</v>
      </c>
      <c r="Q47" s="105">
        <f>'0. Database'!R36</f>
        <v>684008.77</v>
      </c>
      <c r="R47" s="105">
        <f>'0. Database'!S36</f>
        <v>805409.01</v>
      </c>
      <c r="S47" s="105">
        <f>'0. Database'!T36</f>
        <v>941245.16</v>
      </c>
    </row>
    <row r="48" ht="15" customHeight="1" spans="1:19">
      <c r="A48" s="104" t="s">
        <v>48</v>
      </c>
      <c r="B48" s="105">
        <f>'0. Database'!C53</f>
        <v>7872</v>
      </c>
      <c r="C48" s="105">
        <f>'0. Database'!D53</f>
        <v>12466</v>
      </c>
      <c r="D48" s="105">
        <f>'0. Database'!E53</f>
        <v>17928</v>
      </c>
      <c r="E48" s="105">
        <f>'0. Database'!F53</f>
        <v>27638</v>
      </c>
      <c r="F48" s="105">
        <f>'0. Database'!G53</f>
        <v>40653</v>
      </c>
      <c r="G48" s="105">
        <f>'0. Database'!H53</f>
        <v>55838</v>
      </c>
      <c r="H48" s="105">
        <f>'0. Database'!I53</f>
        <v>70697</v>
      </c>
      <c r="I48" s="105">
        <f>'0. Database'!J53</f>
        <v>85965</v>
      </c>
      <c r="J48" s="105">
        <f>'0. Database'!K53</f>
        <v>117929</v>
      </c>
      <c r="K48" s="105">
        <f>'0. Database'!L53</f>
        <v>116609</v>
      </c>
      <c r="L48" s="105">
        <f>'0. Database'!M53</f>
        <v>134902</v>
      </c>
      <c r="M48" s="105">
        <f>'0. Database'!N53</f>
        <v>164501</v>
      </c>
      <c r="N48" s="105">
        <f>'0. Database'!O53</f>
        <v>200966</v>
      </c>
      <c r="O48" s="105">
        <f>'0. Database'!P53</f>
        <v>252898.15</v>
      </c>
      <c r="P48" s="105">
        <f>'0. Database'!Q53</f>
        <v>301231.94</v>
      </c>
      <c r="Q48" s="105">
        <f>'0. Database'!R53</f>
        <v>352191.64</v>
      </c>
      <c r="R48" s="105">
        <f>'0. Database'!S53</f>
        <v>403671.7</v>
      </c>
      <c r="S48" s="105">
        <f>'0. Database'!T53</f>
        <v>456699.5</v>
      </c>
    </row>
    <row r="49" ht="15" customHeight="1" spans="1:19">
      <c r="A49" s="104" t="s">
        <v>55</v>
      </c>
      <c r="B49" s="105">
        <f>'0. Database'!C71</f>
        <v>37253</v>
      </c>
      <c r="C49" s="105">
        <f>'0. Database'!D71</f>
        <v>38306</v>
      </c>
      <c r="D49" s="105">
        <f>'0. Database'!E71</f>
        <v>38253</v>
      </c>
      <c r="E49" s="105">
        <f>'0. Database'!F71</f>
        <v>37057</v>
      </c>
      <c r="F49" s="105">
        <f>'0. Database'!G71</f>
        <v>37899</v>
      </c>
      <c r="G49" s="105">
        <f>'0. Database'!H71</f>
        <v>39878</v>
      </c>
      <c r="H49" s="105">
        <f>'0. Database'!I71</f>
        <v>39526</v>
      </c>
      <c r="I49" s="105">
        <f>'0. Database'!J71</f>
        <v>39068</v>
      </c>
      <c r="J49" s="105">
        <f>'0. Database'!K71</f>
        <v>40481</v>
      </c>
      <c r="K49" s="105">
        <f>'0. Database'!L71</f>
        <v>42440</v>
      </c>
      <c r="L49" s="105">
        <f>'0. Database'!M71</f>
        <v>49954</v>
      </c>
      <c r="M49" s="105">
        <f>'0. Database'!N71</f>
        <v>52961</v>
      </c>
      <c r="N49" s="105">
        <f>'0. Database'!O71</f>
        <v>57399</v>
      </c>
      <c r="O49" s="105">
        <f>'0. Database'!P71</f>
        <v>67256.59</v>
      </c>
      <c r="P49" s="105">
        <f>'0. Database'!Q71</f>
        <v>89106.44</v>
      </c>
      <c r="Q49" s="105">
        <f>'0. Database'!R71</f>
        <v>130482.44</v>
      </c>
      <c r="R49" s="105">
        <f>'0. Database'!S71</f>
        <v>183189.61</v>
      </c>
      <c r="S49" s="105">
        <f>'0. Database'!T71</f>
        <v>223043.24</v>
      </c>
    </row>
    <row r="51" ht="15" customHeight="1" spans="1:1">
      <c r="A51" s="31" t="s">
        <v>113</v>
      </c>
    </row>
    <row r="52" ht="15" customHeight="1" spans="1:19">
      <c r="A52" s="33" t="s">
        <v>81</v>
      </c>
      <c r="B52" s="34" t="s">
        <v>3</v>
      </c>
      <c r="C52" s="34" t="s">
        <v>4</v>
      </c>
      <c r="D52" s="34" t="s">
        <v>5</v>
      </c>
      <c r="E52" s="34" t="s">
        <v>6</v>
      </c>
      <c r="F52" s="34" t="s">
        <v>7</v>
      </c>
      <c r="G52" s="34" t="s">
        <v>8</v>
      </c>
      <c r="H52" s="34" t="s">
        <v>9</v>
      </c>
      <c r="I52" s="34" t="s">
        <v>10</v>
      </c>
      <c r="J52" s="34" t="s">
        <v>11</v>
      </c>
      <c r="K52" s="34" t="s">
        <v>12</v>
      </c>
      <c r="L52" s="34" t="s">
        <v>13</v>
      </c>
      <c r="M52" s="34" t="s">
        <v>14</v>
      </c>
      <c r="N52" s="34" t="s">
        <v>15</v>
      </c>
      <c r="O52" s="34" t="s">
        <v>16</v>
      </c>
      <c r="P52" s="34" t="s">
        <v>17</v>
      </c>
      <c r="Q52" s="34" t="s">
        <v>18</v>
      </c>
      <c r="R52" s="34" t="s">
        <v>19</v>
      </c>
      <c r="S52" s="34" t="s">
        <v>20</v>
      </c>
    </row>
    <row r="53" ht="15" customHeight="1" spans="1:19">
      <c r="A53" s="104" t="s">
        <v>22</v>
      </c>
      <c r="B53" s="106">
        <f t="shared" ref="B53:S53" si="0">IFERROR(B5/B45,"")</f>
        <v>0.343793754576167</v>
      </c>
      <c r="C53" s="106">
        <f t="shared" si="0"/>
        <v>0.319682609146292</v>
      </c>
      <c r="D53" s="106">
        <f t="shared" si="0"/>
        <v>0.142754862150032</v>
      </c>
      <c r="E53" s="106">
        <f t="shared" si="0"/>
        <v>0.127834020203778</v>
      </c>
      <c r="F53" s="106">
        <f t="shared" si="0"/>
        <v>0.117829024281739</v>
      </c>
      <c r="G53" s="106">
        <f t="shared" si="0"/>
        <v>0.117107647698441</v>
      </c>
      <c r="H53" s="106">
        <f t="shared" si="0"/>
        <v>0.128882814300358</v>
      </c>
      <c r="I53" s="106">
        <f t="shared" si="0"/>
        <v>0.130923329720659</v>
      </c>
      <c r="J53" s="106">
        <f t="shared" si="0"/>
        <v>0.144870544000762</v>
      </c>
      <c r="K53" s="106">
        <f t="shared" si="0"/>
        <v>0.149730165935341</v>
      </c>
      <c r="L53" s="106">
        <f t="shared" si="0"/>
        <v>0.23629285326664</v>
      </c>
      <c r="M53" s="106">
        <f t="shared" si="0"/>
        <v>0.243393085891923</v>
      </c>
      <c r="N53" s="106">
        <f t="shared" si="0"/>
        <v>0.247664380741435</v>
      </c>
      <c r="O53" s="106">
        <f t="shared" si="0"/>
        <v>0.241611242609805</v>
      </c>
      <c r="P53" s="106">
        <f t="shared" si="0"/>
        <v>0.223335846055129</v>
      </c>
      <c r="Q53" s="106">
        <f t="shared" si="0"/>
        <v>0.155240874752629</v>
      </c>
      <c r="R53" s="106">
        <f t="shared" si="0"/>
        <v>0.189883391877002</v>
      </c>
      <c r="S53" s="106">
        <f t="shared" si="0"/>
        <v>0.173695878936653</v>
      </c>
    </row>
    <row r="54" ht="15" customHeight="1" spans="1:19">
      <c r="A54" s="104" t="s">
        <v>38</v>
      </c>
      <c r="B54" s="106">
        <f t="shared" ref="B54:S54" si="1">IFERROR(B6/B46,"")</f>
        <v>0.00903938107774136</v>
      </c>
      <c r="C54" s="106">
        <f t="shared" si="1"/>
        <v>0.00514676136108239</v>
      </c>
      <c r="D54" s="106">
        <f t="shared" si="1"/>
        <v>0.0140833224305179</v>
      </c>
      <c r="E54" s="106">
        <f t="shared" si="1"/>
        <v>0.0228551258576187</v>
      </c>
      <c r="F54" s="106">
        <f t="shared" si="1"/>
        <v>0.0243497914160098</v>
      </c>
      <c r="G54" s="106">
        <f t="shared" si="1"/>
        <v>0.0313284983704543</v>
      </c>
      <c r="H54" s="106">
        <f t="shared" si="1"/>
        <v>0.0327995665224118</v>
      </c>
      <c r="I54" s="106">
        <f t="shared" si="1"/>
        <v>0.0350485929794024</v>
      </c>
      <c r="J54" s="106">
        <f t="shared" si="1"/>
        <v>0.0394447258749058</v>
      </c>
      <c r="K54" s="106">
        <f t="shared" si="1"/>
        <v>0.0444392129700788</v>
      </c>
      <c r="L54" s="106">
        <f t="shared" si="1"/>
        <v>0.0428525448646015</v>
      </c>
      <c r="M54" s="106">
        <f t="shared" si="1"/>
        <v>0.0624397492628837</v>
      </c>
      <c r="N54" s="106">
        <f t="shared" si="1"/>
        <v>0.0636134374075913</v>
      </c>
      <c r="O54" s="106">
        <f t="shared" si="1"/>
        <v>0.0714067846306012</v>
      </c>
      <c r="P54" s="106">
        <f t="shared" si="1"/>
        <v>0.08159074145037</v>
      </c>
      <c r="Q54" s="106">
        <f t="shared" si="1"/>
        <v>0.0949921778277507</v>
      </c>
      <c r="R54" s="106">
        <f t="shared" si="1"/>
        <v>0.105667650087854</v>
      </c>
      <c r="S54" s="106">
        <f t="shared" si="1"/>
        <v>0.11670332931707</v>
      </c>
    </row>
    <row r="55" ht="15" customHeight="1" spans="1:19">
      <c r="A55" s="104" t="s">
        <v>42</v>
      </c>
      <c r="B55" s="106">
        <f t="shared" ref="B55:S55" si="2">IFERROR(B7/B47,"")</f>
        <v>0.29287271024334</v>
      </c>
      <c r="C55" s="106">
        <f t="shared" si="2"/>
        <v>0.287344131149528</v>
      </c>
      <c r="D55" s="106">
        <f t="shared" si="2"/>
        <v>0.310965608289216</v>
      </c>
      <c r="E55" s="106">
        <f t="shared" si="2"/>
        <v>0.299705334987593</v>
      </c>
      <c r="F55" s="106">
        <f t="shared" si="2"/>
        <v>0.292778855261377</v>
      </c>
      <c r="G55" s="106">
        <f t="shared" si="2"/>
        <v>0.315285157763176</v>
      </c>
      <c r="H55" s="106">
        <f t="shared" si="2"/>
        <v>0.30273018775833</v>
      </c>
      <c r="I55" s="106">
        <f t="shared" si="2"/>
        <v>0.299166698625409</v>
      </c>
      <c r="J55" s="106">
        <f t="shared" si="2"/>
        <v>0.356528759456134</v>
      </c>
      <c r="K55" s="106">
        <f t="shared" si="2"/>
        <v>0.292392057588143</v>
      </c>
      <c r="L55" s="106">
        <f t="shared" si="2"/>
        <v>0.311840829684379</v>
      </c>
      <c r="M55" s="106">
        <f t="shared" si="2"/>
        <v>0.346447896965299</v>
      </c>
      <c r="N55" s="106">
        <f t="shared" si="2"/>
        <v>0.346056459700722</v>
      </c>
      <c r="O55" s="106">
        <f t="shared" si="2"/>
        <v>0.341343886563669</v>
      </c>
      <c r="P55" s="106">
        <f t="shared" si="2"/>
        <v>0.325672166000287</v>
      </c>
      <c r="Q55" s="106">
        <f t="shared" si="2"/>
        <v>0.303334166314856</v>
      </c>
      <c r="R55" s="106">
        <f t="shared" si="2"/>
        <v>0.284571661297904</v>
      </c>
      <c r="S55" s="106">
        <f t="shared" si="2"/>
        <v>0.274826762455809</v>
      </c>
    </row>
    <row r="56" ht="15" customHeight="1" spans="1:19">
      <c r="A56" s="104" t="s">
        <v>48</v>
      </c>
      <c r="B56" s="106">
        <f t="shared" ref="B56:S56" si="3">IFERROR(B8/B48,"")</f>
        <v>0.35619918699187</v>
      </c>
      <c r="C56" s="106">
        <f t="shared" si="3"/>
        <v>0.400673832825285</v>
      </c>
      <c r="D56" s="106">
        <f t="shared" si="3"/>
        <v>0.347222222222222</v>
      </c>
      <c r="E56" s="106">
        <f t="shared" si="3"/>
        <v>0.449634561111513</v>
      </c>
      <c r="F56" s="106">
        <f t="shared" si="3"/>
        <v>0.496937495387794</v>
      </c>
      <c r="G56" s="106">
        <f t="shared" si="3"/>
        <v>0.446165693613668</v>
      </c>
      <c r="H56" s="106">
        <f t="shared" si="3"/>
        <v>0.40297325204747</v>
      </c>
      <c r="I56" s="106">
        <f t="shared" si="3"/>
        <v>0.457093002966323</v>
      </c>
      <c r="J56" s="106">
        <f t="shared" si="3"/>
        <v>0.482883769047478</v>
      </c>
      <c r="K56" s="106">
        <f t="shared" si="3"/>
        <v>0.365846547007521</v>
      </c>
      <c r="L56" s="106">
        <f t="shared" si="3"/>
        <v>0.466049428474003</v>
      </c>
      <c r="M56" s="106">
        <f t="shared" si="3"/>
        <v>0.52953477486459</v>
      </c>
      <c r="N56" s="106">
        <f t="shared" si="3"/>
        <v>0.509882268642457</v>
      </c>
      <c r="O56" s="106">
        <f t="shared" si="3"/>
        <v>0.424108875450453</v>
      </c>
      <c r="P56" s="106">
        <f t="shared" si="3"/>
        <v>0.409427333635338</v>
      </c>
      <c r="Q56" s="106">
        <f t="shared" si="3"/>
        <v>0.405256638118951</v>
      </c>
      <c r="R56" s="106">
        <f t="shared" si="3"/>
        <v>0.44456344103389</v>
      </c>
      <c r="S56" s="106">
        <f t="shared" si="3"/>
        <v>0.421163719250842</v>
      </c>
    </row>
    <row r="57" ht="15" customHeight="1" spans="1:19">
      <c r="A57" s="104" t="s">
        <v>55</v>
      </c>
      <c r="B57" s="106">
        <f t="shared" ref="B57:S57" si="4">IFERROR(B9/B49,"")</f>
        <v>0.39416959707943</v>
      </c>
      <c r="C57" s="106">
        <f t="shared" si="4"/>
        <v>0.385266015767765</v>
      </c>
      <c r="D57" s="106">
        <f t="shared" si="4"/>
        <v>0.36258594097195</v>
      </c>
      <c r="E57" s="106">
        <f t="shared" si="4"/>
        <v>0.34012467280136</v>
      </c>
      <c r="F57" s="106">
        <f t="shared" si="4"/>
        <v>0.335365049209742</v>
      </c>
      <c r="G57" s="106">
        <f t="shared" si="4"/>
        <v>0.332614474146146</v>
      </c>
      <c r="H57" s="106">
        <f t="shared" si="4"/>
        <v>0.342432829023934</v>
      </c>
      <c r="I57" s="106">
        <f t="shared" si="4"/>
        <v>0.355713115593324</v>
      </c>
      <c r="J57" s="106">
        <f t="shared" si="4"/>
        <v>0.375830636594946</v>
      </c>
      <c r="K57" s="106">
        <f t="shared" si="4"/>
        <v>0.257469368520264</v>
      </c>
      <c r="L57" s="106">
        <f t="shared" si="4"/>
        <v>0.262121151459343</v>
      </c>
      <c r="M57" s="106">
        <f t="shared" si="4"/>
        <v>0.289911444270312</v>
      </c>
      <c r="N57" s="106">
        <f t="shared" si="4"/>
        <v>0.307984459659576</v>
      </c>
      <c r="O57" s="106">
        <f t="shared" si="4"/>
        <v>0.289375955575506</v>
      </c>
      <c r="P57" s="106">
        <f t="shared" si="4"/>
        <v>0.237111818180594</v>
      </c>
      <c r="Q57" s="106">
        <f t="shared" si="4"/>
        <v>0.283033180556709</v>
      </c>
      <c r="R57" s="106">
        <f t="shared" si="4"/>
        <v>0.289632747184734</v>
      </c>
      <c r="S57" s="106">
        <f t="shared" si="4"/>
        <v>0.259827735644443</v>
      </c>
    </row>
    <row r="59" ht="15" customHeight="1" spans="1:1">
      <c r="A59" s="31" t="s">
        <v>114</v>
      </c>
    </row>
    <row r="60" ht="15" customHeight="1" spans="1:19">
      <c r="A60" s="33" t="s">
        <v>81</v>
      </c>
      <c r="B60" s="34" t="s">
        <v>3</v>
      </c>
      <c r="C60" s="34" t="s">
        <v>4</v>
      </c>
      <c r="D60" s="34" t="s">
        <v>5</v>
      </c>
      <c r="E60" s="34" t="s">
        <v>6</v>
      </c>
      <c r="F60" s="34" t="s">
        <v>7</v>
      </c>
      <c r="G60" s="34" t="s">
        <v>8</v>
      </c>
      <c r="H60" s="34" t="s">
        <v>9</v>
      </c>
      <c r="I60" s="34" t="s">
        <v>10</v>
      </c>
      <c r="J60" s="34" t="s">
        <v>11</v>
      </c>
      <c r="K60" s="34" t="s">
        <v>12</v>
      </c>
      <c r="L60" s="34" t="s">
        <v>13</v>
      </c>
      <c r="M60" s="34" t="s">
        <v>14</v>
      </c>
      <c r="N60" s="34" t="s">
        <v>15</v>
      </c>
      <c r="O60" s="34" t="s">
        <v>16</v>
      </c>
      <c r="P60" s="34" t="s">
        <v>17</v>
      </c>
      <c r="Q60" s="34" t="s">
        <v>18</v>
      </c>
      <c r="R60" s="34" t="s">
        <v>19</v>
      </c>
      <c r="S60" s="34" t="s">
        <v>20</v>
      </c>
    </row>
    <row r="61" ht="15" customHeight="1" spans="1:19">
      <c r="A61" s="104" t="s">
        <v>22</v>
      </c>
      <c r="B61" s="106">
        <f t="shared" ref="B61:S61" si="5">IFERROR(B13/B45,"")</f>
        <v>0.280838546416781</v>
      </c>
      <c r="C61" s="106">
        <f t="shared" si="5"/>
        <v>0.25421210829984</v>
      </c>
      <c r="D61" s="106">
        <f t="shared" si="5"/>
        <v>0.130294934815131</v>
      </c>
      <c r="E61" s="106">
        <f t="shared" si="5"/>
        <v>0.182660417776715</v>
      </c>
      <c r="F61" s="106">
        <f t="shared" si="5"/>
        <v>0.263705680912919</v>
      </c>
      <c r="G61" s="106">
        <f t="shared" si="5"/>
        <v>0.150154041319319</v>
      </c>
      <c r="H61" s="106">
        <f t="shared" si="5"/>
        <v>0.311817105440907</v>
      </c>
      <c r="I61" s="106">
        <f t="shared" si="5"/>
        <v>0.3096248645247</v>
      </c>
      <c r="J61" s="106">
        <f t="shared" si="5"/>
        <v>0.364517395649898</v>
      </c>
      <c r="K61" s="106">
        <f t="shared" si="5"/>
        <v>0.366863368134362</v>
      </c>
      <c r="L61" s="106">
        <f t="shared" si="5"/>
        <v>0.341462378783946</v>
      </c>
      <c r="M61" s="106">
        <f t="shared" si="5"/>
        <v>0.35955972944085</v>
      </c>
      <c r="N61" s="106">
        <f t="shared" si="5"/>
        <v>0.361460152489671</v>
      </c>
      <c r="O61" s="106">
        <f t="shared" si="5"/>
        <v>0.392975871808801</v>
      </c>
      <c r="P61" s="106">
        <f t="shared" si="5"/>
        <v>0.378112101402748</v>
      </c>
      <c r="Q61" s="106">
        <f t="shared" si="5"/>
        <v>0.39030190716256</v>
      </c>
      <c r="R61" s="106">
        <f t="shared" si="5"/>
        <v>0.40361127878384</v>
      </c>
      <c r="S61" s="106">
        <f t="shared" si="5"/>
        <v>0.414509947373311</v>
      </c>
    </row>
    <row r="62" ht="15" customHeight="1" spans="1:19">
      <c r="A62" s="104" t="s">
        <v>38</v>
      </c>
      <c r="B62" s="106">
        <f t="shared" ref="B62:S62" si="6">IFERROR(B14/B46,"")</f>
        <v>0.00366679202707785</v>
      </c>
      <c r="C62" s="106">
        <f t="shared" si="6"/>
        <v>-0.00270373533510136</v>
      </c>
      <c r="D62" s="106">
        <f t="shared" si="6"/>
        <v>0.00557071566080407</v>
      </c>
      <c r="E62" s="106">
        <f t="shared" si="6"/>
        <v>0.0174354901571474</v>
      </c>
      <c r="F62" s="106">
        <f t="shared" si="6"/>
        <v>0.0170521628641787</v>
      </c>
      <c r="G62" s="106">
        <f t="shared" si="6"/>
        <v>0.0432527363055903</v>
      </c>
      <c r="H62" s="106">
        <f t="shared" si="6"/>
        <v>0.0413087030607225</v>
      </c>
      <c r="I62" s="106">
        <f t="shared" si="6"/>
        <v>0.0552524969953168</v>
      </c>
      <c r="J62" s="106">
        <f t="shared" si="6"/>
        <v>0.0710141287551456</v>
      </c>
      <c r="K62" s="106">
        <f t="shared" si="6"/>
        <v>-0.0052958950004183</v>
      </c>
      <c r="L62" s="106">
        <f t="shared" si="6"/>
        <v>0.0529328357559783</v>
      </c>
      <c r="M62" s="106">
        <f t="shared" si="6"/>
        <v>0.0928711719718665</v>
      </c>
      <c r="N62" s="106">
        <f t="shared" si="6"/>
        <v>0.108337843341833</v>
      </c>
      <c r="O62" s="106">
        <f t="shared" si="6"/>
        <v>0.119229116227392</v>
      </c>
      <c r="P62" s="106">
        <f t="shared" si="6"/>
        <v>0.12453125744377</v>
      </c>
      <c r="Q62" s="106">
        <f t="shared" si="6"/>
        <v>0.140033733691174</v>
      </c>
      <c r="R62" s="106">
        <f t="shared" si="6"/>
        <v>0.151801548093703</v>
      </c>
      <c r="S62" s="106">
        <f t="shared" si="6"/>
        <v>0.162590543156749</v>
      </c>
    </row>
    <row r="63" ht="15" customHeight="1" spans="1:19">
      <c r="A63" s="104" t="s">
        <v>42</v>
      </c>
      <c r="B63" s="106">
        <f t="shared" ref="B63:S63" si="7">IFERROR(B15/B47,"")</f>
        <v>0.229110754876709</v>
      </c>
      <c r="C63" s="106">
        <f t="shared" si="7"/>
        <v>0.214178573051923</v>
      </c>
      <c r="D63" s="106">
        <f t="shared" si="7"/>
        <v>0.218005307445092</v>
      </c>
      <c r="E63" s="106">
        <f t="shared" si="7"/>
        <v>0.215770116979794</v>
      </c>
      <c r="F63" s="106">
        <f t="shared" si="7"/>
        <v>0.114221280050516</v>
      </c>
      <c r="G63" s="106">
        <f t="shared" si="7"/>
        <v>0.224647161578436</v>
      </c>
      <c r="H63" s="106">
        <f t="shared" si="7"/>
        <v>0.212181122843003</v>
      </c>
      <c r="I63" s="106">
        <f t="shared" si="7"/>
        <v>0.220619415209805</v>
      </c>
      <c r="J63" s="106">
        <f t="shared" si="7"/>
        <v>0.295116772823779</v>
      </c>
      <c r="K63" s="106">
        <f t="shared" si="7"/>
        <v>0.21203807153262</v>
      </c>
      <c r="L63" s="106">
        <f t="shared" si="7"/>
        <v>0.240066494466385</v>
      </c>
      <c r="M63" s="106">
        <f t="shared" si="7"/>
        <v>0.28603671811164</v>
      </c>
      <c r="N63" s="106">
        <f t="shared" si="7"/>
        <v>0.328098779652265</v>
      </c>
      <c r="O63" s="106">
        <f t="shared" si="7"/>
        <v>0.34647193735735</v>
      </c>
      <c r="P63" s="106">
        <f t="shared" si="7"/>
        <v>0.301857025945738</v>
      </c>
      <c r="Q63" s="106">
        <f t="shared" si="7"/>
        <v>0.308115113787211</v>
      </c>
      <c r="R63" s="106">
        <f t="shared" si="7"/>
        <v>0.309766338471927</v>
      </c>
      <c r="S63" s="106">
        <f t="shared" si="7"/>
        <v>0.303827070940795</v>
      </c>
    </row>
    <row r="64" ht="15" customHeight="1" spans="1:19">
      <c r="A64" s="104" t="s">
        <v>48</v>
      </c>
      <c r="B64" s="106">
        <f t="shared" ref="B64:S64" si="8">IFERROR(B16/B48,"")</f>
        <v>0.189405487804878</v>
      </c>
      <c r="C64" s="106">
        <f t="shared" si="8"/>
        <v>0.23462217230868</v>
      </c>
      <c r="D64" s="106">
        <f t="shared" si="8"/>
        <v>0.204651941097724</v>
      </c>
      <c r="E64" s="106">
        <f t="shared" si="8"/>
        <v>0.36859396483103</v>
      </c>
      <c r="F64" s="106">
        <f t="shared" si="8"/>
        <v>0.391582417041793</v>
      </c>
      <c r="G64" s="106">
        <f t="shared" si="8"/>
        <v>0.396002722160536</v>
      </c>
      <c r="H64" s="106">
        <f t="shared" si="8"/>
        <v>0.261460882357101</v>
      </c>
      <c r="I64" s="106">
        <f t="shared" si="8"/>
        <v>0.339033327517013</v>
      </c>
      <c r="J64" s="106">
        <f t="shared" si="8"/>
        <v>0.333844940599852</v>
      </c>
      <c r="K64" s="106">
        <f t="shared" si="8"/>
        <v>0.198946908043118</v>
      </c>
      <c r="L64" s="106">
        <f t="shared" si="8"/>
        <v>0.289817793657618</v>
      </c>
      <c r="M64" s="106">
        <f t="shared" si="8"/>
        <v>0.379085841423456</v>
      </c>
      <c r="N64" s="106">
        <f t="shared" si="8"/>
        <v>0.300836957495298</v>
      </c>
      <c r="O64" s="106">
        <f t="shared" si="8"/>
        <v>0.339199238903092</v>
      </c>
      <c r="P64" s="106">
        <f t="shared" si="8"/>
        <v>0.302627072016334</v>
      </c>
      <c r="Q64" s="106">
        <f t="shared" si="8"/>
        <v>0.293739823012267</v>
      </c>
      <c r="R64" s="106">
        <f t="shared" si="8"/>
        <v>0.286981970745039</v>
      </c>
      <c r="S64" s="106">
        <f t="shared" si="8"/>
        <v>0.279843463809354</v>
      </c>
    </row>
    <row r="65" ht="15" customHeight="1" spans="1:19">
      <c r="A65" s="104" t="s">
        <v>55</v>
      </c>
      <c r="B65" s="106">
        <f t="shared" ref="B65:S65" si="9">IFERROR(B17/B49,"")</f>
        <v>0.293291815424261</v>
      </c>
      <c r="C65" s="106">
        <f t="shared" si="9"/>
        <v>0.285986529525401</v>
      </c>
      <c r="D65" s="106">
        <f t="shared" si="9"/>
        <v>0.259796617258777</v>
      </c>
      <c r="E65" s="106">
        <f t="shared" si="9"/>
        <v>0.240170548074588</v>
      </c>
      <c r="F65" s="106">
        <f t="shared" si="9"/>
        <v>0.246286181693448</v>
      </c>
      <c r="G65" s="106">
        <f t="shared" si="9"/>
        <v>0.0899493455037866</v>
      </c>
      <c r="H65" s="106">
        <f t="shared" si="9"/>
        <v>0.280397712897839</v>
      </c>
      <c r="I65" s="106">
        <f t="shared" si="9"/>
        <v>0.259419473738098</v>
      </c>
      <c r="J65" s="106">
        <f t="shared" si="9"/>
        <v>0.339591413255601</v>
      </c>
      <c r="K65" s="106">
        <f t="shared" si="9"/>
        <v>0.158294062205467</v>
      </c>
      <c r="L65" s="106">
        <f t="shared" si="9"/>
        <v>0.170236617688273</v>
      </c>
      <c r="M65" s="106">
        <f t="shared" si="9"/>
        <v>0.197635996299164</v>
      </c>
      <c r="N65" s="106">
        <f t="shared" si="9"/>
        <v>0.216780780152964</v>
      </c>
      <c r="O65" s="106">
        <f t="shared" si="9"/>
        <v>0.235226763652454</v>
      </c>
      <c r="P65" s="106">
        <f t="shared" si="9"/>
        <v>0.149967836219245</v>
      </c>
      <c r="Q65" s="106">
        <f t="shared" si="9"/>
        <v>0.205212747401106</v>
      </c>
      <c r="R65" s="106">
        <f t="shared" si="9"/>
        <v>0.217451306326816</v>
      </c>
      <c r="S65" s="106">
        <f t="shared" si="9"/>
        <v>0.197739595246195</v>
      </c>
    </row>
    <row r="67" ht="15" customHeight="1" spans="1:1">
      <c r="A67" s="31" t="s">
        <v>115</v>
      </c>
    </row>
    <row r="68" ht="15" customHeight="1" spans="1:19">
      <c r="A68" s="33" t="s">
        <v>81</v>
      </c>
      <c r="B68" s="34" t="s">
        <v>3</v>
      </c>
      <c r="C68" s="34" t="s">
        <v>4</v>
      </c>
      <c r="D68" s="34" t="s">
        <v>5</v>
      </c>
      <c r="E68" s="34" t="s">
        <v>6</v>
      </c>
      <c r="F68" s="34" t="s">
        <v>7</v>
      </c>
      <c r="G68" s="34" t="s">
        <v>8</v>
      </c>
      <c r="H68" s="34" t="s">
        <v>9</v>
      </c>
      <c r="I68" s="34" t="s">
        <v>10</v>
      </c>
      <c r="J68" s="34" t="s">
        <v>11</v>
      </c>
      <c r="K68" s="34" t="s">
        <v>12</v>
      </c>
      <c r="L68" s="34" t="s">
        <v>13</v>
      </c>
      <c r="M68" s="34" t="s">
        <v>14</v>
      </c>
      <c r="N68" s="34" t="s">
        <v>15</v>
      </c>
      <c r="O68" s="34" t="s">
        <v>16</v>
      </c>
      <c r="P68" s="34" t="s">
        <v>17</v>
      </c>
      <c r="Q68" s="34" t="s">
        <v>18</v>
      </c>
      <c r="R68" s="34" t="s">
        <v>19</v>
      </c>
      <c r="S68" s="34" t="s">
        <v>20</v>
      </c>
    </row>
    <row r="69" ht="15" customHeight="1" spans="1:19">
      <c r="A69" s="104" t="s">
        <v>22</v>
      </c>
      <c r="B69" s="107"/>
      <c r="C69" s="106">
        <f t="shared" ref="C69:S69" si="10">IFERROR(C21/B21-1,"")</f>
        <v>0.0193798449612403</v>
      </c>
      <c r="D69" s="106">
        <f t="shared" si="10"/>
        <v>-0.437262357414449</v>
      </c>
      <c r="E69" s="106">
        <f t="shared" si="10"/>
        <v>0.418918918918919</v>
      </c>
      <c r="F69" s="106">
        <f t="shared" si="10"/>
        <v>0.29047619047619</v>
      </c>
      <c r="G69" s="106">
        <f t="shared" si="10"/>
        <v>-0.214022140221402</v>
      </c>
      <c r="H69" s="106">
        <f t="shared" si="10"/>
        <v>1.37558685446009</v>
      </c>
      <c r="I69" s="106">
        <f t="shared" si="10"/>
        <v>0.138339920948617</v>
      </c>
      <c r="J69" s="106">
        <f t="shared" si="10"/>
        <v>0.397569444444445</v>
      </c>
      <c r="K69" s="106">
        <f t="shared" si="10"/>
        <v>0.198757763975155</v>
      </c>
      <c r="L69" s="106">
        <f t="shared" si="10"/>
        <v>0.00310880829015536</v>
      </c>
      <c r="M69" s="106">
        <f t="shared" si="10"/>
        <v>0.21900826446281</v>
      </c>
      <c r="N69" s="106">
        <f t="shared" si="10"/>
        <v>0.15593220338983</v>
      </c>
      <c r="O69" s="106">
        <f t="shared" si="10"/>
        <v>0.266862170087977</v>
      </c>
      <c r="P69" s="106">
        <f t="shared" si="10"/>
        <v>0.123842592592593</v>
      </c>
      <c r="Q69" s="106">
        <f t="shared" si="10"/>
        <v>0.174562306900103</v>
      </c>
      <c r="R69" s="106">
        <f t="shared" si="10"/>
        <v>0.183691363437089</v>
      </c>
      <c r="S69" s="106">
        <f t="shared" si="10"/>
        <v>0.166296296296296</v>
      </c>
    </row>
    <row r="70" ht="15" customHeight="1" spans="1:19">
      <c r="A70" s="104" t="s">
        <v>38</v>
      </c>
      <c r="B70" s="107"/>
      <c r="C70" s="106">
        <f t="shared" ref="C70:S70" si="11">IFERROR(C22/B22-1,"")</f>
        <v>-2</v>
      </c>
      <c r="D70" s="106">
        <f t="shared" si="11"/>
        <v>-3</v>
      </c>
      <c r="E70" s="106">
        <f t="shared" si="11"/>
        <v>3.16666666666667</v>
      </c>
      <c r="F70" s="106">
        <f t="shared" si="11"/>
        <v>-0.08</v>
      </c>
      <c r="G70" s="106">
        <f t="shared" si="11"/>
        <v>3.39130434782609</v>
      </c>
      <c r="H70" s="106">
        <f t="shared" si="11"/>
        <v>0.138613861386139</v>
      </c>
      <c r="I70" s="106">
        <f t="shared" si="11"/>
        <v>0.817391304347826</v>
      </c>
      <c r="J70" s="106">
        <f t="shared" si="11"/>
        <v>0.114832535885168</v>
      </c>
      <c r="K70" s="106">
        <f t="shared" si="11"/>
        <v>-0.690987124463519</v>
      </c>
      <c r="L70" s="106">
        <f t="shared" si="11"/>
        <v>2.94444444444444</v>
      </c>
      <c r="M70" s="106">
        <f t="shared" si="11"/>
        <v>0.947183098591549</v>
      </c>
      <c r="N70" s="106">
        <f t="shared" si="11"/>
        <v>0.296564195298372</v>
      </c>
      <c r="O70" s="106">
        <f t="shared" si="11"/>
        <v>0.225941422594142</v>
      </c>
      <c r="P70" s="106">
        <f t="shared" si="11"/>
        <v>0.141069397042093</v>
      </c>
      <c r="Q70" s="106">
        <f t="shared" si="11"/>
        <v>0.288135593220339</v>
      </c>
      <c r="R70" s="106">
        <f t="shared" si="11"/>
        <v>0.109907120743034</v>
      </c>
      <c r="S70" s="106">
        <f t="shared" si="11"/>
        <v>0.194560669456067</v>
      </c>
    </row>
    <row r="71" ht="15" customHeight="1" spans="1:19">
      <c r="A71" s="104" t="s">
        <v>42</v>
      </c>
      <c r="B71" s="107"/>
      <c r="C71" s="106">
        <f t="shared" ref="C71:S71" si="12">IFERROR(C23/B23-1,"")</f>
        <v>0.122222222222222</v>
      </c>
      <c r="D71" s="106">
        <f t="shared" si="12"/>
        <v>0.128712871287129</v>
      </c>
      <c r="E71" s="106">
        <f t="shared" si="12"/>
        <v>0.219298245614035</v>
      </c>
      <c r="F71" s="106">
        <f t="shared" si="12"/>
        <v>0.151079136690648</v>
      </c>
      <c r="G71" s="106">
        <f t="shared" si="12"/>
        <v>0.36875</v>
      </c>
      <c r="H71" s="106">
        <f t="shared" si="12"/>
        <v>0.0639269406392695</v>
      </c>
      <c r="I71" s="106">
        <f t="shared" si="12"/>
        <v>0.257510729613734</v>
      </c>
      <c r="J71" s="106">
        <f t="shared" si="12"/>
        <v>0.914675767918089</v>
      </c>
      <c r="K71" s="106">
        <f t="shared" si="12"/>
        <v>-0.18716577540107</v>
      </c>
      <c r="L71" s="106">
        <f t="shared" si="12"/>
        <v>0.271929824561404</v>
      </c>
      <c r="M71" s="106">
        <f t="shared" si="12"/>
        <v>0.386206896551724</v>
      </c>
      <c r="N71" s="106">
        <f t="shared" si="12"/>
        <v>0.34452736318408</v>
      </c>
      <c r="O71" s="106">
        <f t="shared" si="12"/>
        <v>0.312673450508788</v>
      </c>
      <c r="P71" s="106">
        <f t="shared" si="12"/>
        <v>0.0352360817477098</v>
      </c>
      <c r="Q71" s="106">
        <f t="shared" si="12"/>
        <v>0.181075561606535</v>
      </c>
      <c r="R71" s="106">
        <f t="shared" si="12"/>
        <v>0.22478386167147</v>
      </c>
      <c r="S71" s="106">
        <f t="shared" si="12"/>
        <v>0.225411764705882</v>
      </c>
    </row>
    <row r="72" ht="15" customHeight="1" spans="1:19">
      <c r="A72" s="104" t="s">
        <v>48</v>
      </c>
      <c r="B72" s="107"/>
      <c r="C72" s="106">
        <f t="shared" ref="C72:S72" si="13">IFERROR(C24/B24-1,"")</f>
        <v>0.833333333333333</v>
      </c>
      <c r="D72" s="106">
        <f t="shared" si="13"/>
        <v>0.172727272727273</v>
      </c>
      <c r="E72" s="106">
        <f t="shared" si="13"/>
        <v>1.70542635658915</v>
      </c>
      <c r="F72" s="106">
        <f t="shared" si="13"/>
        <v>0.765042979942693</v>
      </c>
      <c r="G72" s="106">
        <f t="shared" si="13"/>
        <v>0.228896103896104</v>
      </c>
      <c r="H72" s="106">
        <f t="shared" si="13"/>
        <v>0.130779392338177</v>
      </c>
      <c r="I72" s="106">
        <f t="shared" si="13"/>
        <v>0.142523364485981</v>
      </c>
      <c r="J72" s="106">
        <f t="shared" si="13"/>
        <v>0.407975460122699</v>
      </c>
      <c r="K72" s="106">
        <f t="shared" si="13"/>
        <v>-0.376180101670298</v>
      </c>
      <c r="L72" s="106">
        <f t="shared" si="13"/>
        <v>0.731082654249127</v>
      </c>
      <c r="M72" s="106">
        <f t="shared" si="13"/>
        <v>0.604572965702757</v>
      </c>
      <c r="N72" s="106">
        <f t="shared" si="13"/>
        <v>-0.0155071248952222</v>
      </c>
      <c r="O72" s="106">
        <f t="shared" si="13"/>
        <v>0.370796083439762</v>
      </c>
      <c r="P72" s="106">
        <f t="shared" si="13"/>
        <v>0.0838509316770184</v>
      </c>
      <c r="Q72" s="106">
        <f t="shared" si="13"/>
        <v>0.160458452722063</v>
      </c>
      <c r="R72" s="106">
        <f t="shared" si="13"/>
        <v>0.200493827160494</v>
      </c>
      <c r="S72" s="106">
        <f t="shared" si="13"/>
        <v>0.172357054709996</v>
      </c>
    </row>
    <row r="73" ht="15" customHeight="1" spans="1:19">
      <c r="A73" s="104" t="s">
        <v>55</v>
      </c>
      <c r="B73" s="107"/>
      <c r="C73" s="106">
        <f t="shared" ref="C73:S73" si="14">IFERROR(C25/B25-1,"")</f>
        <v>0.0530973451327434</v>
      </c>
      <c r="D73" s="106">
        <f t="shared" si="14"/>
        <v>-0.0714285714285714</v>
      </c>
      <c r="E73" s="106">
        <f t="shared" si="14"/>
        <v>-0.0633484162895929</v>
      </c>
      <c r="F73" s="106">
        <f t="shared" si="14"/>
        <v>0.067632850241546</v>
      </c>
      <c r="G73" s="106">
        <f t="shared" si="14"/>
        <v>-0.592760180995475</v>
      </c>
      <c r="H73" s="106">
        <f t="shared" si="14"/>
        <v>2.3</v>
      </c>
      <c r="I73" s="106">
        <f t="shared" si="14"/>
        <v>0.037037037037037</v>
      </c>
      <c r="J73" s="106">
        <f t="shared" si="14"/>
        <v>0.477272727272727</v>
      </c>
      <c r="K73" s="106">
        <f t="shared" si="14"/>
        <v>-0.47032967032967</v>
      </c>
      <c r="L73" s="106">
        <f t="shared" si="14"/>
        <v>0.273858921161826</v>
      </c>
      <c r="M73" s="106">
        <f t="shared" si="14"/>
        <v>0.208469055374593</v>
      </c>
      <c r="N73" s="106">
        <f t="shared" si="14"/>
        <v>0.169811320754717</v>
      </c>
      <c r="O73" s="106">
        <f t="shared" si="14"/>
        <v>0.347926267281106</v>
      </c>
      <c r="P73" s="106">
        <f t="shared" si="14"/>
        <v>0.0700854700854701</v>
      </c>
      <c r="Q73" s="106">
        <f t="shared" si="14"/>
        <v>0.404153354632588</v>
      </c>
      <c r="R73" s="106">
        <f t="shared" si="14"/>
        <v>0.466439135381115</v>
      </c>
      <c r="S73" s="106">
        <f t="shared" si="14"/>
        <v>0.300232738557021</v>
      </c>
    </row>
  </sheetData>
  <mergeCells count="10">
    <mergeCell ref="A1:S1"/>
    <mergeCell ref="A3:S3"/>
    <mergeCell ref="A11:S11"/>
    <mergeCell ref="A19:S19"/>
    <mergeCell ref="A27:S27"/>
    <mergeCell ref="A35:S35"/>
    <mergeCell ref="A43:S43"/>
    <mergeCell ref="A51:S51"/>
    <mergeCell ref="A59:S59"/>
    <mergeCell ref="A67:S67"/>
  </mergeCells>
  <conditionalFormatting sqref="B53:S57">
    <cfRule type="colorScale" priority="2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1:S65">
    <cfRule type="colorScale" priority="3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conditionalFormatting sqref="B69:S73">
    <cfRule type="colorScale" priority="4">
      <colorScale>
        <cfvo type="num" val="-0.2"/>
        <cfvo type="num" val="0.1"/>
        <cfvo type="num" val="0.35"/>
        <color rgb="FFF8696B"/>
        <color rgb="FFFFEB84"/>
        <color rgb="FF63BE7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89"/>
  <sheetViews>
    <sheetView showGridLines="0" topLeftCell="A46" workbookViewId="0">
      <selection activeCell="H80" sqref="H80"/>
    </sheetView>
  </sheetViews>
  <sheetFormatPr defaultColWidth="8.6796875" defaultRowHeight="14"/>
  <cols>
    <col min="1" max="1" width="32" customWidth="1"/>
    <col min="2" max="17" width="11" customWidth="1"/>
  </cols>
  <sheetData>
    <row r="1" ht="25.5" customHeight="1" spans="1:1">
      <c r="A1" s="30" t="s">
        <v>116</v>
      </c>
    </row>
    <row r="3" ht="15" customHeight="1" spans="1:1">
      <c r="A3" s="31" t="s">
        <v>117</v>
      </c>
    </row>
    <row r="4" ht="15" customHeight="1" spans="1:1">
      <c r="A4" s="62" t="s">
        <v>118</v>
      </c>
    </row>
    <row r="5" ht="15" customHeight="1" spans="1:12">
      <c r="A5" s="33" t="s">
        <v>119</v>
      </c>
      <c r="B5" s="34" t="s">
        <v>120</v>
      </c>
      <c r="C5" s="34" t="s">
        <v>121</v>
      </c>
      <c r="D5" s="34" t="s">
        <v>122</v>
      </c>
      <c r="E5" s="34" t="s">
        <v>123</v>
      </c>
      <c r="F5" s="34" t="s">
        <v>124</v>
      </c>
      <c r="G5" s="34" t="s">
        <v>125</v>
      </c>
      <c r="H5" s="34" t="s">
        <v>126</v>
      </c>
      <c r="I5" s="34" t="s">
        <v>127</v>
      </c>
      <c r="J5" s="34" t="s">
        <v>128</v>
      </c>
      <c r="K5" s="34" t="s">
        <v>129</v>
      </c>
      <c r="L5" s="34" t="s">
        <v>130</v>
      </c>
    </row>
    <row r="6" ht="15" customHeight="1" spans="1:12">
      <c r="A6" s="38" t="s">
        <v>131</v>
      </c>
      <c r="B6" s="37">
        <v>7438</v>
      </c>
      <c r="C6" s="37">
        <v>9989</v>
      </c>
      <c r="D6" s="37">
        <v>9381</v>
      </c>
      <c r="E6" s="37">
        <v>14330</v>
      </c>
      <c r="F6" s="37">
        <v>18819</v>
      </c>
      <c r="G6" s="37">
        <v>41432</v>
      </c>
      <c r="H6" s="37">
        <v>85947</v>
      </c>
      <c r="I6" s="37">
        <v>144612</v>
      </c>
      <c r="J6" s="37">
        <v>166321</v>
      </c>
      <c r="K6" s="37">
        <v>174122</v>
      </c>
      <c r="L6" s="37">
        <v>176677</v>
      </c>
    </row>
    <row r="7" ht="15" customHeight="1" spans="1:12">
      <c r="A7" s="35" t="s">
        <v>132</v>
      </c>
      <c r="B7" s="37">
        <v>4377</v>
      </c>
      <c r="C7" s="37">
        <v>6197</v>
      </c>
      <c r="D7" s="37">
        <v>7805</v>
      </c>
      <c r="E7" s="37">
        <v>10301</v>
      </c>
      <c r="F7" s="37">
        <v>13768</v>
      </c>
      <c r="G7" s="37">
        <v>36747</v>
      </c>
      <c r="H7" s="37">
        <v>50201</v>
      </c>
      <c r="I7" s="37">
        <v>83886</v>
      </c>
      <c r="J7" s="37">
        <v>100380</v>
      </c>
      <c r="K7" s="37">
        <v>105090</v>
      </c>
      <c r="L7" s="37">
        <v>106632</v>
      </c>
    </row>
    <row r="8" ht="15" customHeight="1" spans="1:12">
      <c r="A8" s="35" t="s">
        <v>133</v>
      </c>
      <c r="B8" s="37">
        <v>3330</v>
      </c>
      <c r="C8" s="37">
        <v>3736</v>
      </c>
      <c r="D8" s="37">
        <v>3281</v>
      </c>
      <c r="E8" s="37">
        <v>3150</v>
      </c>
      <c r="F8" s="37">
        <v>11710</v>
      </c>
      <c r="G8" s="37">
        <v>21628</v>
      </c>
      <c r="H8" s="37">
        <v>32878</v>
      </c>
      <c r="I8" s="37">
        <v>42085</v>
      </c>
      <c r="J8" s="37">
        <v>37876</v>
      </c>
      <c r="K8" s="37">
        <v>30301</v>
      </c>
      <c r="L8" s="37">
        <v>21211</v>
      </c>
    </row>
    <row r="9" ht="15" customHeight="1" spans="1:12">
      <c r="A9" s="35" t="s">
        <v>134</v>
      </c>
      <c r="B9" s="37">
        <v>396</v>
      </c>
      <c r="C9" s="37">
        <v>2380</v>
      </c>
      <c r="D9" s="37">
        <v>2525</v>
      </c>
      <c r="E9" s="37">
        <v>2053</v>
      </c>
      <c r="F9" s="37">
        <v>3823</v>
      </c>
      <c r="G9" s="37">
        <v>10020</v>
      </c>
      <c r="H9" s="37">
        <v>9745</v>
      </c>
      <c r="I9" s="37">
        <v>16765</v>
      </c>
      <c r="J9" s="37">
        <v>20059</v>
      </c>
      <c r="K9" s="37">
        <v>20999</v>
      </c>
      <c r="L9" s="37">
        <v>21308</v>
      </c>
    </row>
    <row r="10" ht="15" customHeight="1" spans="1:12">
      <c r="A10" s="35" t="s">
        <v>135</v>
      </c>
      <c r="B10" s="37">
        <v>19000</v>
      </c>
      <c r="C10" s="37">
        <v>24200</v>
      </c>
      <c r="D10" s="37">
        <v>29200</v>
      </c>
      <c r="E10" s="37">
        <v>31900</v>
      </c>
      <c r="F10" s="37">
        <v>55700</v>
      </c>
      <c r="G10" s="37">
        <v>88200</v>
      </c>
      <c r="H10" s="37">
        <v>145871</v>
      </c>
      <c r="I10" s="37">
        <v>245263</v>
      </c>
      <c r="J10" s="37">
        <v>286760</v>
      </c>
      <c r="K10" s="37">
        <v>300211</v>
      </c>
      <c r="L10" s="37">
        <v>304616</v>
      </c>
    </row>
    <row r="11" ht="15" customHeight="1" spans="1:12">
      <c r="A11" s="38" t="s">
        <v>136</v>
      </c>
      <c r="B11" s="77">
        <v>0.39</v>
      </c>
      <c r="C11" s="77">
        <v>0.41</v>
      </c>
      <c r="D11" s="77">
        <v>0.32</v>
      </c>
      <c r="E11" s="77">
        <v>0.45</v>
      </c>
      <c r="F11" s="77">
        <v>0.34</v>
      </c>
      <c r="G11" s="77">
        <v>0.47</v>
      </c>
      <c r="H11" s="77">
        <v>0.59</v>
      </c>
      <c r="I11" s="77">
        <v>0.59</v>
      </c>
      <c r="J11" s="77">
        <v>0.58</v>
      </c>
      <c r="K11" s="77">
        <v>0.58</v>
      </c>
      <c r="L11" s="77">
        <v>0.58</v>
      </c>
    </row>
    <row r="12" ht="15" customHeight="1" spans="1:12">
      <c r="A12" s="38" t="s">
        <v>137</v>
      </c>
      <c r="B12" s="78"/>
      <c r="C12" s="78"/>
      <c r="D12" s="78"/>
      <c r="E12" s="37">
        <v>2231</v>
      </c>
      <c r="F12" s="37">
        <v>10063</v>
      </c>
      <c r="G12" s="37">
        <v>14563</v>
      </c>
      <c r="H12" s="37">
        <v>23911</v>
      </c>
      <c r="I12" s="37">
        <v>43743</v>
      </c>
      <c r="J12" s="37">
        <v>68286</v>
      </c>
      <c r="K12" s="37">
        <v>94877</v>
      </c>
      <c r="L12" s="37">
        <v>121252</v>
      </c>
    </row>
    <row r="13" ht="15" customHeight="1" spans="1:12">
      <c r="A13" s="35" t="s">
        <v>138</v>
      </c>
      <c r="B13" s="78"/>
      <c r="C13" s="78"/>
      <c r="D13" s="78"/>
      <c r="E13" s="37">
        <v>680</v>
      </c>
      <c r="F13" s="37">
        <v>3304</v>
      </c>
      <c r="G13" s="37">
        <v>5132</v>
      </c>
      <c r="H13" s="37">
        <v>8149</v>
      </c>
      <c r="I13" s="37">
        <v>12605</v>
      </c>
      <c r="J13" s="37">
        <v>18775</v>
      </c>
      <c r="K13" s="37">
        <v>25426</v>
      </c>
      <c r="L13" s="37">
        <v>32434</v>
      </c>
    </row>
    <row r="14" ht="15" customHeight="1" spans="1:12">
      <c r="A14" s="35" t="s">
        <v>139</v>
      </c>
      <c r="B14" s="37">
        <v>10700</v>
      </c>
      <c r="C14" s="37">
        <v>9300</v>
      </c>
      <c r="D14" s="37">
        <v>12600</v>
      </c>
      <c r="E14" s="37">
        <v>11000</v>
      </c>
      <c r="F14" s="37">
        <v>15200</v>
      </c>
      <c r="G14" s="37">
        <v>22000</v>
      </c>
      <c r="H14" s="37">
        <v>34839</v>
      </c>
      <c r="I14" s="37">
        <v>59542</v>
      </c>
      <c r="J14" s="37">
        <v>92995</v>
      </c>
      <c r="K14" s="37">
        <v>129654</v>
      </c>
      <c r="L14" s="37">
        <v>165840</v>
      </c>
    </row>
    <row r="15" ht="15" customHeight="1" spans="1:12">
      <c r="A15" s="38" t="s">
        <v>140</v>
      </c>
      <c r="B15" s="78"/>
      <c r="C15" s="78"/>
      <c r="D15" s="78"/>
      <c r="E15" s="77">
        <v>0.2</v>
      </c>
      <c r="F15" s="77">
        <v>0.66</v>
      </c>
      <c r="G15" s="77">
        <v>0.66</v>
      </c>
      <c r="H15" s="77">
        <v>0.69</v>
      </c>
      <c r="I15" s="77">
        <v>0.73</v>
      </c>
      <c r="J15" s="77">
        <v>0.73</v>
      </c>
      <c r="K15" s="77">
        <v>0.73</v>
      </c>
      <c r="L15" s="77">
        <v>0.73</v>
      </c>
    </row>
    <row r="16" ht="15" customHeight="1" spans="1:12">
      <c r="A16" s="41" t="s">
        <v>141</v>
      </c>
      <c r="B16" s="79">
        <v>6</v>
      </c>
      <c r="C16" s="79">
        <v>6</v>
      </c>
      <c r="D16" s="79">
        <v>6</v>
      </c>
      <c r="E16" s="79">
        <v>6</v>
      </c>
      <c r="F16" s="79">
        <v>6</v>
      </c>
      <c r="G16" s="79">
        <v>6</v>
      </c>
      <c r="H16" s="79">
        <v>6</v>
      </c>
      <c r="I16" s="79">
        <v>6</v>
      </c>
      <c r="J16" s="79">
        <v>6</v>
      </c>
      <c r="K16" s="79">
        <v>6</v>
      </c>
      <c r="L16" s="79">
        <v>6</v>
      </c>
    </row>
    <row r="17" ht="15" customHeight="1" spans="1:12">
      <c r="A17" s="43" t="s">
        <v>142</v>
      </c>
      <c r="B17" s="79">
        <v>15</v>
      </c>
      <c r="C17" s="79">
        <v>15</v>
      </c>
      <c r="D17" s="79">
        <v>15</v>
      </c>
      <c r="E17" s="79">
        <v>15</v>
      </c>
      <c r="F17" s="79">
        <v>15</v>
      </c>
      <c r="G17" s="79">
        <v>15</v>
      </c>
      <c r="H17" s="79">
        <v>15</v>
      </c>
      <c r="I17" s="79">
        <v>15</v>
      </c>
      <c r="J17" s="79">
        <v>15</v>
      </c>
      <c r="K17" s="79">
        <v>15</v>
      </c>
      <c r="L17" s="79">
        <v>15</v>
      </c>
    </row>
    <row r="19" ht="30" customHeight="1" spans="1:1">
      <c r="A19" s="80" t="s">
        <v>143</v>
      </c>
    </row>
    <row r="21" ht="15" customHeight="1" spans="1:1">
      <c r="A21" s="31" t="s">
        <v>144</v>
      </c>
    </row>
    <row r="22" ht="39.75" customHeight="1" spans="1:8">
      <c r="A22" s="81" t="s">
        <v>81</v>
      </c>
      <c r="B22" s="82" t="s">
        <v>145</v>
      </c>
      <c r="C22" s="81" t="s">
        <v>146</v>
      </c>
      <c r="D22" s="82" t="s">
        <v>147</v>
      </c>
      <c r="E22" s="81" t="s">
        <v>148</v>
      </c>
      <c r="F22" s="81" t="s">
        <v>149</v>
      </c>
      <c r="G22" s="81" t="s">
        <v>150</v>
      </c>
      <c r="H22" s="81" t="s">
        <v>151</v>
      </c>
    </row>
    <row r="23" ht="36" customHeight="1" spans="1:8">
      <c r="A23" s="59" t="s">
        <v>22</v>
      </c>
      <c r="B23" s="40">
        <v>0.59</v>
      </c>
      <c r="C23" s="83" t="s">
        <v>152</v>
      </c>
      <c r="D23" s="84">
        <v>6</v>
      </c>
      <c r="E23" s="40">
        <v>0.36</v>
      </c>
      <c r="F23" s="90">
        <v>15</v>
      </c>
      <c r="G23" s="40">
        <v>0.05</v>
      </c>
      <c r="H23" s="90">
        <v>10</v>
      </c>
    </row>
    <row r="24" ht="36" customHeight="1" spans="1:8">
      <c r="A24" s="59" t="s">
        <v>38</v>
      </c>
      <c r="B24" s="40">
        <v>0.42</v>
      </c>
      <c r="C24" s="83" t="s">
        <v>153</v>
      </c>
      <c r="D24" s="84">
        <v>5</v>
      </c>
      <c r="E24" s="40">
        <v>0.35</v>
      </c>
      <c r="F24" s="90">
        <v>18</v>
      </c>
      <c r="G24" s="40">
        <v>0.23</v>
      </c>
      <c r="H24" s="90">
        <v>8</v>
      </c>
    </row>
    <row r="25" ht="36" customHeight="1" spans="1:8">
      <c r="A25" s="59" t="s">
        <v>42</v>
      </c>
      <c r="B25" s="40">
        <v>0.57</v>
      </c>
      <c r="C25" s="83" t="s">
        <v>154</v>
      </c>
      <c r="D25" s="84">
        <v>6</v>
      </c>
      <c r="E25" s="40">
        <v>0.35</v>
      </c>
      <c r="F25" s="90">
        <v>20</v>
      </c>
      <c r="G25" s="40">
        <v>0.08</v>
      </c>
      <c r="H25" s="90">
        <v>10</v>
      </c>
    </row>
    <row r="26" ht="36" customHeight="1" spans="1:8">
      <c r="A26" s="59" t="s">
        <v>48</v>
      </c>
      <c r="B26" s="40">
        <v>0.62</v>
      </c>
      <c r="C26" s="83" t="s">
        <v>155</v>
      </c>
      <c r="D26" s="84">
        <v>5.5</v>
      </c>
      <c r="E26" s="40">
        <v>0.33</v>
      </c>
      <c r="F26" s="90">
        <v>22</v>
      </c>
      <c r="G26" s="40">
        <v>0.05</v>
      </c>
      <c r="H26" s="90">
        <v>10</v>
      </c>
    </row>
    <row r="27" ht="36" customHeight="1" spans="1:8">
      <c r="A27" s="59" t="s">
        <v>55</v>
      </c>
      <c r="B27" s="40">
        <v>0.5</v>
      </c>
      <c r="C27" s="83" t="s">
        <v>156</v>
      </c>
      <c r="D27" s="84">
        <v>5.5</v>
      </c>
      <c r="E27" s="40">
        <v>0.4</v>
      </c>
      <c r="F27" s="90">
        <v>20</v>
      </c>
      <c r="G27" s="40">
        <v>0.1</v>
      </c>
      <c r="H27" s="90">
        <v>10</v>
      </c>
    </row>
    <row r="30" ht="15" customHeight="1" spans="1:1">
      <c r="A30" s="31" t="s">
        <v>157</v>
      </c>
    </row>
    <row r="31" ht="36" customHeight="1" spans="1:12">
      <c r="A31" s="81" t="s">
        <v>81</v>
      </c>
      <c r="B31" s="82" t="s">
        <v>158</v>
      </c>
      <c r="C31" s="82" t="s">
        <v>159</v>
      </c>
      <c r="D31" s="82" t="s">
        <v>160</v>
      </c>
      <c r="E31" s="82" t="s">
        <v>161</v>
      </c>
      <c r="F31" s="82" t="s">
        <v>162</v>
      </c>
      <c r="G31" s="82" t="s">
        <v>163</v>
      </c>
      <c r="H31" s="82" t="s">
        <v>164</v>
      </c>
      <c r="I31" s="82" t="s">
        <v>165</v>
      </c>
      <c r="J31" s="82" t="s">
        <v>166</v>
      </c>
      <c r="K31" s="82" t="s">
        <v>167</v>
      </c>
      <c r="L31" s="82" t="s">
        <v>168</v>
      </c>
    </row>
    <row r="32" ht="15" customHeight="1" spans="1:12">
      <c r="A32" s="59" t="s">
        <v>22</v>
      </c>
      <c r="B32" s="85">
        <f>'0. Database'!P12</f>
        <v>145871.3</v>
      </c>
      <c r="C32" s="85">
        <f>'0. Database'!P11</f>
        <v>42005.11</v>
      </c>
      <c r="D32" s="85">
        <f>'0. Database'!P7</f>
        <v>129372.86</v>
      </c>
      <c r="E32" s="91">
        <f>'0. Database'!P8</f>
        <v>17.28</v>
      </c>
      <c r="F32" s="85">
        <f>'0. Database'!P9</f>
        <v>7425.9</v>
      </c>
      <c r="G32" s="92">
        <v>0.18</v>
      </c>
      <c r="H32" s="88">
        <f>$C$32*($B$23*$D$23+$E$23*$F$23+$G$23*$H$23)</f>
        <v>396528.2384</v>
      </c>
      <c r="I32" s="94">
        <f>'0. Database'!Q12</f>
        <v>245263.45</v>
      </c>
      <c r="J32" s="94">
        <f>'0. Database'!Q11</f>
        <v>55415.31</v>
      </c>
      <c r="K32" s="94">
        <f>'0. Database'!Q7</f>
        <v>144971.56</v>
      </c>
      <c r="L32" s="95">
        <f>'0. Database'!Q8</f>
        <v>19.42</v>
      </c>
    </row>
    <row r="33" ht="15" customHeight="1" spans="1:12">
      <c r="A33" s="59" t="s">
        <v>38</v>
      </c>
      <c r="B33" s="85">
        <f>'0. Database'!P28</f>
        <v>200104.98</v>
      </c>
      <c r="C33" s="85">
        <f>'0. Database'!P27</f>
        <v>84391.58</v>
      </c>
      <c r="D33" s="85">
        <f>'0. Database'!P23</f>
        <v>98333.72</v>
      </c>
      <c r="E33" s="91">
        <f>'0. Database'!P24</f>
        <v>8.79</v>
      </c>
      <c r="F33" s="85">
        <f>'0. Database'!P25</f>
        <v>10862.95</v>
      </c>
      <c r="G33" s="92">
        <v>0.2</v>
      </c>
      <c r="H33" s="88">
        <f>$C$33*($B$24*$D$24+$E$24*$F$24+$G$24*$H$24)</f>
        <v>864169.7792</v>
      </c>
      <c r="I33" s="94">
        <f>'0. Database'!Q28</f>
        <v>270141.72</v>
      </c>
      <c r="J33" s="94">
        <f>'0. Database'!Q27</f>
        <v>107181.82</v>
      </c>
      <c r="K33" s="94">
        <f>'0. Database'!Q23</f>
        <v>116218.4</v>
      </c>
      <c r="L33" s="95">
        <f>'0. Database'!Q24</f>
        <v>10.03</v>
      </c>
    </row>
    <row r="34" ht="15" customHeight="1" spans="1:12">
      <c r="A34" s="59" t="s">
        <v>42</v>
      </c>
      <c r="B34" s="85">
        <f>'0. Database'!P43</f>
        <v>185234.28</v>
      </c>
      <c r="C34" s="85">
        <f>'0. Database'!P42</f>
        <v>42874.7</v>
      </c>
      <c r="D34" s="85">
        <f>'0. Database'!P38</f>
        <v>168543.28</v>
      </c>
      <c r="E34" s="91">
        <f>'0. Database'!P39</f>
        <v>14.19</v>
      </c>
      <c r="F34" s="85">
        <f>'0. Database'!P40</f>
        <v>12096.35</v>
      </c>
      <c r="G34" s="92">
        <v>0.16</v>
      </c>
      <c r="H34" s="88">
        <f>$C$34*($B$25*$D$25+$E$25*$F$25+$G$25*$H$25)</f>
        <v>481054.134</v>
      </c>
      <c r="I34" s="94">
        <f>'0. Database'!Q43</f>
        <v>259327.99</v>
      </c>
      <c r="J34" s="94">
        <f>'0. Database'!Q42</f>
        <v>69582.72</v>
      </c>
      <c r="K34" s="94">
        <f>'0. Database'!Q38</f>
        <v>174626.97</v>
      </c>
      <c r="L34" s="95">
        <f>'0. Database'!Q39</f>
        <v>14.69</v>
      </c>
    </row>
    <row r="35" ht="15" customHeight="1" spans="1:12">
      <c r="A35" s="59" t="s">
        <v>48</v>
      </c>
      <c r="B35" s="85">
        <f>'0. Database'!P60</f>
        <v>135583.71</v>
      </c>
      <c r="C35" s="85">
        <f>'0. Database'!P59</f>
        <v>29596.55</v>
      </c>
      <c r="D35" s="85">
        <f>'0. Database'!P55</f>
        <v>85782.86</v>
      </c>
      <c r="E35" s="91">
        <f>'0. Database'!P56</f>
        <v>32.2</v>
      </c>
      <c r="F35" s="85">
        <f>'0. Database'!P57</f>
        <v>2541.31</v>
      </c>
      <c r="G35" s="92">
        <v>0.13</v>
      </c>
      <c r="H35" s="88">
        <f>$C$35*($B$26*$D$26+$E$26*$F$26+$G$26*$H$26)</f>
        <v>330593.4635</v>
      </c>
      <c r="I35" s="94">
        <f>'0. Database'!Q60</f>
        <v>165714.44</v>
      </c>
      <c r="J35" s="94">
        <f>'0. Database'!Q59</f>
        <v>43105.48</v>
      </c>
      <c r="K35" s="94">
        <f>'0. Database'!Q55</f>
        <v>91160.94</v>
      </c>
      <c r="L35" s="95">
        <f>'0. Database'!Q56</f>
        <v>34.9</v>
      </c>
    </row>
    <row r="36" ht="15" customHeight="1" spans="1:12">
      <c r="A36" s="59" t="s">
        <v>55</v>
      </c>
      <c r="B36" s="85">
        <f>'0. Database'!P78</f>
        <v>51882</v>
      </c>
      <c r="C36" s="85">
        <f>'0. Database'!P77</f>
        <v>9142.32</v>
      </c>
      <c r="D36" s="85">
        <f>'0. Database'!P73</f>
        <v>15820.55</v>
      </c>
      <c r="E36" s="91">
        <f>'0. Database'!P74</f>
        <v>5.85</v>
      </c>
      <c r="F36" s="85">
        <f>'0. Database'!P75</f>
        <v>2864.8</v>
      </c>
      <c r="G36" s="92">
        <v>0.2</v>
      </c>
      <c r="H36" s="88">
        <f>$C$36*($B$27*$D$27+$E$27*$F$27+$G$27*$H$27)</f>
        <v>107422.26</v>
      </c>
      <c r="I36" s="94">
        <f>'0. Database'!Q78</f>
        <v>52141.41</v>
      </c>
      <c r="J36" s="94">
        <f>'0. Database'!Q77</f>
        <v>13499.83</v>
      </c>
      <c r="K36" s="94">
        <f>'0. Database'!Q73</f>
        <v>13363.1</v>
      </c>
      <c r="L36" s="95">
        <f>'0. Database'!Q74</f>
        <v>6.26</v>
      </c>
    </row>
    <row r="39" ht="15" customHeight="1" spans="1:1">
      <c r="A39" s="31" t="s">
        <v>169</v>
      </c>
    </row>
    <row r="40" ht="15" customHeight="1" spans="1:1">
      <c r="A40" s="62" t="s">
        <v>170</v>
      </c>
    </row>
    <row r="41" ht="15" customHeight="1" spans="1:12">
      <c r="A41" s="86" t="s">
        <v>171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ht="31.5" customHeight="1" spans="1:11">
      <c r="A42" s="81" t="s">
        <v>81</v>
      </c>
      <c r="B42" s="82" t="s">
        <v>172</v>
      </c>
      <c r="C42" s="81" t="s">
        <v>173</v>
      </c>
      <c r="D42" s="81" t="s">
        <v>174</v>
      </c>
      <c r="E42" s="81" t="s">
        <v>175</v>
      </c>
      <c r="F42" s="81" t="s">
        <v>176</v>
      </c>
      <c r="G42" s="82" t="s">
        <v>177</v>
      </c>
      <c r="H42" s="82" t="s">
        <v>178</v>
      </c>
      <c r="I42" s="81" t="s">
        <v>179</v>
      </c>
      <c r="J42" s="81" t="s">
        <v>180</v>
      </c>
      <c r="K42" s="82" t="s">
        <v>181</v>
      </c>
    </row>
    <row r="43" ht="15" customHeight="1" spans="1:11">
      <c r="A43" s="87" t="s">
        <v>22</v>
      </c>
      <c r="B43" s="88">
        <f>$H$32*$B$23/6</f>
        <v>38991.9434426667</v>
      </c>
      <c r="C43" s="88">
        <f>$H$32*$E$23/$F$23</f>
        <v>9516.6777216</v>
      </c>
      <c r="D43" s="88">
        <f>$H$32*$G$23/$H$23</f>
        <v>1982.641192</v>
      </c>
      <c r="E43" s="60">
        <f>$B$43+$C$43+$D$43</f>
        <v>50491.2623562667</v>
      </c>
      <c r="F43" s="85">
        <f>$C$32</f>
        <v>42005.11</v>
      </c>
      <c r="G43" s="93">
        <f>$E$43-$C$32</f>
        <v>8486.15235626666</v>
      </c>
      <c r="H43" s="93">
        <f>$G$43*(1-$G$32)</f>
        <v>6958.64493213866</v>
      </c>
      <c r="I43" s="93">
        <f>$D$32-$H$43</f>
        <v>122414.215067861</v>
      </c>
      <c r="J43" s="96">
        <f>$I$43/$F$32</f>
        <v>16.4847648187912</v>
      </c>
      <c r="K43" s="97">
        <f>IFERROR($J$43/$E$32-1,"")</f>
        <v>-0.0460205544681036</v>
      </c>
    </row>
    <row r="44" ht="15" customHeight="1" spans="1:11">
      <c r="A44" s="87" t="s">
        <v>38</v>
      </c>
      <c r="B44" s="88">
        <f>$H$33*$B$24/6</f>
        <v>60491.884544</v>
      </c>
      <c r="C44" s="88">
        <f>$H$33*$E$24/$F$24</f>
        <v>16803.3012622222</v>
      </c>
      <c r="D44" s="88">
        <f>$H$33*$G$24/$H$24</f>
        <v>24844.881152</v>
      </c>
      <c r="E44" s="60">
        <f>$B$44+$C$44+$D$44</f>
        <v>102140.066958222</v>
      </c>
      <c r="F44" s="85">
        <f>$C$33</f>
        <v>84391.58</v>
      </c>
      <c r="G44" s="93">
        <f>$E$44-$C$33</f>
        <v>17748.4869582222</v>
      </c>
      <c r="H44" s="93">
        <f>$G$44*(1-$G$33)</f>
        <v>14198.7895665778</v>
      </c>
      <c r="I44" s="93">
        <f>$D$33-$H$44</f>
        <v>84134.9304334222</v>
      </c>
      <c r="J44" s="96">
        <f>$I$44/$F$33</f>
        <v>7.74512728434009</v>
      </c>
      <c r="K44" s="97">
        <f>IFERROR($J$44/$E$33-1,"")</f>
        <v>-0.11887061611603</v>
      </c>
    </row>
    <row r="45" ht="15" customHeight="1" spans="1:11">
      <c r="A45" s="87" t="s">
        <v>42</v>
      </c>
      <c r="B45" s="88">
        <f>$H$34*$B$25/6</f>
        <v>45700.14273</v>
      </c>
      <c r="C45" s="88">
        <f>$H$34*$E$25/$F$25</f>
        <v>8418.447345</v>
      </c>
      <c r="D45" s="88">
        <f>$H$34*$G$25/$H$25</f>
        <v>3848.433072</v>
      </c>
      <c r="E45" s="60">
        <f>$B$45+$C$45+$D$45</f>
        <v>57967.023147</v>
      </c>
      <c r="F45" s="85">
        <f>$C$34</f>
        <v>42874.7</v>
      </c>
      <c r="G45" s="93">
        <f>$E$45-$C$34</f>
        <v>15092.323147</v>
      </c>
      <c r="H45" s="93">
        <f>$G$45*(1-$G$34)</f>
        <v>12677.55144348</v>
      </c>
      <c r="I45" s="93">
        <f>$D$34-$H$45</f>
        <v>155865.72855652</v>
      </c>
      <c r="J45" s="96">
        <f>$I$45/$F$34</f>
        <v>12.885352073685</v>
      </c>
      <c r="K45" s="97">
        <f>IFERROR($J$45/$E$34-1,"")</f>
        <v>-0.0919413619672279</v>
      </c>
    </row>
    <row r="46" ht="15" customHeight="1" spans="1:11">
      <c r="A46" s="87" t="s">
        <v>48</v>
      </c>
      <c r="B46" s="88">
        <f>$H$35*$B$26/6</f>
        <v>34161.3245616667</v>
      </c>
      <c r="C46" s="88">
        <f>$H$35*$E$26/$F$26</f>
        <v>4958.9019525</v>
      </c>
      <c r="D46" s="88">
        <f>$H$35*$G$26/$H$26</f>
        <v>1652.9673175</v>
      </c>
      <c r="E46" s="60">
        <f>$B$46+$C$46+$D$46</f>
        <v>40773.1938316667</v>
      </c>
      <c r="F46" s="85">
        <f>$C$35</f>
        <v>29596.55</v>
      </c>
      <c r="G46" s="93">
        <f>$E$46-$C$35</f>
        <v>11176.6438316667</v>
      </c>
      <c r="H46" s="93">
        <f>$G$46*(1-$G$35)</f>
        <v>9723.68013355001</v>
      </c>
      <c r="I46" s="93">
        <f>$D$35-$H$46</f>
        <v>76059.17986645</v>
      </c>
      <c r="J46" s="96">
        <f>$I$46/$F$35</f>
        <v>29.9291231162078</v>
      </c>
      <c r="K46" s="97">
        <f>IFERROR($J$46/$E$35-1,"")</f>
        <v>-0.0705241268258454</v>
      </c>
    </row>
    <row r="47" ht="15" customHeight="1" spans="1:11">
      <c r="A47" s="87" t="s">
        <v>55</v>
      </c>
      <c r="B47" s="88">
        <f>$H$36*$B$27/6</f>
        <v>8951.855</v>
      </c>
      <c r="C47" s="88">
        <f>$H$36*$E$27/$F$27</f>
        <v>2148.4452</v>
      </c>
      <c r="D47" s="88">
        <f>$H$36*$G$27/$H$27</f>
        <v>1074.2226</v>
      </c>
      <c r="E47" s="60">
        <f>$B$47+$C$47+$D$47</f>
        <v>12174.5228</v>
      </c>
      <c r="F47" s="85">
        <f>$C$36</f>
        <v>9142.32</v>
      </c>
      <c r="G47" s="93">
        <f>$E$47-$C$36</f>
        <v>3032.2028</v>
      </c>
      <c r="H47" s="93">
        <f>$G$47*(1-$G$36)</f>
        <v>2425.76224</v>
      </c>
      <c r="I47" s="93">
        <f>$D$36-$H$47</f>
        <v>13394.78776</v>
      </c>
      <c r="J47" s="96">
        <f>$I$47/$F$36</f>
        <v>4.67564498743368</v>
      </c>
      <c r="K47" s="97">
        <f>IFERROR($J$47/$E$36-1,"")</f>
        <v>-0.200744446592534</v>
      </c>
    </row>
    <row r="49" ht="15" customHeight="1" spans="1:12">
      <c r="A49" s="86" t="s">
        <v>182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ht="31.5" customHeight="1" spans="1:11">
      <c r="A50" s="81" t="s">
        <v>81</v>
      </c>
      <c r="B50" s="82" t="s">
        <v>172</v>
      </c>
      <c r="C50" s="81" t="s">
        <v>173</v>
      </c>
      <c r="D50" s="81" t="s">
        <v>174</v>
      </c>
      <c r="E50" s="81" t="s">
        <v>175</v>
      </c>
      <c r="F50" s="81" t="s">
        <v>176</v>
      </c>
      <c r="G50" s="82" t="s">
        <v>177</v>
      </c>
      <c r="H50" s="82" t="s">
        <v>178</v>
      </c>
      <c r="I50" s="81" t="s">
        <v>179</v>
      </c>
      <c r="J50" s="81" t="s">
        <v>180</v>
      </c>
      <c r="K50" s="82" t="s">
        <v>181</v>
      </c>
    </row>
    <row r="51" ht="15" customHeight="1" spans="1:11">
      <c r="A51" s="87" t="s">
        <v>22</v>
      </c>
      <c r="B51" s="88">
        <f>$H$32*$B$23/5</f>
        <v>46790.3321312</v>
      </c>
      <c r="C51" s="88">
        <f>$H$32*$E$23/$F$23</f>
        <v>9516.6777216</v>
      </c>
      <c r="D51" s="88">
        <f>$H$32*$G$23/$H$23</f>
        <v>1982.641192</v>
      </c>
      <c r="E51" s="60">
        <f>$B$51+$C$51+$D$51</f>
        <v>58289.6510448</v>
      </c>
      <c r="F51" s="85">
        <f>$C$32</f>
        <v>42005.11</v>
      </c>
      <c r="G51" s="93">
        <f>$E$51-$C$32</f>
        <v>16284.5410448</v>
      </c>
      <c r="H51" s="93">
        <f>$G$51*(1-$G$32)</f>
        <v>13353.323656736</v>
      </c>
      <c r="I51" s="93">
        <f>$D$32-$H$51</f>
        <v>116019.536343264</v>
      </c>
      <c r="J51" s="96">
        <f>$I$51/$F$32</f>
        <v>15.6236330065398</v>
      </c>
      <c r="K51" s="97">
        <f>IFERROR($J$51/$E$32-1,"")</f>
        <v>-0.0958545713807978</v>
      </c>
    </row>
    <row r="52" ht="15" customHeight="1" spans="1:11">
      <c r="A52" s="87" t="s">
        <v>38</v>
      </c>
      <c r="B52" s="88">
        <f>$H$33*$B$24/5</f>
        <v>72590.2614528</v>
      </c>
      <c r="C52" s="88">
        <f>$H$33*$E$24/$F$24</f>
        <v>16803.3012622222</v>
      </c>
      <c r="D52" s="88">
        <f>$H$33*$G$24/$H$24</f>
        <v>24844.881152</v>
      </c>
      <c r="E52" s="60">
        <f>$B$52+$C$52+$D$52</f>
        <v>114238.443867022</v>
      </c>
      <c r="F52" s="85">
        <f>$C$33</f>
        <v>84391.58</v>
      </c>
      <c r="G52" s="93">
        <f>$E$52-$C$33</f>
        <v>29846.8638670222</v>
      </c>
      <c r="H52" s="93">
        <f>$G$52*(1-$G$33)</f>
        <v>23877.4910936178</v>
      </c>
      <c r="I52" s="93">
        <f>$D$33-$H$52</f>
        <v>74456.2289063822</v>
      </c>
      <c r="J52" s="96">
        <f>$I$52/$F$33</f>
        <v>6.85414449172483</v>
      </c>
      <c r="K52" s="97">
        <f>IFERROR($J$52/$E$33-1,"")</f>
        <v>-0.220233846220156</v>
      </c>
    </row>
    <row r="53" ht="15" customHeight="1" spans="1:11">
      <c r="A53" s="87" t="s">
        <v>42</v>
      </c>
      <c r="B53" s="88">
        <f>$H$34*$B$25/5</f>
        <v>54840.171276</v>
      </c>
      <c r="C53" s="88">
        <f>$H$34*$E$25/$F$25</f>
        <v>8418.447345</v>
      </c>
      <c r="D53" s="88">
        <f>$H$34*$G$25/$H$25</f>
        <v>3848.433072</v>
      </c>
      <c r="E53" s="60">
        <f>$B$53+$C$53+$D$53</f>
        <v>67107.051693</v>
      </c>
      <c r="F53" s="85">
        <f>$C$34</f>
        <v>42874.7</v>
      </c>
      <c r="G53" s="93">
        <f>$E$53-$C$34</f>
        <v>24232.351693</v>
      </c>
      <c r="H53" s="93">
        <f>$G$53*(1-$G$34)</f>
        <v>20355.17542212</v>
      </c>
      <c r="I53" s="93">
        <f>$D$34-$H$53</f>
        <v>148188.10457788</v>
      </c>
      <c r="J53" s="96">
        <f>$I$53/$F$34</f>
        <v>12.2506462344327</v>
      </c>
      <c r="K53" s="97">
        <f>IFERROR($J$53/$E$34-1,"")</f>
        <v>-0.136670455642516</v>
      </c>
    </row>
    <row r="54" ht="15" customHeight="1" spans="1:11">
      <c r="A54" s="87" t="s">
        <v>48</v>
      </c>
      <c r="B54" s="88">
        <f>$H$35*$B$26/5</f>
        <v>40993.589474</v>
      </c>
      <c r="C54" s="88">
        <f>$H$35*$E$26/$F$26</f>
        <v>4958.9019525</v>
      </c>
      <c r="D54" s="88">
        <f>$H$35*$G$26/$H$26</f>
        <v>1652.9673175</v>
      </c>
      <c r="E54" s="60">
        <f>$B$54+$C$54+$D$54</f>
        <v>47605.458744</v>
      </c>
      <c r="F54" s="85">
        <f>$C$35</f>
        <v>29596.55</v>
      </c>
      <c r="G54" s="93">
        <f>$E$54-$C$35</f>
        <v>18008.908744</v>
      </c>
      <c r="H54" s="93">
        <f>$G$54*(1-$G$35)</f>
        <v>15667.75060728</v>
      </c>
      <c r="I54" s="93">
        <f>$D$35-$H$54</f>
        <v>70115.10939272</v>
      </c>
      <c r="J54" s="96">
        <f>$I$54/$F$35</f>
        <v>27.5901442140943</v>
      </c>
      <c r="K54" s="97">
        <f>IFERROR($J$54/$E$35-1,"")</f>
        <v>-0.143163223164773</v>
      </c>
    </row>
    <row r="55" ht="15" customHeight="1" spans="1:11">
      <c r="A55" s="87" t="s">
        <v>55</v>
      </c>
      <c r="B55" s="88">
        <f>$H$36*$B$27/5</f>
        <v>10742.226</v>
      </c>
      <c r="C55" s="88">
        <f>$H$36*$E$27/$F$27</f>
        <v>2148.4452</v>
      </c>
      <c r="D55" s="88">
        <f>$H$36*$G$27/$H$27</f>
        <v>1074.2226</v>
      </c>
      <c r="E55" s="60">
        <f>$B$55+$C$55+$D$55</f>
        <v>13964.8938</v>
      </c>
      <c r="F55" s="85">
        <f>$C$36</f>
        <v>9142.32</v>
      </c>
      <c r="G55" s="93">
        <f>$E$55-$C$36</f>
        <v>4822.5738</v>
      </c>
      <c r="H55" s="93">
        <f>$G$55*(1-$G$36)</f>
        <v>3858.05904</v>
      </c>
      <c r="I55" s="93">
        <f>$D$36-$H$55</f>
        <v>11962.49096</v>
      </c>
      <c r="J55" s="96">
        <f>$I$55/$F$36</f>
        <v>4.17568101089081</v>
      </c>
      <c r="K55" s="97">
        <f>IFERROR($J$55/$E$36-1,"")</f>
        <v>-0.286208374206699</v>
      </c>
    </row>
    <row r="57" ht="15" customHeight="1" spans="1:12">
      <c r="A57" s="89" t="s">
        <v>183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ht="31.5" customHeight="1" spans="1:11">
      <c r="A58" s="81" t="s">
        <v>81</v>
      </c>
      <c r="B58" s="82" t="s">
        <v>172</v>
      </c>
      <c r="C58" s="81" t="s">
        <v>173</v>
      </c>
      <c r="D58" s="81" t="s">
        <v>174</v>
      </c>
      <c r="E58" s="81" t="s">
        <v>175</v>
      </c>
      <c r="F58" s="81" t="s">
        <v>176</v>
      </c>
      <c r="G58" s="82" t="s">
        <v>177</v>
      </c>
      <c r="H58" s="82" t="s">
        <v>178</v>
      </c>
      <c r="I58" s="81" t="s">
        <v>179</v>
      </c>
      <c r="J58" s="81" t="s">
        <v>180</v>
      </c>
      <c r="K58" s="82" t="s">
        <v>181</v>
      </c>
    </row>
    <row r="59" ht="15" customHeight="1" spans="1:11">
      <c r="A59" s="87" t="s">
        <v>22</v>
      </c>
      <c r="B59" s="88">
        <f>$H$32*$B$23/4</f>
        <v>58487.915164</v>
      </c>
      <c r="C59" s="88">
        <f>$H$32*$E$23/$F$23</f>
        <v>9516.6777216</v>
      </c>
      <c r="D59" s="88">
        <f>$H$32*$G$23/$H$23</f>
        <v>1982.641192</v>
      </c>
      <c r="E59" s="60">
        <f>$B$59+$C$59+$D$59</f>
        <v>69987.2340776</v>
      </c>
      <c r="F59" s="85">
        <f>$C$32</f>
        <v>42005.11</v>
      </c>
      <c r="G59" s="93">
        <f>$E$59-$C$32</f>
        <v>27982.1240776</v>
      </c>
      <c r="H59" s="93">
        <f>$G$59*(1-$G$32)</f>
        <v>22945.341743632</v>
      </c>
      <c r="I59" s="93">
        <f>$D$32-$H$59</f>
        <v>106427.518256368</v>
      </c>
      <c r="J59" s="96">
        <f>$I$59/$F$32</f>
        <v>14.3319352881628</v>
      </c>
      <c r="K59" s="97">
        <f>IFERROR($J$59/$E$32-1,"")</f>
        <v>-0.170605596749839</v>
      </c>
    </row>
    <row r="60" ht="15" customHeight="1" spans="1:11">
      <c r="A60" s="87" t="s">
        <v>38</v>
      </c>
      <c r="B60" s="88">
        <f>$H$33*$B$24/4</f>
        <v>90737.826816</v>
      </c>
      <c r="C60" s="88">
        <f>$H$33*$E$24/$F$24</f>
        <v>16803.3012622222</v>
      </c>
      <c r="D60" s="88">
        <f>$H$33*$G$24/$H$24</f>
        <v>24844.881152</v>
      </c>
      <c r="E60" s="60">
        <f>$B$60+$C$60+$D$60</f>
        <v>132386.009230222</v>
      </c>
      <c r="F60" s="85">
        <f>$C$33</f>
        <v>84391.58</v>
      </c>
      <c r="G60" s="93">
        <f>$E$60-$C$33</f>
        <v>47994.4292302222</v>
      </c>
      <c r="H60" s="93">
        <f>$G$60*(1-$G$33)</f>
        <v>38395.5433841778</v>
      </c>
      <c r="I60" s="93">
        <f>$D$33-$H$60</f>
        <v>59938.1766158222</v>
      </c>
      <c r="J60" s="96">
        <f>$I$60/$F$33</f>
        <v>5.51767030280193</v>
      </c>
      <c r="K60" s="97">
        <f>IFERROR($J$60/$E$33-1,"")</f>
        <v>-0.372278691376345</v>
      </c>
    </row>
    <row r="61" ht="15" customHeight="1" spans="1:11">
      <c r="A61" s="87" t="s">
        <v>42</v>
      </c>
      <c r="B61" s="88">
        <f>$H$34*$B$25/4</f>
        <v>68550.214095</v>
      </c>
      <c r="C61" s="88">
        <f>$H$34*$E$25/$F$25</f>
        <v>8418.447345</v>
      </c>
      <c r="D61" s="88">
        <f>$H$34*$G$25/$H$25</f>
        <v>3848.433072</v>
      </c>
      <c r="E61" s="60">
        <f>$B$61+$C$61+$D$61</f>
        <v>80817.094512</v>
      </c>
      <c r="F61" s="85">
        <f>$C$34</f>
        <v>42874.7</v>
      </c>
      <c r="G61" s="93">
        <f>$E$61-$C$34</f>
        <v>37942.394512</v>
      </c>
      <c r="H61" s="93">
        <f>$G$61*(1-$G$34)</f>
        <v>31871.61139008</v>
      </c>
      <c r="I61" s="93">
        <f>$D$34-$H$61</f>
        <v>136671.66860992</v>
      </c>
      <c r="J61" s="96">
        <f>$I$61/$F$34</f>
        <v>11.2985874755542</v>
      </c>
      <c r="K61" s="97">
        <f>IFERROR($J$61/$E$34-1,"")</f>
        <v>-0.203764096155448</v>
      </c>
    </row>
    <row r="62" ht="15" customHeight="1" spans="1:11">
      <c r="A62" s="87" t="s">
        <v>48</v>
      </c>
      <c r="B62" s="88">
        <f>$H$35*$B$26/4</f>
        <v>51241.9868425</v>
      </c>
      <c r="C62" s="88">
        <f>$H$35*$E$26/$F$26</f>
        <v>4958.9019525</v>
      </c>
      <c r="D62" s="88">
        <f>$H$35*$G$26/$H$26</f>
        <v>1652.9673175</v>
      </c>
      <c r="E62" s="60">
        <f>$B$62+$C$62+$D$62</f>
        <v>57853.8561125</v>
      </c>
      <c r="F62" s="85">
        <f>$C$35</f>
        <v>29596.55</v>
      </c>
      <c r="G62" s="93">
        <f>$E$62-$C$35</f>
        <v>28257.3061125</v>
      </c>
      <c r="H62" s="93">
        <f>$G$62*(1-$G$35)</f>
        <v>24583.856317875</v>
      </c>
      <c r="I62" s="93">
        <f>$D$35-$H$62</f>
        <v>61199.003682125</v>
      </c>
      <c r="J62" s="96">
        <f>$I$62/$F$35</f>
        <v>24.0816758609241</v>
      </c>
      <c r="K62" s="97">
        <f>IFERROR($J$62/$E$35-1,"")</f>
        <v>-0.252121867673165</v>
      </c>
    </row>
    <row r="63" ht="15" customHeight="1" spans="1:11">
      <c r="A63" s="87" t="s">
        <v>55</v>
      </c>
      <c r="B63" s="88">
        <f>$H$36*$B$27/4</f>
        <v>13427.7825</v>
      </c>
      <c r="C63" s="88">
        <f>$H$36*$E$27/$F$27</f>
        <v>2148.4452</v>
      </c>
      <c r="D63" s="88">
        <f>$H$36*$G$27/$H$27</f>
        <v>1074.2226</v>
      </c>
      <c r="E63" s="60">
        <f>$B$63+$C$63+$D$63</f>
        <v>16650.4503</v>
      </c>
      <c r="F63" s="85">
        <f>$C$36</f>
        <v>9142.32</v>
      </c>
      <c r="G63" s="93">
        <f>$E$63-$C$36</f>
        <v>7508.1303</v>
      </c>
      <c r="H63" s="93">
        <f>$G$63*(1-$G$36)</f>
        <v>6006.50424</v>
      </c>
      <c r="I63" s="93">
        <f>$D$36-$H$63</f>
        <v>9814.04576</v>
      </c>
      <c r="J63" s="96">
        <f>$I$63/$F$36</f>
        <v>3.42573504607651</v>
      </c>
      <c r="K63" s="97">
        <f>IFERROR($J$63/$E$36-1,"")</f>
        <v>-0.414404265627946</v>
      </c>
    </row>
    <row r="65" ht="15" customHeight="1" spans="1:12">
      <c r="A65" s="72" t="s">
        <v>184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ht="31.5" customHeight="1" spans="1:11">
      <c r="A66" s="81" t="s">
        <v>81</v>
      </c>
      <c r="B66" s="82" t="s">
        <v>172</v>
      </c>
      <c r="C66" s="81" t="s">
        <v>173</v>
      </c>
      <c r="D66" s="81" t="s">
        <v>174</v>
      </c>
      <c r="E66" s="81" t="s">
        <v>175</v>
      </c>
      <c r="F66" s="81" t="s">
        <v>176</v>
      </c>
      <c r="G66" s="82" t="s">
        <v>177</v>
      </c>
      <c r="H66" s="82" t="s">
        <v>178</v>
      </c>
      <c r="I66" s="81" t="s">
        <v>179</v>
      </c>
      <c r="J66" s="81" t="s">
        <v>180</v>
      </c>
      <c r="K66" s="82" t="s">
        <v>181</v>
      </c>
    </row>
    <row r="67" ht="15" customHeight="1" spans="1:11">
      <c r="A67" s="87" t="s">
        <v>22</v>
      </c>
      <c r="B67" s="88">
        <f>$H$32*$B$23/3</f>
        <v>77983.8868853333</v>
      </c>
      <c r="C67" s="88">
        <f>$H$32*$E$23/$F$23</f>
        <v>9516.6777216</v>
      </c>
      <c r="D67" s="88">
        <f>$H$32*$G$23/$H$23</f>
        <v>1982.641192</v>
      </c>
      <c r="E67" s="60">
        <f>$B$67+$C$67+$D$67</f>
        <v>89483.2057989333</v>
      </c>
      <c r="F67" s="85">
        <f>$C$32</f>
        <v>42005.11</v>
      </c>
      <c r="G67" s="93">
        <f>$E$67-$C$32</f>
        <v>47478.0957989333</v>
      </c>
      <c r="H67" s="93">
        <f>$G$67*(1-$G$32)</f>
        <v>38932.0385551253</v>
      </c>
      <c r="I67" s="93">
        <f>$D$32-$H$67</f>
        <v>90440.8214448747</v>
      </c>
      <c r="J67" s="96">
        <f>$I$67/$F$32</f>
        <v>12.1791057575344</v>
      </c>
      <c r="K67" s="97">
        <f>IFERROR($J$67/$E$32-1,"")</f>
        <v>-0.295190639031574</v>
      </c>
    </row>
    <row r="68" ht="15" customHeight="1" spans="1:11">
      <c r="A68" s="87" t="s">
        <v>38</v>
      </c>
      <c r="B68" s="88">
        <f>$H$33*$B$24/3</f>
        <v>120983.769088</v>
      </c>
      <c r="C68" s="88">
        <f>$H$33*$E$24/$F$24</f>
        <v>16803.3012622222</v>
      </c>
      <c r="D68" s="88">
        <f>$H$33*$G$24/$H$24</f>
        <v>24844.881152</v>
      </c>
      <c r="E68" s="60">
        <f>$B$68+$C$68+$D$68</f>
        <v>162631.951502222</v>
      </c>
      <c r="F68" s="85">
        <f>$C$33</f>
        <v>84391.58</v>
      </c>
      <c r="G68" s="93">
        <f>$E$68-$C$33</f>
        <v>78240.3715022222</v>
      </c>
      <c r="H68" s="93">
        <f>$G$68*(1-$G$33)</f>
        <v>62592.2972017778</v>
      </c>
      <c r="I68" s="93">
        <f>$D$33-$H$68</f>
        <v>35741.4227982222</v>
      </c>
      <c r="J68" s="96">
        <f>$I$68/$F$33</f>
        <v>3.29021332126377</v>
      </c>
      <c r="K68" s="97">
        <f>IFERROR($J$68/$E$33-1,"")</f>
        <v>-0.625686766636659</v>
      </c>
    </row>
    <row r="69" ht="15" customHeight="1" spans="1:11">
      <c r="A69" s="87" t="s">
        <v>42</v>
      </c>
      <c r="B69" s="88">
        <f>$H$34*$B$25/3</f>
        <v>91400.28546</v>
      </c>
      <c r="C69" s="88">
        <f>$H$34*$E$25/$F$25</f>
        <v>8418.447345</v>
      </c>
      <c r="D69" s="88">
        <f>$H$34*$G$25/$H$25</f>
        <v>3848.433072</v>
      </c>
      <c r="E69" s="60">
        <f>$B$69+$C$69+$D$69</f>
        <v>103667.165877</v>
      </c>
      <c r="F69" s="85">
        <f>$C$34</f>
        <v>42874.7</v>
      </c>
      <c r="G69" s="93">
        <f>$E$69-$C$34</f>
        <v>60792.465877</v>
      </c>
      <c r="H69" s="93">
        <f>$G$69*(1-$G$34)</f>
        <v>51065.67133668</v>
      </c>
      <c r="I69" s="93">
        <f>$D$34-$H$69</f>
        <v>117477.60866332</v>
      </c>
      <c r="J69" s="96">
        <f>$I$69/$F$34</f>
        <v>9.71182287742335</v>
      </c>
      <c r="K69" s="97">
        <f>IFERROR($J$69/$E$34-1,"")</f>
        <v>-0.315586830343668</v>
      </c>
    </row>
    <row r="70" ht="15" customHeight="1" spans="1:11">
      <c r="A70" s="87" t="s">
        <v>48</v>
      </c>
      <c r="B70" s="88">
        <f>$H$35*$B$26/3</f>
        <v>68322.6491233334</v>
      </c>
      <c r="C70" s="88">
        <f>$H$35*$E$26/$F$26</f>
        <v>4958.9019525</v>
      </c>
      <c r="D70" s="88">
        <f>$H$35*$G$26/$H$26</f>
        <v>1652.9673175</v>
      </c>
      <c r="E70" s="60">
        <f>$B$70+$C$70+$D$70</f>
        <v>74934.5183933334</v>
      </c>
      <c r="F70" s="85">
        <f>$C$35</f>
        <v>29596.55</v>
      </c>
      <c r="G70" s="93">
        <f>$E$70-$C$35</f>
        <v>45337.9683933334</v>
      </c>
      <c r="H70" s="93">
        <f>$G$70*(1-$G$35)</f>
        <v>39444.0325022</v>
      </c>
      <c r="I70" s="93">
        <f>$D$35-$H$70</f>
        <v>46338.8274978</v>
      </c>
      <c r="J70" s="96">
        <f>$I$70/$F$35</f>
        <v>18.2342286056404</v>
      </c>
      <c r="K70" s="97">
        <f>IFERROR($J$70/$E$35-1,"")</f>
        <v>-0.433719608520485</v>
      </c>
    </row>
    <row r="71" ht="15" customHeight="1" spans="1:11">
      <c r="A71" s="87" t="s">
        <v>55</v>
      </c>
      <c r="B71" s="88">
        <f>$H$36*$B$27/3</f>
        <v>17903.71</v>
      </c>
      <c r="C71" s="88">
        <f>$H$36*$E$27/$F$27</f>
        <v>2148.4452</v>
      </c>
      <c r="D71" s="88">
        <f>$H$36*$G$27/$H$27</f>
        <v>1074.2226</v>
      </c>
      <c r="E71" s="60">
        <f>$B$71+$C$71+$D$71</f>
        <v>21126.3778</v>
      </c>
      <c r="F71" s="85">
        <f>$C$36</f>
        <v>9142.32</v>
      </c>
      <c r="G71" s="93">
        <f>$E$71-$C$36</f>
        <v>11984.0578</v>
      </c>
      <c r="H71" s="93">
        <f>$G$71*(1-$G$36)</f>
        <v>9587.24624</v>
      </c>
      <c r="I71" s="93">
        <f>$D$36-$H$71</f>
        <v>6233.30376</v>
      </c>
      <c r="J71" s="96">
        <f>$I$71/$F$36</f>
        <v>2.17582510471935</v>
      </c>
      <c r="K71" s="97">
        <f>IFERROR($J$71/$E$36-1,"")</f>
        <v>-0.628064084663359</v>
      </c>
    </row>
    <row r="73" ht="15" customHeight="1" spans="1:12">
      <c r="A73" s="72" t="s">
        <v>185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ht="31.5" customHeight="1" spans="1:11">
      <c r="A74" s="81" t="s">
        <v>81</v>
      </c>
      <c r="B74" s="82" t="s">
        <v>172</v>
      </c>
      <c r="C74" s="81" t="s">
        <v>173</v>
      </c>
      <c r="D74" s="81" t="s">
        <v>174</v>
      </c>
      <c r="E74" s="81" t="s">
        <v>175</v>
      </c>
      <c r="F74" s="81" t="s">
        <v>176</v>
      </c>
      <c r="G74" s="82" t="s">
        <v>177</v>
      </c>
      <c r="H74" s="82" t="s">
        <v>178</v>
      </c>
      <c r="I74" s="81" t="s">
        <v>179</v>
      </c>
      <c r="J74" s="81" t="s">
        <v>180</v>
      </c>
      <c r="K74" s="82" t="s">
        <v>181</v>
      </c>
    </row>
    <row r="75" ht="15" customHeight="1" spans="1:11">
      <c r="A75" s="87" t="s">
        <v>22</v>
      </c>
      <c r="B75" s="88">
        <f>$H$32*$B$23/2</f>
        <v>116975.830328</v>
      </c>
      <c r="C75" s="88">
        <f>$H$32*$E$23/$F$23</f>
        <v>9516.6777216</v>
      </c>
      <c r="D75" s="88">
        <f>$H$32*$G$23/$H$23</f>
        <v>1982.641192</v>
      </c>
      <c r="E75" s="60">
        <f>$B$75+$C$75+$D$75</f>
        <v>128475.1492416</v>
      </c>
      <c r="F75" s="85">
        <f>$C$32</f>
        <v>42005.11</v>
      </c>
      <c r="G75" s="93">
        <f>$E$75-$C$32</f>
        <v>86470.0392416</v>
      </c>
      <c r="H75" s="93">
        <f>$G$75*(1-$G$32)</f>
        <v>70905.432178112</v>
      </c>
      <c r="I75" s="93">
        <f>$D$32-$H$75</f>
        <v>58467.427821888</v>
      </c>
      <c r="J75" s="96">
        <f>$I$75/$F$32</f>
        <v>7.87344669627762</v>
      </c>
      <c r="K75" s="97">
        <f>IFERROR($J$75/$E$32-1,"")</f>
        <v>-0.544360723595045</v>
      </c>
    </row>
    <row r="76" ht="15" customHeight="1" spans="1:11">
      <c r="A76" s="87" t="s">
        <v>38</v>
      </c>
      <c r="B76" s="88">
        <f>$H$33*$B$24/2</f>
        <v>181475.653632</v>
      </c>
      <c r="C76" s="88">
        <f>$H$33*$E$24/$F$24</f>
        <v>16803.3012622222</v>
      </c>
      <c r="D76" s="88">
        <f>$H$33*$G$24/$H$24</f>
        <v>24844.881152</v>
      </c>
      <c r="E76" s="60">
        <f>$B$76+$C$76+$D$76</f>
        <v>223123.836046222</v>
      </c>
      <c r="F76" s="85">
        <f>$C$33</f>
        <v>84391.58</v>
      </c>
      <c r="G76" s="93">
        <f>$E$76-$C$33</f>
        <v>138732.256046222</v>
      </c>
      <c r="H76" s="93">
        <f>$G$76*(1-$G$33)</f>
        <v>110985.804836978</v>
      </c>
      <c r="I76" s="93">
        <f>$D$33-$H$76</f>
        <v>-12652.0848369778</v>
      </c>
      <c r="J76" s="96">
        <f>$I$76/$F$33</f>
        <v>-1.16470064181256</v>
      </c>
      <c r="K76" s="97">
        <f>IFERROR($J$76/$E$33-1,"")</f>
        <v>-1.13250291715729</v>
      </c>
    </row>
    <row r="77" ht="15" customHeight="1" spans="1:11">
      <c r="A77" s="87" t="s">
        <v>42</v>
      </c>
      <c r="B77" s="88">
        <f>$H$34*$B$25/2</f>
        <v>137100.42819</v>
      </c>
      <c r="C77" s="88">
        <f>$H$34*$E$25/$F$25</f>
        <v>8418.447345</v>
      </c>
      <c r="D77" s="88">
        <f>$H$34*$G$25/$H$25</f>
        <v>3848.433072</v>
      </c>
      <c r="E77" s="60">
        <f>$B$77+$C$77+$D$77</f>
        <v>149367.308607</v>
      </c>
      <c r="F77" s="85">
        <f>$C$34</f>
        <v>42874.7</v>
      </c>
      <c r="G77" s="93">
        <f>$E$77-$C$34</f>
        <v>106492.608607</v>
      </c>
      <c r="H77" s="93">
        <f>$G$77*(1-$G$34)</f>
        <v>89453.79122988</v>
      </c>
      <c r="I77" s="93">
        <f>$D$34-$H$77</f>
        <v>79089.48877012</v>
      </c>
      <c r="J77" s="96">
        <f>$I$77/$F$34</f>
        <v>6.53829368116167</v>
      </c>
      <c r="K77" s="97">
        <f>IFERROR($J$77/$E$34-1,"")</f>
        <v>-0.539232298720108</v>
      </c>
    </row>
    <row r="78" ht="15" customHeight="1" spans="1:11">
      <c r="A78" s="87" t="s">
        <v>48</v>
      </c>
      <c r="B78" s="88">
        <f>$H$35*$B$26/2</f>
        <v>102483.973685</v>
      </c>
      <c r="C78" s="88">
        <f>$H$35*$E$26/$F$26</f>
        <v>4958.9019525</v>
      </c>
      <c r="D78" s="88">
        <f>$H$35*$G$26/$H$26</f>
        <v>1652.9673175</v>
      </c>
      <c r="E78" s="60">
        <f>$B$78+$C$78+$D$78</f>
        <v>109095.842955</v>
      </c>
      <c r="F78" s="85">
        <f>$C$35</f>
        <v>29596.55</v>
      </c>
      <c r="G78" s="93">
        <f>$E$78-$C$35</f>
        <v>79499.292955</v>
      </c>
      <c r="H78" s="93">
        <f>$G$78*(1-$G$35)</f>
        <v>69164.38487085</v>
      </c>
      <c r="I78" s="93">
        <f>$D$35-$H$78</f>
        <v>16618.47512915</v>
      </c>
      <c r="J78" s="96">
        <f>$I$78/$F$35</f>
        <v>6.53933409507301</v>
      </c>
      <c r="K78" s="97">
        <f>IFERROR($J$78/$E$35-1,"")</f>
        <v>-0.796915090215124</v>
      </c>
    </row>
    <row r="79" ht="15" customHeight="1" spans="1:11">
      <c r="A79" s="87" t="s">
        <v>55</v>
      </c>
      <c r="B79" s="88">
        <f>$H$36*$B$27/2</f>
        <v>26855.565</v>
      </c>
      <c r="C79" s="88">
        <f>$H$36*$E$27/$F$27</f>
        <v>2148.4452</v>
      </c>
      <c r="D79" s="88">
        <f>$H$36*$G$27/$H$27</f>
        <v>1074.2226</v>
      </c>
      <c r="E79" s="60">
        <f>$B$79+$C$79+$D$79</f>
        <v>30078.2328</v>
      </c>
      <c r="F79" s="85">
        <f>$C$36</f>
        <v>9142.32</v>
      </c>
      <c r="G79" s="93">
        <f>$E$79-$C$36</f>
        <v>20935.9128</v>
      </c>
      <c r="H79" s="93">
        <f>$G$79*(1-$G$36)</f>
        <v>16748.73024</v>
      </c>
      <c r="I79" s="93">
        <f>$D$36-$H$79</f>
        <v>-928.180240000002</v>
      </c>
      <c r="J79" s="96">
        <f>$I$79/$F$36</f>
        <v>-0.323994777994974</v>
      </c>
      <c r="K79" s="97">
        <f>IFERROR($J$79/$E$36-1,"")</f>
        <v>-1.05538372273418</v>
      </c>
    </row>
    <row r="82" ht="15" customHeight="1" spans="1:1">
      <c r="A82" s="31" t="s">
        <v>186</v>
      </c>
    </row>
    <row r="83" ht="15" customHeight="1" spans="1:1">
      <c r="A83" s="62" t="s">
        <v>187</v>
      </c>
    </row>
    <row r="84" ht="48" customHeight="1" spans="1:9">
      <c r="A84" s="81" t="s">
        <v>81</v>
      </c>
      <c r="B84" s="82" t="s">
        <v>188</v>
      </c>
      <c r="C84" s="81" t="s">
        <v>189</v>
      </c>
      <c r="D84" s="81" t="s">
        <v>190</v>
      </c>
      <c r="E84" s="81" t="s">
        <v>191</v>
      </c>
      <c r="F84" s="82" t="s">
        <v>192</v>
      </c>
      <c r="G84" s="82" t="s">
        <v>193</v>
      </c>
      <c r="H84" s="81" t="s">
        <v>194</v>
      </c>
      <c r="I84" s="81" t="s">
        <v>195</v>
      </c>
    </row>
    <row r="85" ht="36" customHeight="1" spans="1:9">
      <c r="A85" s="59" t="s">
        <v>22</v>
      </c>
      <c r="B85" s="98">
        <f>$B$23</f>
        <v>0.59</v>
      </c>
      <c r="C85" s="99">
        <f>$B$23*$D$23+$E$23*$F$23+$G$23*$H$23</f>
        <v>9.44</v>
      </c>
      <c r="D85" s="100">
        <f>IFERROR(($D$32-($H$32*$B$23/4+$H$32*$E$23/$F$23+$H$32*$G$23/$H$23-$C$32)*(1-$G$32))/$F$32/$E$32-1,"")</f>
        <v>-0.170605596749839</v>
      </c>
      <c r="E85" s="100">
        <f>IFERROR(($D$32-($H$32*$B$23/3+$H$32*$E$23/$F$23+$H$32*$G$23/$H$23-$C$32)*(1-$G$32))/$F$32/$E$32-1,"")</f>
        <v>-0.295190639031574</v>
      </c>
      <c r="F85" s="101">
        <f>IFERROR(($D$32-($C$32*($B$23*$D$23+$E$23*$F$23+$G$23*$H$23)/4-$C$32)*(1-$G$32))/$F$32/$E$32-1,"")</f>
        <v>-0.356849676906603</v>
      </c>
      <c r="G85" s="101">
        <f>IFERROR(($D$32-($C$32*($B$23*$D$23+$E$23*$F$23+$G$23*$H$23)/3-$C$32)*(1-$G$32))/$F$32/$E$32-1,"")</f>
        <v>-0.568010765519713</v>
      </c>
      <c r="H85" s="98">
        <f>IFERROR(E85/G85,"")</f>
        <v>0.519691979361489</v>
      </c>
      <c r="I85" s="83" t="s">
        <v>196</v>
      </c>
    </row>
    <row r="86" ht="36" customHeight="1" spans="1:9">
      <c r="A86" s="59" t="s">
        <v>38</v>
      </c>
      <c r="B86" s="98">
        <f>$B$24</f>
        <v>0.42</v>
      </c>
      <c r="C86" s="99">
        <f>$B$24*$D$24+$E$24*$F$24+$G$24*$H$24</f>
        <v>10.24</v>
      </c>
      <c r="D86" s="100">
        <f>IFERROR(($D$33-($H$33*$B$24/4+$H$33*$E$24/$F$24+$H$33*$G$24/$H$24-$C$33)*(1-$G$33))/$F$33/$E$33-1,"")</f>
        <v>-0.372278691376345</v>
      </c>
      <c r="E86" s="100">
        <f>IFERROR(($D$33-($H$33*$B$24/3+$H$33*$E$24/$F$24+$H$33*$G$24/$H$24-$C$33)*(1-$G$33))/$F$33/$E$33-1,"")</f>
        <v>-0.625686766636659</v>
      </c>
      <c r="F86" s="101">
        <f>IFERROR(($D$33-($C$33*($B$24*$D$24+$E$24*$F$24+$G$24*$H$24)/4-$C$33)*(1-$G$33))/$F$33/$E$33-1,"")</f>
        <v>-1.07317324874317</v>
      </c>
      <c r="G86" s="101">
        <f>IFERROR(($D$33-($C$33*($B$24*$D$24+$E$24*$F$24+$G$24*$H$24)/3-$C$33)*(1-$G$33))/$F$33/$E$33-1,"")</f>
        <v>-1.67652580888677</v>
      </c>
      <c r="H86" s="98">
        <f>IFERROR(E86/G86,"")</f>
        <v>0.373204374975963</v>
      </c>
      <c r="I86" s="83" t="s">
        <v>197</v>
      </c>
    </row>
    <row r="87" ht="36" customHeight="1" spans="1:9">
      <c r="A87" s="59" t="s">
        <v>42</v>
      </c>
      <c r="B87" s="98">
        <f>$B$25</f>
        <v>0.57</v>
      </c>
      <c r="C87" s="99">
        <f>$B$25*$D$25+$E$25*$F$25+$G$25*$H$25</f>
        <v>11.22</v>
      </c>
      <c r="D87" s="100">
        <f>IFERROR(($D$34-($H$34*$B$25/4+$H$34*$E$25/$F$25+$H$34*$G$25/$H$25-$C$34)*(1-$G$34))/$F$34/$E$34-1,"")</f>
        <v>-0.203764096155448</v>
      </c>
      <c r="E87" s="100">
        <f>IFERROR(($D$34-($H$34*$B$25/3+$H$34*$E$25/$F$25+$H$34*$G$25/$H$25-$C$34)*(1-$G$34))/$F$34/$E$34-1,"")</f>
        <v>-0.315586830343668</v>
      </c>
      <c r="F87" s="101">
        <f>IFERROR(($D$34-($C$34*($B$25*$D$25+$E$25*$F$25+$G$25*$H$25)/4-$C$34)*(1-$G$34))/$F$34/$E$34-1,"")</f>
        <v>-0.396805447806691</v>
      </c>
      <c r="G87" s="101">
        <f>IFERROR(($D$34-($C$34*($B$25*$D$25+$E$25*$F$25+$G$25*$H$25)/3-$C$34)*(1-$G$34))/$F$34/$E$34-1,"")</f>
        <v>-0.59298568322462</v>
      </c>
      <c r="H87" s="98">
        <f>IFERROR(E87/G87,"")</f>
        <v>0.532199746590045</v>
      </c>
      <c r="I87" s="83" t="s">
        <v>198</v>
      </c>
    </row>
    <row r="88" ht="36" customHeight="1" spans="1:9">
      <c r="A88" s="59" t="s">
        <v>48</v>
      </c>
      <c r="B88" s="98">
        <f>$B$26</f>
        <v>0.62</v>
      </c>
      <c r="C88" s="99">
        <f>$B$26*$D$26+$E$26*$F$26+$G$26*$H$26</f>
        <v>11.17</v>
      </c>
      <c r="D88" s="100">
        <f>IFERROR(($D$35-($H$35*$B$26/4+$H$35*$E$26/$F$26+$H$35*$G$26/$H$26-$C$35)*(1-$G$35))/$F$35/$E$35-1,"")</f>
        <v>-0.252121867673165</v>
      </c>
      <c r="E88" s="100">
        <f>IFERROR(($D$35-($H$35*$B$26/3+$H$35*$E$26/$F$26+$H$35*$G$26/$H$26-$C$35)*(1-$G$35))/$F$35/$E$35-1,"")</f>
        <v>-0.433719608520485</v>
      </c>
      <c r="F88" s="101">
        <f>IFERROR(($D$35-($C$35*($B$26*$D$26+$E$26*$F$26+$G$26*$H$26)/4-$C$35)*(1-$G$35))/$F$35/$E$35-1,"")</f>
        <v>-0.51573149148379</v>
      </c>
      <c r="G88" s="101">
        <f>IFERROR(($D$35-($C$35*($B$26*$D$26+$E$26*$F$26+$G$26*$H$26)/3-$C$35)*(1-$G$35))/$F$35/$E$35-1,"")</f>
        <v>-0.808631073495596</v>
      </c>
      <c r="H88" s="98">
        <f>IFERROR(E88/G88,"")</f>
        <v>0.536362777459908</v>
      </c>
      <c r="I88" s="102" t="s">
        <v>199</v>
      </c>
    </row>
    <row r="89" ht="36" customHeight="1" spans="1:9">
      <c r="A89" s="59" t="s">
        <v>55</v>
      </c>
      <c r="B89" s="98">
        <f>$B$27</f>
        <v>0.5</v>
      </c>
      <c r="C89" s="99">
        <f>$B$27*$D$27+$E$27*$F$27+$G$27*$H$27</f>
        <v>11.75</v>
      </c>
      <c r="D89" s="100">
        <f>IFERROR(($D$36-($H$36*$B$27/4+$H$36*$E$27/$F$27+$H$36*$G$27/$H$27-$C$36)*(1-$G$36))/$F$36/$E$36-1,"")</f>
        <v>-0.414404265627946</v>
      </c>
      <c r="E89" s="100">
        <f>IFERROR(($D$36-($H$36*$B$27/3+$H$36*$E$27/$F$27+$H$36*$G$27/$H$27-$C$36)*(1-$G$36))/$F$36/$E$36-1,"")</f>
        <v>-0.628064084663359</v>
      </c>
      <c r="F89" s="101">
        <f>IFERROR(($D$36-($C$36*($B$27*$D$27+$E$27*$F$27+$G$27*$H$27)/4-$C$36)*(1-$G$36))/$F$36/$E$36-1,"")</f>
        <v>-0.901548653028687</v>
      </c>
      <c r="G89" s="101">
        <f>IFERROR(($D$36-($C$36*($B$27*$D$27+$E$27*$F$27+$G$27*$H$27)/3-$C$36)*(1-$G$36))/$F$36/$E$36-1,"")</f>
        <v>-1.32886829109951</v>
      </c>
      <c r="H89" s="98">
        <f>IFERROR(E89/G89,"")</f>
        <v>0.472630800862662</v>
      </c>
      <c r="I89" s="102" t="s">
        <v>200</v>
      </c>
    </row>
  </sheetData>
  <mergeCells count="15">
    <mergeCell ref="A1:P1"/>
    <mergeCell ref="A3:P3"/>
    <mergeCell ref="A4:P4"/>
    <mergeCell ref="A19:P19"/>
    <mergeCell ref="A21:P21"/>
    <mergeCell ref="A30:L30"/>
    <mergeCell ref="A39:L39"/>
    <mergeCell ref="A40:L40"/>
    <mergeCell ref="A41:L41"/>
    <mergeCell ref="A49:L49"/>
    <mergeCell ref="A57:L57"/>
    <mergeCell ref="A65:L65"/>
    <mergeCell ref="A73:L73"/>
    <mergeCell ref="A82:L82"/>
    <mergeCell ref="A83:L83"/>
  </mergeCells>
  <conditionalFormatting sqref="D85:D89">
    <cfRule type="colorScale" priority="7">
      <colorScale>
        <cfvo type="num" val="-0.4"/>
        <cfvo type="num" val="-0.1"/>
        <cfvo type="num" val="0"/>
        <color rgb="FFF8696B"/>
        <color rgb="FFFFEB84"/>
        <color rgb="FF63BE7B"/>
      </colorScale>
    </cfRule>
  </conditionalFormatting>
  <conditionalFormatting sqref="E85:E89">
    <cfRule type="colorScale" priority="8">
      <colorScale>
        <cfvo type="num" val="-0.4"/>
        <cfvo type="num" val="-0.1"/>
        <cfvo type="num" val="0"/>
        <color rgb="FFF8696B"/>
        <color rgb="FFFFEB84"/>
        <color rgb="FF63BE7B"/>
      </colorScale>
    </cfRule>
  </conditionalFormatting>
  <conditionalFormatting sqref="F85:F89">
    <cfRule type="colorScale" priority="9">
      <colorScale>
        <cfvo type="num" val="-0.4"/>
        <cfvo type="num" val="-0.1"/>
        <cfvo type="num" val="0"/>
        <color rgb="FFF8696B"/>
        <color rgb="FFFFEB84"/>
        <color rgb="FF63BE7B"/>
      </colorScale>
    </cfRule>
  </conditionalFormatting>
  <conditionalFormatting sqref="G85:G89">
    <cfRule type="colorScale" priority="10">
      <colorScale>
        <cfvo type="num" val="-0.4"/>
        <cfvo type="num" val="-0.1"/>
        <cfvo type="num" val="0"/>
        <color rgb="FFF8696B"/>
        <color rgb="FFFFEB84"/>
        <color rgb="FF63BE7B"/>
      </colorScale>
    </cfRule>
  </conditionalFormatting>
  <conditionalFormatting sqref="K43:K47">
    <cfRule type="colorScale" priority="2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K51:K55">
    <cfRule type="colorScale" priority="3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K59:K63">
    <cfRule type="colorScale" priority="4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K67:K71">
    <cfRule type="colorScale" priority="5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conditionalFormatting sqref="K75:K79">
    <cfRule type="colorScale" priority="6">
      <colorScale>
        <cfvo type="num" val="-0.4"/>
        <cfvo type="num" val="-0.1"/>
        <cfvo type="num" val="0.05"/>
        <color rgb="FFF8696B"/>
        <color rgb="FFFFEB84"/>
        <color rgb="FF63BE7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67"/>
  <sheetViews>
    <sheetView showGridLines="0" workbookViewId="0">
      <selection activeCell="L5" sqref="L5"/>
    </sheetView>
  </sheetViews>
  <sheetFormatPr defaultColWidth="8.6796875" defaultRowHeight="14"/>
  <cols>
    <col min="1" max="1" width="38" customWidth="1"/>
    <col min="2" max="17" width="10.5078125" customWidth="1"/>
  </cols>
  <sheetData>
    <row r="1" ht="25.5" customHeight="1" spans="1:1">
      <c r="A1" s="30" t="s">
        <v>201</v>
      </c>
    </row>
    <row r="3" ht="15" customHeight="1" spans="1:1">
      <c r="A3" s="31" t="s">
        <v>202</v>
      </c>
    </row>
    <row r="4" ht="15" customHeight="1" spans="1:1">
      <c r="A4" s="32" t="s">
        <v>203</v>
      </c>
    </row>
    <row r="5" ht="15" customHeight="1" spans="1:14">
      <c r="A5" s="33" t="s">
        <v>2</v>
      </c>
      <c r="B5" s="34" t="s">
        <v>8</v>
      </c>
      <c r="C5" s="34" t="s">
        <v>9</v>
      </c>
      <c r="D5" s="34" t="s">
        <v>10</v>
      </c>
      <c r="E5" s="34" t="s">
        <v>11</v>
      </c>
      <c r="F5" s="34" t="s">
        <v>12</v>
      </c>
      <c r="G5" s="34" t="s">
        <v>13</v>
      </c>
      <c r="H5" s="34" t="s">
        <v>14</v>
      </c>
      <c r="I5" s="34" t="s">
        <v>204</v>
      </c>
      <c r="J5" s="34" t="s">
        <v>16</v>
      </c>
      <c r="K5" s="34" t="s">
        <v>17</v>
      </c>
      <c r="L5" s="34" t="s">
        <v>205</v>
      </c>
      <c r="M5" s="34" t="s">
        <v>206</v>
      </c>
      <c r="N5" s="34" t="s">
        <v>207</v>
      </c>
    </row>
    <row r="6" ht="15" customHeight="1" spans="1:14">
      <c r="A6" s="35" t="s">
        <v>208</v>
      </c>
      <c r="B6" s="36">
        <v>160</v>
      </c>
      <c r="C6" s="36">
        <v>165</v>
      </c>
      <c r="D6" s="36">
        <v>142</v>
      </c>
      <c r="E6" s="36">
        <v>200</v>
      </c>
      <c r="F6" s="36">
        <v>224</v>
      </c>
      <c r="G6" s="36">
        <v>222</v>
      </c>
      <c r="H6" s="36">
        <v>239</v>
      </c>
      <c r="I6" s="36">
        <v>269</v>
      </c>
      <c r="J6" s="36">
        <v>337</v>
      </c>
      <c r="K6" s="36">
        <v>386</v>
      </c>
      <c r="L6" s="36">
        <v>420</v>
      </c>
      <c r="M6" s="36">
        <v>450</v>
      </c>
      <c r="N6" s="36">
        <v>478</v>
      </c>
    </row>
    <row r="7" ht="15" customHeight="1" spans="1:14">
      <c r="A7" s="35" t="s">
        <v>209</v>
      </c>
      <c r="B7" s="37">
        <v>644</v>
      </c>
      <c r="C7" s="37">
        <v>697</v>
      </c>
      <c r="D7" s="37">
        <v>591</v>
      </c>
      <c r="E7" s="37">
        <v>739</v>
      </c>
      <c r="F7" s="37">
        <v>892</v>
      </c>
      <c r="G7" s="37">
        <v>958</v>
      </c>
      <c r="H7" s="37">
        <v>1077</v>
      </c>
      <c r="I7" s="37">
        <v>1296</v>
      </c>
      <c r="J7" s="37">
        <v>1724</v>
      </c>
      <c r="K7" s="37">
        <v>2103</v>
      </c>
      <c r="L7" s="37">
        <v>2400</v>
      </c>
      <c r="M7" s="37">
        <v>2600</v>
      </c>
      <c r="N7" s="37">
        <v>2750</v>
      </c>
    </row>
    <row r="8" ht="15" customHeight="1" spans="1:14">
      <c r="A8" s="35" t="s">
        <v>210</v>
      </c>
      <c r="B8" s="37">
        <v>50</v>
      </c>
      <c r="C8" s="37">
        <v>55</v>
      </c>
      <c r="D8" s="37">
        <v>60</v>
      </c>
      <c r="E8" s="37">
        <v>86</v>
      </c>
      <c r="F8" s="37">
        <v>158</v>
      </c>
      <c r="G8" s="37">
        <v>154</v>
      </c>
      <c r="H8" s="37">
        <v>237</v>
      </c>
      <c r="I8" s="37">
        <v>412</v>
      </c>
      <c r="J8" s="37">
        <v>755</v>
      </c>
      <c r="K8" s="37">
        <v>892</v>
      </c>
      <c r="L8" s="37">
        <v>950</v>
      </c>
      <c r="M8" s="37">
        <v>980</v>
      </c>
      <c r="N8" s="37">
        <v>1000</v>
      </c>
    </row>
    <row r="9" ht="15" customHeight="1" spans="1:14">
      <c r="A9" s="38" t="s">
        <v>211</v>
      </c>
      <c r="B9" s="37">
        <v>770</v>
      </c>
      <c r="C9" s="37">
        <v>729</v>
      </c>
      <c r="D9" s="37">
        <v>520</v>
      </c>
      <c r="E9" s="37">
        <v>919</v>
      </c>
      <c r="F9" s="37">
        <v>950</v>
      </c>
      <c r="G9" s="37">
        <v>823</v>
      </c>
      <c r="H9" s="37">
        <v>982</v>
      </c>
      <c r="I9" s="37">
        <v>1066</v>
      </c>
      <c r="J9" s="37">
        <v>1098</v>
      </c>
      <c r="K9" s="37">
        <v>1153</v>
      </c>
      <c r="L9" s="37">
        <v>1200</v>
      </c>
      <c r="M9" s="37">
        <v>1250</v>
      </c>
      <c r="N9" s="37">
        <v>1300</v>
      </c>
    </row>
    <row r="11" ht="15" customHeight="1" spans="1:1">
      <c r="A11" s="31" t="s">
        <v>212</v>
      </c>
    </row>
    <row r="12" ht="15" customHeight="1" spans="1:1">
      <c r="A12" s="32" t="s">
        <v>213</v>
      </c>
    </row>
    <row r="13" ht="15" customHeight="1" spans="1:14">
      <c r="A13" s="33" t="s">
        <v>2</v>
      </c>
      <c r="B13" s="34" t="s">
        <v>8</v>
      </c>
      <c r="C13" s="34" t="s">
        <v>9</v>
      </c>
      <c r="D13" s="34" t="s">
        <v>10</v>
      </c>
      <c r="E13" s="34" t="s">
        <v>11</v>
      </c>
      <c r="F13" s="34" t="s">
        <v>12</v>
      </c>
      <c r="G13" s="34" t="s">
        <v>13</v>
      </c>
      <c r="H13" s="34" t="s">
        <v>14</v>
      </c>
      <c r="I13" s="34" t="s">
        <v>204</v>
      </c>
      <c r="J13" s="34" t="s">
        <v>16</v>
      </c>
      <c r="K13" s="34" t="s">
        <v>17</v>
      </c>
      <c r="L13" s="34" t="s">
        <v>18</v>
      </c>
      <c r="M13" s="34" t="s">
        <v>19</v>
      </c>
      <c r="N13" s="34" t="s">
        <v>20</v>
      </c>
    </row>
    <row r="14" ht="21.75" customHeight="1" spans="1:14">
      <c r="A14" s="39" t="s">
        <v>214</v>
      </c>
      <c r="B14" s="40">
        <v>0.55</v>
      </c>
      <c r="C14" s="40">
        <v>0.55</v>
      </c>
      <c r="D14" s="40">
        <v>0.55</v>
      </c>
      <c r="E14" s="40">
        <v>0.55</v>
      </c>
      <c r="F14" s="40">
        <v>0.55</v>
      </c>
      <c r="G14" s="40">
        <v>0.55</v>
      </c>
      <c r="H14" s="40">
        <v>0.55</v>
      </c>
      <c r="I14" s="40">
        <v>0.6</v>
      </c>
      <c r="J14" s="40">
        <v>0.65</v>
      </c>
      <c r="K14" s="40">
        <v>0.65</v>
      </c>
      <c r="L14" s="40">
        <v>0.65</v>
      </c>
      <c r="M14" s="40">
        <v>0.63</v>
      </c>
      <c r="N14" s="40">
        <v>0.6</v>
      </c>
    </row>
    <row r="15" ht="21.75" customHeight="1" spans="1:14">
      <c r="A15" s="39" t="s">
        <v>215</v>
      </c>
      <c r="B15" s="40">
        <v>0.2</v>
      </c>
      <c r="C15" s="40">
        <v>0.2</v>
      </c>
      <c r="D15" s="40">
        <v>0.2</v>
      </c>
      <c r="E15" s="40">
        <v>0.22</v>
      </c>
      <c r="F15" s="40">
        <v>0.25</v>
      </c>
      <c r="G15" s="40">
        <v>0.3</v>
      </c>
      <c r="H15" s="40">
        <v>0.35</v>
      </c>
      <c r="I15" s="40">
        <v>0.4</v>
      </c>
      <c r="J15" s="40">
        <v>0.45</v>
      </c>
      <c r="K15" s="40">
        <v>0.42</v>
      </c>
      <c r="L15" s="40">
        <v>0.38</v>
      </c>
      <c r="M15" s="40">
        <v>0.35</v>
      </c>
      <c r="N15" s="40">
        <v>0.33</v>
      </c>
    </row>
    <row r="16" ht="15" customHeight="1" spans="1:14">
      <c r="A16" s="41" t="s">
        <v>216</v>
      </c>
      <c r="B16" s="42">
        <f t="shared" ref="B16:N16" si="0">B8*B14</f>
        <v>27.5</v>
      </c>
      <c r="C16" s="42">
        <f t="shared" si="0"/>
        <v>30.25</v>
      </c>
      <c r="D16" s="42">
        <f t="shared" si="0"/>
        <v>33</v>
      </c>
      <c r="E16" s="42">
        <f t="shared" si="0"/>
        <v>47.3</v>
      </c>
      <c r="F16" s="42">
        <f t="shared" si="0"/>
        <v>86.9</v>
      </c>
      <c r="G16" s="42">
        <f t="shared" si="0"/>
        <v>84.7</v>
      </c>
      <c r="H16" s="42">
        <f t="shared" si="0"/>
        <v>130.35</v>
      </c>
      <c r="I16" s="42">
        <f t="shared" si="0"/>
        <v>247.2</v>
      </c>
      <c r="J16" s="42">
        <f t="shared" si="0"/>
        <v>490.75</v>
      </c>
      <c r="K16" s="42">
        <f t="shared" si="0"/>
        <v>579.8</v>
      </c>
      <c r="L16" s="42">
        <f t="shared" si="0"/>
        <v>617.5</v>
      </c>
      <c r="M16" s="42">
        <f t="shared" si="0"/>
        <v>617.4</v>
      </c>
      <c r="N16" s="42">
        <f t="shared" si="0"/>
        <v>600</v>
      </c>
    </row>
    <row r="17" ht="15" customHeight="1" spans="1:14">
      <c r="A17" s="41" t="s">
        <v>217</v>
      </c>
      <c r="B17" s="42">
        <f t="shared" ref="B17:N17" si="1">B16*B15</f>
        <v>5.5</v>
      </c>
      <c r="C17" s="42">
        <f t="shared" si="1"/>
        <v>6.05</v>
      </c>
      <c r="D17" s="42">
        <f t="shared" si="1"/>
        <v>6.6</v>
      </c>
      <c r="E17" s="42">
        <f t="shared" si="1"/>
        <v>10.406</v>
      </c>
      <c r="F17" s="42">
        <f t="shared" si="1"/>
        <v>21.725</v>
      </c>
      <c r="G17" s="42">
        <f t="shared" si="1"/>
        <v>25.41</v>
      </c>
      <c r="H17" s="42">
        <f t="shared" si="1"/>
        <v>45.6225</v>
      </c>
      <c r="I17" s="42">
        <f t="shared" si="1"/>
        <v>98.88</v>
      </c>
      <c r="J17" s="42">
        <f t="shared" si="1"/>
        <v>220.8375</v>
      </c>
      <c r="K17" s="42">
        <f t="shared" si="1"/>
        <v>243.516</v>
      </c>
      <c r="L17" s="42">
        <f t="shared" si="1"/>
        <v>234.65</v>
      </c>
      <c r="M17" s="42">
        <f t="shared" si="1"/>
        <v>216.09</v>
      </c>
      <c r="N17" s="42">
        <f t="shared" si="1"/>
        <v>198</v>
      </c>
    </row>
    <row r="18" ht="15" customHeight="1" spans="1:14">
      <c r="A18" s="43" t="s">
        <v>218</v>
      </c>
      <c r="B18" s="42">
        <f t="shared" ref="B18:N18" si="2">B6*8.8</f>
        <v>1408</v>
      </c>
      <c r="C18" s="42">
        <f t="shared" si="2"/>
        <v>1452</v>
      </c>
      <c r="D18" s="42">
        <f t="shared" si="2"/>
        <v>1249.6</v>
      </c>
      <c r="E18" s="42">
        <f t="shared" si="2"/>
        <v>1760</v>
      </c>
      <c r="F18" s="42">
        <f t="shared" si="2"/>
        <v>1971.2</v>
      </c>
      <c r="G18" s="42">
        <f t="shared" si="2"/>
        <v>1953.6</v>
      </c>
      <c r="H18" s="42">
        <f t="shared" si="2"/>
        <v>2103.2</v>
      </c>
      <c r="I18" s="42">
        <f t="shared" si="2"/>
        <v>2367.2</v>
      </c>
      <c r="J18" s="42">
        <f t="shared" si="2"/>
        <v>2965.6</v>
      </c>
      <c r="K18" s="42">
        <f t="shared" si="2"/>
        <v>3396.8</v>
      </c>
      <c r="L18" s="42">
        <f t="shared" si="2"/>
        <v>3696</v>
      </c>
      <c r="M18" s="42">
        <f t="shared" si="2"/>
        <v>3960</v>
      </c>
      <c r="N18" s="42">
        <f t="shared" si="2"/>
        <v>4206.4</v>
      </c>
    </row>
    <row r="19" ht="15" customHeight="1" spans="1:14">
      <c r="A19" s="44" t="s">
        <v>219</v>
      </c>
      <c r="B19" s="45">
        <f t="shared" ref="B19:N19" si="3">B17/8.8</f>
        <v>0.625</v>
      </c>
      <c r="C19" s="45">
        <f t="shared" si="3"/>
        <v>0.6875</v>
      </c>
      <c r="D19" s="45">
        <f t="shared" si="3"/>
        <v>0.75</v>
      </c>
      <c r="E19" s="45">
        <f t="shared" si="3"/>
        <v>1.1825</v>
      </c>
      <c r="F19" s="45">
        <f t="shared" si="3"/>
        <v>2.46875</v>
      </c>
      <c r="G19" s="45">
        <f t="shared" si="3"/>
        <v>2.8875</v>
      </c>
      <c r="H19" s="45">
        <f t="shared" si="3"/>
        <v>5.184375</v>
      </c>
      <c r="I19" s="45">
        <f t="shared" si="3"/>
        <v>11.2363636363636</v>
      </c>
      <c r="J19" s="45">
        <f t="shared" si="3"/>
        <v>25.0951704545455</v>
      </c>
      <c r="K19" s="45">
        <f t="shared" si="3"/>
        <v>27.6722727272727</v>
      </c>
      <c r="L19" s="45">
        <f t="shared" si="3"/>
        <v>26.6647727272727</v>
      </c>
      <c r="M19" s="45">
        <f t="shared" si="3"/>
        <v>24.5556818181818</v>
      </c>
      <c r="N19" s="45">
        <f t="shared" si="3"/>
        <v>22.5</v>
      </c>
    </row>
    <row r="20" ht="15" customHeight="1" spans="1:14">
      <c r="A20" s="46" t="s">
        <v>220</v>
      </c>
      <c r="B20" s="47">
        <f t="shared" ref="B20:N20" si="4">B6-B19</f>
        <v>159.375</v>
      </c>
      <c r="C20" s="47">
        <f t="shared" si="4"/>
        <v>164.3125</v>
      </c>
      <c r="D20" s="47">
        <f t="shared" si="4"/>
        <v>141.25</v>
      </c>
      <c r="E20" s="47">
        <f t="shared" si="4"/>
        <v>198.8175</v>
      </c>
      <c r="F20" s="47">
        <f t="shared" si="4"/>
        <v>221.53125</v>
      </c>
      <c r="G20" s="47">
        <f t="shared" si="4"/>
        <v>219.1125</v>
      </c>
      <c r="H20" s="47">
        <f t="shared" si="4"/>
        <v>233.815625</v>
      </c>
      <c r="I20" s="47">
        <f t="shared" si="4"/>
        <v>257.763636363636</v>
      </c>
      <c r="J20" s="47">
        <f t="shared" si="4"/>
        <v>311.904829545455</v>
      </c>
      <c r="K20" s="47">
        <f t="shared" si="4"/>
        <v>358.327727272727</v>
      </c>
      <c r="L20" s="47">
        <f t="shared" si="4"/>
        <v>393.335227272727</v>
      </c>
      <c r="M20" s="47">
        <f t="shared" si="4"/>
        <v>425.444318181818</v>
      </c>
      <c r="N20" s="47">
        <f t="shared" si="4"/>
        <v>455.5</v>
      </c>
    </row>
    <row r="21" ht="15" customHeight="1" spans="1:14">
      <c r="A21" s="41" t="s">
        <v>221</v>
      </c>
      <c r="B21" s="48">
        <f t="shared" ref="B21:N21" si="5">IFERROR(B19/B6,"")</f>
        <v>0.00390625</v>
      </c>
      <c r="C21" s="48">
        <f t="shared" si="5"/>
        <v>0.00416666666666667</v>
      </c>
      <c r="D21" s="48">
        <f t="shared" si="5"/>
        <v>0.00528169014084507</v>
      </c>
      <c r="E21" s="48">
        <f t="shared" si="5"/>
        <v>0.0059125</v>
      </c>
      <c r="F21" s="48">
        <f t="shared" si="5"/>
        <v>0.0110212053571429</v>
      </c>
      <c r="G21" s="48">
        <f t="shared" si="5"/>
        <v>0.0130067567567568</v>
      </c>
      <c r="H21" s="48">
        <f t="shared" si="5"/>
        <v>0.0216919456066946</v>
      </c>
      <c r="I21" s="48">
        <f t="shared" si="5"/>
        <v>0.0417708685366678</v>
      </c>
      <c r="J21" s="48">
        <f t="shared" si="5"/>
        <v>0.074466381170758</v>
      </c>
      <c r="K21" s="48">
        <f t="shared" si="5"/>
        <v>0.0716898257183231</v>
      </c>
      <c r="L21" s="48">
        <f t="shared" si="5"/>
        <v>0.0634875541125541</v>
      </c>
      <c r="M21" s="48">
        <f t="shared" si="5"/>
        <v>0.0545681818181818</v>
      </c>
      <c r="N21" s="48">
        <f t="shared" si="5"/>
        <v>0.047071129707113</v>
      </c>
    </row>
    <row r="22" ht="15" customHeight="1" spans="1:14">
      <c r="A22" s="41" t="s">
        <v>222</v>
      </c>
      <c r="B22" s="25"/>
      <c r="C22" s="49">
        <f t="shared" ref="C22:N22" si="6">IFERROR(C19/B19-1,"")</f>
        <v>0.1</v>
      </c>
      <c r="D22" s="49">
        <f t="shared" si="6"/>
        <v>0.0909090909090908</v>
      </c>
      <c r="E22" s="49">
        <f t="shared" si="6"/>
        <v>0.576666666666666</v>
      </c>
      <c r="F22" s="49">
        <f t="shared" si="6"/>
        <v>1.0877378435518</v>
      </c>
      <c r="G22" s="49">
        <f t="shared" si="6"/>
        <v>0.169620253164557</v>
      </c>
      <c r="H22" s="49">
        <f t="shared" si="6"/>
        <v>0.795454545454546</v>
      </c>
      <c r="I22" s="49">
        <f t="shared" si="6"/>
        <v>1.16735163570607</v>
      </c>
      <c r="J22" s="49">
        <f t="shared" si="6"/>
        <v>1.23338895631068</v>
      </c>
      <c r="K22" s="49">
        <f t="shared" si="6"/>
        <v>0.102693156732892</v>
      </c>
      <c r="L22" s="49">
        <f t="shared" si="6"/>
        <v>-0.0364082852872091</v>
      </c>
      <c r="M22" s="49">
        <f t="shared" si="6"/>
        <v>-0.0790965267419562</v>
      </c>
      <c r="N22" s="49">
        <f t="shared" si="6"/>
        <v>-0.0837151187005414</v>
      </c>
    </row>
    <row r="24" ht="15" customHeight="1" spans="1:1">
      <c r="A24" s="31" t="s">
        <v>223</v>
      </c>
    </row>
    <row r="25" ht="15" customHeight="1" spans="1:2">
      <c r="A25" s="50" t="s">
        <v>224</v>
      </c>
      <c r="B25" s="51">
        <v>21</v>
      </c>
    </row>
    <row r="26" ht="15" customHeight="1" spans="1:2">
      <c r="A26" s="52" t="s">
        <v>225</v>
      </c>
      <c r="B26" s="51">
        <v>40</v>
      </c>
    </row>
    <row r="28" ht="15" customHeight="1" spans="1:8">
      <c r="A28" s="34" t="s">
        <v>226</v>
      </c>
      <c r="B28" s="34" t="s">
        <v>14</v>
      </c>
      <c r="C28" s="34" t="s">
        <v>204</v>
      </c>
      <c r="D28" s="34" t="s">
        <v>16</v>
      </c>
      <c r="E28" s="34" t="s">
        <v>17</v>
      </c>
      <c r="F28" s="34" t="s">
        <v>18</v>
      </c>
      <c r="G28" s="34" t="s">
        <v>19</v>
      </c>
      <c r="H28" s="34" t="s">
        <v>20</v>
      </c>
    </row>
    <row r="29" ht="15" customHeight="1" spans="1:8">
      <c r="A29" s="53" t="s">
        <v>227</v>
      </c>
      <c r="B29" s="42">
        <f>H20*$B$25</f>
        <v>4910.128125</v>
      </c>
      <c r="C29" s="42">
        <f>I20*$B$25</f>
        <v>5413.03636363636</v>
      </c>
      <c r="D29" s="42">
        <f>J20*$B$25</f>
        <v>6550.00142045455</v>
      </c>
      <c r="E29" s="42">
        <f>K20*$B$25</f>
        <v>7524.88227272727</v>
      </c>
      <c r="F29" s="42">
        <f>L20*$B$25</f>
        <v>8260.03977272727</v>
      </c>
      <c r="G29" s="42">
        <f>M20*$B$25</f>
        <v>8934.33068181818</v>
      </c>
      <c r="H29" s="42">
        <f>N20*$B$25</f>
        <v>9565.5</v>
      </c>
    </row>
    <row r="30" ht="15" customHeight="1" spans="1:8">
      <c r="A30" s="54" t="s">
        <v>228</v>
      </c>
      <c r="B30" s="42">
        <f>H19*$B$26</f>
        <v>207.375</v>
      </c>
      <c r="C30" s="42">
        <f>I19*$B$26</f>
        <v>449.454545454545</v>
      </c>
      <c r="D30" s="42">
        <f>J19*$B$26</f>
        <v>1003.80681818182</v>
      </c>
      <c r="E30" s="42">
        <f>K19*$B$26</f>
        <v>1106.89090909091</v>
      </c>
      <c r="F30" s="42">
        <f>L19*$B$26</f>
        <v>1066.59090909091</v>
      </c>
      <c r="G30" s="42">
        <f>M19*$B$26</f>
        <v>982.227272727273</v>
      </c>
      <c r="H30" s="42">
        <f>N19*$B$26</f>
        <v>900</v>
      </c>
    </row>
    <row r="31" ht="15" customHeight="1" spans="1:8">
      <c r="A31" s="55" t="s">
        <v>229</v>
      </c>
      <c r="B31" s="56">
        <f t="shared" ref="B31:H31" si="7">B29+B30</f>
        <v>5117.503125</v>
      </c>
      <c r="C31" s="56">
        <f t="shared" si="7"/>
        <v>5862.49090909091</v>
      </c>
      <c r="D31" s="56">
        <f t="shared" si="7"/>
        <v>7553.80823863636</v>
      </c>
      <c r="E31" s="56">
        <f t="shared" si="7"/>
        <v>8631.77318181818</v>
      </c>
      <c r="F31" s="56">
        <f t="shared" si="7"/>
        <v>9326.63068181818</v>
      </c>
      <c r="G31" s="56">
        <f t="shared" si="7"/>
        <v>9916.55795454545</v>
      </c>
      <c r="H31" s="56">
        <f t="shared" si="7"/>
        <v>10465.5</v>
      </c>
    </row>
    <row r="32" ht="15" customHeight="1" spans="1:8">
      <c r="A32" s="53" t="s">
        <v>230</v>
      </c>
      <c r="B32" s="57">
        <f t="shared" ref="B32:H32" si="8">IFERROR(B31/H6,"")</f>
        <v>21.4121469665272</v>
      </c>
      <c r="C32" s="57">
        <f t="shared" si="8"/>
        <v>21.7936465021967</v>
      </c>
      <c r="D32" s="57">
        <f t="shared" si="8"/>
        <v>22.4148612422444</v>
      </c>
      <c r="E32" s="57">
        <f t="shared" si="8"/>
        <v>22.3621066886481</v>
      </c>
      <c r="F32" s="57">
        <f t="shared" si="8"/>
        <v>22.2062635281385</v>
      </c>
      <c r="G32" s="57">
        <f t="shared" si="8"/>
        <v>22.0367954545455</v>
      </c>
      <c r="H32" s="57">
        <f t="shared" si="8"/>
        <v>21.8943514644351</v>
      </c>
    </row>
    <row r="34" ht="15" customHeight="1" spans="1:1">
      <c r="A34" s="31" t="s">
        <v>231</v>
      </c>
    </row>
    <row r="35" ht="15" customHeight="1" spans="1:1">
      <c r="A35" s="32" t="s">
        <v>232</v>
      </c>
    </row>
    <row r="36" ht="15" customHeight="1" spans="1:6">
      <c r="A36" s="34" t="s">
        <v>233</v>
      </c>
      <c r="B36" s="58" t="s">
        <v>234</v>
      </c>
      <c r="C36" s="58" t="s">
        <v>235</v>
      </c>
      <c r="D36" s="58" t="s">
        <v>236</v>
      </c>
      <c r="E36" s="58" t="s">
        <v>237</v>
      </c>
      <c r="F36" s="58" t="s">
        <v>238</v>
      </c>
    </row>
    <row r="37" ht="15" customHeight="1" spans="1:6">
      <c r="A37" s="59" t="s">
        <v>239</v>
      </c>
      <c r="B37" s="60">
        <f>J20*22+J19*40</f>
        <v>7865.71306818182</v>
      </c>
      <c r="C37" s="60">
        <f>J20*20+J19*40</f>
        <v>7241.90340909091</v>
      </c>
      <c r="D37" s="60">
        <f>J20*18+J19*40</f>
        <v>6618.09375</v>
      </c>
      <c r="E37" s="60">
        <f>J20*16+J19*40</f>
        <v>5994.28409090909</v>
      </c>
      <c r="F37" s="60">
        <f>J20*14+J19*40</f>
        <v>5370.47443181818</v>
      </c>
    </row>
    <row r="38" ht="15" customHeight="1" spans="1:6">
      <c r="A38" s="59" t="s">
        <v>240</v>
      </c>
      <c r="B38" s="60">
        <f>J20*22+J19*35</f>
        <v>7740.23721590909</v>
      </c>
      <c r="C38" s="60">
        <f>J20*20+J19*35</f>
        <v>7116.42755681818</v>
      </c>
      <c r="D38" s="60">
        <f>J20*18+J19*35</f>
        <v>6492.61789772727</v>
      </c>
      <c r="E38" s="60">
        <f>J20*16+J19*35</f>
        <v>5868.80823863636</v>
      </c>
      <c r="F38" s="60">
        <f>J20*14+J19*35</f>
        <v>5244.99857954545</v>
      </c>
    </row>
    <row r="39" ht="15" customHeight="1" spans="1:6">
      <c r="A39" s="59" t="s">
        <v>241</v>
      </c>
      <c r="B39" s="60">
        <f>J20*22+J19*30</f>
        <v>7614.76136363636</v>
      </c>
      <c r="C39" s="60">
        <f>J20*20+J19*30</f>
        <v>6990.95170454545</v>
      </c>
      <c r="D39" s="60">
        <f>J20*18+J19*30</f>
        <v>6367.14204545455</v>
      </c>
      <c r="E39" s="60">
        <f>J20*16+J19*30</f>
        <v>5743.33238636364</v>
      </c>
      <c r="F39" s="60">
        <f>J20*14+J19*30</f>
        <v>5119.52272727273</v>
      </c>
    </row>
    <row r="40" ht="15" customHeight="1" spans="1:6">
      <c r="A40" s="59" t="s">
        <v>242</v>
      </c>
      <c r="B40" s="60">
        <f>J20*22+J19*25</f>
        <v>7489.28551136364</v>
      </c>
      <c r="C40" s="60">
        <f>J20*20+J19*25</f>
        <v>6865.47585227273</v>
      </c>
      <c r="D40" s="60">
        <f>J20*18+J19*25</f>
        <v>6241.66619318182</v>
      </c>
      <c r="E40" s="60">
        <f>J20*16+J19*25</f>
        <v>5617.85653409091</v>
      </c>
      <c r="F40" s="60">
        <f>J20*14+J19*25</f>
        <v>4994.046875</v>
      </c>
    </row>
    <row r="41" ht="15" customHeight="1" spans="1:6">
      <c r="A41" s="59" t="s">
        <v>235</v>
      </c>
      <c r="B41" s="60">
        <f>J20*22+J19*20</f>
        <v>7363.80965909091</v>
      </c>
      <c r="C41" s="60">
        <f>J20*20+J19*20</f>
        <v>6740</v>
      </c>
      <c r="D41" s="60">
        <f>J20*18+J19*20</f>
        <v>6116.19034090909</v>
      </c>
      <c r="E41" s="60">
        <f>J20*16+J19*20</f>
        <v>5492.38068181818</v>
      </c>
      <c r="F41" s="60">
        <f>J20*14+J19*20</f>
        <v>4868.57102272727</v>
      </c>
    </row>
    <row r="42" ht="15" customHeight="1" spans="1:6">
      <c r="A42" s="59" t="s">
        <v>243</v>
      </c>
      <c r="B42" s="60">
        <f>J20*22+J19*15</f>
        <v>7238.33380681818</v>
      </c>
      <c r="C42" s="60">
        <f>J20*20+J19*15</f>
        <v>6614.52414772727</v>
      </c>
      <c r="D42" s="60">
        <f>J20*18+J19*15</f>
        <v>5990.71448863636</v>
      </c>
      <c r="E42" s="60">
        <f>J20*16+J19*15</f>
        <v>5366.90482954545</v>
      </c>
      <c r="F42" s="60">
        <f>J20*14+J19*15</f>
        <v>4743.09517045455</v>
      </c>
    </row>
    <row r="43" ht="15" customHeight="1" spans="1:6">
      <c r="A43" s="59" t="s">
        <v>244</v>
      </c>
      <c r="B43" s="60">
        <f>J20*22+J19*10</f>
        <v>7112.85795454545</v>
      </c>
      <c r="C43" s="60">
        <f>J20*20+J19*10</f>
        <v>6489.04829545455</v>
      </c>
      <c r="D43" s="60">
        <f>J20*18+J19*10</f>
        <v>5865.23863636364</v>
      </c>
      <c r="E43" s="60">
        <f>J20*16+J19*10</f>
        <v>5241.42897727273</v>
      </c>
      <c r="F43" s="60">
        <f>J20*14+J19*10</f>
        <v>4617.61931818182</v>
      </c>
    </row>
    <row r="45" ht="15" customHeight="1" spans="1:1">
      <c r="A45" s="31" t="s">
        <v>245</v>
      </c>
    </row>
    <row r="46" ht="15" customHeight="1" spans="1:8">
      <c r="A46" s="61" t="s">
        <v>246</v>
      </c>
      <c r="B46" s="9"/>
      <c r="C46" s="9"/>
      <c r="D46" s="9"/>
      <c r="E46" s="9"/>
      <c r="F46" s="9"/>
      <c r="G46" s="9"/>
      <c r="H46" s="9"/>
    </row>
    <row r="47" ht="15" customHeight="1" spans="1:1">
      <c r="A47" s="62" t="s">
        <v>247</v>
      </c>
    </row>
    <row r="48" ht="15" customHeight="1" spans="1:8">
      <c r="A48" s="63"/>
      <c r="B48" s="34" t="s">
        <v>14</v>
      </c>
      <c r="C48" s="34" t="s">
        <v>204</v>
      </c>
      <c r="D48" s="34" t="s">
        <v>16</v>
      </c>
      <c r="E48" s="34" t="s">
        <v>17</v>
      </c>
      <c r="F48" s="34" t="s">
        <v>18</v>
      </c>
      <c r="G48" s="34" t="s">
        <v>19</v>
      </c>
      <c r="H48" s="34" t="s">
        <v>20</v>
      </c>
    </row>
    <row r="49" ht="15" customHeight="1" spans="1:8">
      <c r="A49" s="54" t="s">
        <v>248</v>
      </c>
      <c r="B49" s="64">
        <f t="shared" ref="B49:H49" si="9">H19</f>
        <v>5.184375</v>
      </c>
      <c r="C49" s="64">
        <f t="shared" si="9"/>
        <v>11.2363636363636</v>
      </c>
      <c r="D49" s="64">
        <f t="shared" si="9"/>
        <v>25.0951704545455</v>
      </c>
      <c r="E49" s="64">
        <f t="shared" si="9"/>
        <v>27.6722727272727</v>
      </c>
      <c r="F49" s="64">
        <f t="shared" si="9"/>
        <v>26.6647727272727</v>
      </c>
      <c r="G49" s="64">
        <f t="shared" si="9"/>
        <v>24.5556818181818</v>
      </c>
      <c r="H49" s="64">
        <f t="shared" si="9"/>
        <v>22.5</v>
      </c>
    </row>
    <row r="50" ht="15" customHeight="1" spans="1:8">
      <c r="A50" s="53" t="s">
        <v>249</v>
      </c>
      <c r="B50" s="65">
        <f t="shared" ref="B50:H50" si="10">H20</f>
        <v>233.815625</v>
      </c>
      <c r="C50" s="65">
        <f t="shared" si="10"/>
        <v>257.763636363636</v>
      </c>
      <c r="D50" s="65">
        <f t="shared" si="10"/>
        <v>311.904829545455</v>
      </c>
      <c r="E50" s="65">
        <f t="shared" si="10"/>
        <v>358.327727272727</v>
      </c>
      <c r="F50" s="65">
        <f t="shared" si="10"/>
        <v>393.335227272727</v>
      </c>
      <c r="G50" s="65">
        <f t="shared" si="10"/>
        <v>425.444318181818</v>
      </c>
      <c r="H50" s="65">
        <f t="shared" si="10"/>
        <v>455.5</v>
      </c>
    </row>
    <row r="51" ht="15" customHeight="1" spans="1:8">
      <c r="A51" s="55" t="s">
        <v>250</v>
      </c>
      <c r="B51" s="66">
        <f>B49*$B$26+B50*$B$25</f>
        <v>5117.503125</v>
      </c>
      <c r="C51" s="66">
        <f>C49*$B$26+C50*$B$25</f>
        <v>5862.49090909091</v>
      </c>
      <c r="D51" s="66">
        <f>D49*$B$26+D50*$B$25</f>
        <v>7553.80823863636</v>
      </c>
      <c r="E51" s="66">
        <f>E49*$B$26+E50*$B$25</f>
        <v>8631.77318181818</v>
      </c>
      <c r="F51" s="66">
        <f>F49*$B$26+F50*$B$25</f>
        <v>9326.63068181818</v>
      </c>
      <c r="G51" s="66">
        <f>G49*$B$26+G50*$B$25</f>
        <v>9916.55795454545</v>
      </c>
      <c r="H51" s="66">
        <f>H49*$B$26+H50*$B$25</f>
        <v>10465.5</v>
      </c>
    </row>
    <row r="53" ht="15" customHeight="1" spans="1:8">
      <c r="A53" s="67" t="s">
        <v>251</v>
      </c>
      <c r="B53" s="9"/>
      <c r="C53" s="9"/>
      <c r="D53" s="9"/>
      <c r="E53" s="9"/>
      <c r="F53" s="9"/>
      <c r="G53" s="9"/>
      <c r="H53" s="9"/>
    </row>
    <row r="54" ht="15" customHeight="1" spans="1:1">
      <c r="A54" s="32" t="s">
        <v>252</v>
      </c>
    </row>
    <row r="55" ht="15" customHeight="1" spans="1:12">
      <c r="A55" s="63"/>
      <c r="B55" s="34" t="s">
        <v>14</v>
      </c>
      <c r="C55" s="34" t="s">
        <v>204</v>
      </c>
      <c r="D55" s="34" t="s">
        <v>16</v>
      </c>
      <c r="E55" s="34" t="s">
        <v>17</v>
      </c>
      <c r="F55" s="34" t="s">
        <v>18</v>
      </c>
      <c r="G55" s="34" t="s">
        <v>19</v>
      </c>
      <c r="H55" s="34" t="s">
        <v>20</v>
      </c>
      <c r="I55" s="73" t="s">
        <v>253</v>
      </c>
      <c r="J55" s="74">
        <v>25</v>
      </c>
      <c r="K55" s="73" t="s">
        <v>254</v>
      </c>
      <c r="L55" s="74">
        <v>18</v>
      </c>
    </row>
    <row r="56" ht="15" customHeight="1" spans="1:8">
      <c r="A56" s="54" t="s">
        <v>248</v>
      </c>
      <c r="B56" s="64">
        <f>H19</f>
        <v>5.184375</v>
      </c>
      <c r="C56" s="64">
        <f>I19</f>
        <v>11.2363636363636</v>
      </c>
      <c r="D56" s="64">
        <f>J19*0.93</f>
        <v>23.3385085227273</v>
      </c>
      <c r="E56" s="64">
        <f>K19*0.82</f>
        <v>22.6912636363636</v>
      </c>
      <c r="F56" s="64">
        <f>L19*0.7</f>
        <v>18.6653409090909</v>
      </c>
      <c r="G56" s="64">
        <f>M19*0.6</f>
        <v>14.7334090909091</v>
      </c>
      <c r="H56" s="64">
        <f>N19*0.55</f>
        <v>12.375</v>
      </c>
    </row>
    <row r="57" ht="15" customHeight="1" spans="1:8">
      <c r="A57" s="53" t="s">
        <v>249</v>
      </c>
      <c r="B57" s="65">
        <f t="shared" ref="B57:H57" si="11">H20</f>
        <v>233.815625</v>
      </c>
      <c r="C57" s="65">
        <f t="shared" si="11"/>
        <v>257.763636363636</v>
      </c>
      <c r="D57" s="65">
        <f t="shared" si="11"/>
        <v>311.904829545455</v>
      </c>
      <c r="E57" s="65">
        <f t="shared" si="11"/>
        <v>358.327727272727</v>
      </c>
      <c r="F57" s="65">
        <f t="shared" si="11"/>
        <v>393.335227272727</v>
      </c>
      <c r="G57" s="65">
        <f t="shared" si="11"/>
        <v>425.444318181818</v>
      </c>
      <c r="H57" s="65">
        <f t="shared" si="11"/>
        <v>455.5</v>
      </c>
    </row>
    <row r="58" ht="15" customHeight="1" spans="1:8">
      <c r="A58" s="68" t="s">
        <v>250</v>
      </c>
      <c r="B58" s="69">
        <f t="shared" ref="B58:H58" si="12">B56*$J$55+B57*$L$55</f>
        <v>4338.290625</v>
      </c>
      <c r="C58" s="69">
        <f t="shared" si="12"/>
        <v>4920.65454545455</v>
      </c>
      <c r="D58" s="69">
        <f t="shared" si="12"/>
        <v>6197.74964488636</v>
      </c>
      <c r="E58" s="69">
        <f t="shared" si="12"/>
        <v>7017.18068181818</v>
      </c>
      <c r="F58" s="69">
        <f t="shared" si="12"/>
        <v>7546.66761363636</v>
      </c>
      <c r="G58" s="69">
        <f t="shared" si="12"/>
        <v>8026.33295454545</v>
      </c>
      <c r="H58" s="69">
        <f t="shared" si="12"/>
        <v>8508.375</v>
      </c>
    </row>
    <row r="59" ht="15" customHeight="1" spans="1:8">
      <c r="A59" s="70" t="s">
        <v>255</v>
      </c>
      <c r="B59" s="71">
        <f t="shared" ref="B59:H59" si="13">IFERROR(B58/B51-1,"")</f>
        <v>-0.152264196223622</v>
      </c>
      <c r="C59" s="71">
        <f t="shared" si="13"/>
        <v>-0.160654639510974</v>
      </c>
      <c r="D59" s="71">
        <f t="shared" si="13"/>
        <v>-0.179519859507951</v>
      </c>
      <c r="E59" s="71">
        <f t="shared" si="13"/>
        <v>-0.187052238976917</v>
      </c>
      <c r="F59" s="71">
        <f t="shared" si="13"/>
        <v>-0.190847384109652</v>
      </c>
      <c r="G59" s="71">
        <f t="shared" si="13"/>
        <v>-0.190613013977655</v>
      </c>
      <c r="H59" s="71">
        <f t="shared" si="13"/>
        <v>-0.187007309731977</v>
      </c>
    </row>
    <row r="61" ht="15" customHeight="1" spans="1:8">
      <c r="A61" s="72" t="s">
        <v>256</v>
      </c>
      <c r="B61" s="9"/>
      <c r="C61" s="9"/>
      <c r="D61" s="9"/>
      <c r="E61" s="9"/>
      <c r="F61" s="9"/>
      <c r="G61" s="9"/>
      <c r="H61" s="9"/>
    </row>
    <row r="62" ht="15" customHeight="1" spans="1:1">
      <c r="A62" s="62" t="s">
        <v>257</v>
      </c>
    </row>
    <row r="63" ht="15" customHeight="1" spans="1:12">
      <c r="A63" s="63"/>
      <c r="B63" s="34" t="s">
        <v>14</v>
      </c>
      <c r="C63" s="34" t="s">
        <v>204</v>
      </c>
      <c r="D63" s="34" t="s">
        <v>16</v>
      </c>
      <c r="E63" s="34" t="s">
        <v>17</v>
      </c>
      <c r="F63" s="34" t="s">
        <v>18</v>
      </c>
      <c r="G63" s="34" t="s">
        <v>19</v>
      </c>
      <c r="H63" s="34" t="s">
        <v>20</v>
      </c>
      <c r="I63" s="73" t="s">
        <v>253</v>
      </c>
      <c r="J63" s="74">
        <v>17</v>
      </c>
      <c r="K63" s="73" t="s">
        <v>254</v>
      </c>
      <c r="L63" s="74">
        <v>17</v>
      </c>
    </row>
    <row r="64" ht="15" customHeight="1" spans="1:8">
      <c r="A64" s="54" t="s">
        <v>248</v>
      </c>
      <c r="B64" s="64">
        <f>H19</f>
        <v>5.184375</v>
      </c>
      <c r="C64" s="64">
        <f>I19</f>
        <v>11.2363636363636</v>
      </c>
      <c r="D64" s="64">
        <f>J19</f>
        <v>25.0951704545455</v>
      </c>
      <c r="E64" s="64">
        <f>K19*0.38</f>
        <v>10.5154636363636</v>
      </c>
      <c r="F64" s="64">
        <f>L19*0.21</f>
        <v>5.59960227272727</v>
      </c>
      <c r="G64" s="64">
        <f>M19*0.15</f>
        <v>3.68335227272727</v>
      </c>
      <c r="H64" s="64">
        <f>N19*0.12</f>
        <v>2.7</v>
      </c>
    </row>
    <row r="65" ht="15" customHeight="1" spans="1:8">
      <c r="A65" s="53" t="s">
        <v>249</v>
      </c>
      <c r="B65" s="65">
        <f t="shared" ref="B65:H65" si="14">H20</f>
        <v>233.815625</v>
      </c>
      <c r="C65" s="65">
        <f t="shared" si="14"/>
        <v>257.763636363636</v>
      </c>
      <c r="D65" s="65">
        <f t="shared" si="14"/>
        <v>311.904829545455</v>
      </c>
      <c r="E65" s="65">
        <f t="shared" si="14"/>
        <v>358.327727272727</v>
      </c>
      <c r="F65" s="65">
        <f t="shared" si="14"/>
        <v>393.335227272727</v>
      </c>
      <c r="G65" s="65">
        <f t="shared" si="14"/>
        <v>425.444318181818</v>
      </c>
      <c r="H65" s="65">
        <f t="shared" si="14"/>
        <v>455.5</v>
      </c>
    </row>
    <row r="66" ht="15" customHeight="1" spans="1:8">
      <c r="A66" s="75" t="s">
        <v>250</v>
      </c>
      <c r="B66" s="76">
        <f t="shared" ref="B66:H66" si="15">B64*$J$63+B65*$L$63</f>
        <v>4063</v>
      </c>
      <c r="C66" s="76">
        <f t="shared" si="15"/>
        <v>4573</v>
      </c>
      <c r="D66" s="76">
        <f t="shared" si="15"/>
        <v>5729</v>
      </c>
      <c r="E66" s="76">
        <f t="shared" si="15"/>
        <v>6270.33424545455</v>
      </c>
      <c r="F66" s="76">
        <f t="shared" si="15"/>
        <v>6781.89210227273</v>
      </c>
      <c r="G66" s="76">
        <f t="shared" si="15"/>
        <v>7295.17039772727</v>
      </c>
      <c r="H66" s="76">
        <f t="shared" si="15"/>
        <v>7789.4</v>
      </c>
    </row>
    <row r="67" ht="15" customHeight="1" spans="1:8">
      <c r="A67" s="70" t="s">
        <v>255</v>
      </c>
      <c r="B67" s="71">
        <f t="shared" ref="B67:H67" si="16">IFERROR(B66/B51-1,"")</f>
        <v>-0.206058130155025</v>
      </c>
      <c r="C67" s="71">
        <f t="shared" si="16"/>
        <v>-0.219956146472024</v>
      </c>
      <c r="D67" s="71">
        <f t="shared" si="16"/>
        <v>-0.241574604621653</v>
      </c>
      <c r="E67" s="71">
        <f t="shared" si="16"/>
        <v>-0.273575183988584</v>
      </c>
      <c r="F67" s="71">
        <f t="shared" si="16"/>
        <v>-0.272846504419468</v>
      </c>
      <c r="G67" s="71">
        <f t="shared" si="16"/>
        <v>-0.264344500262474</v>
      </c>
      <c r="H67" s="71">
        <f t="shared" si="16"/>
        <v>-0.255706846304524</v>
      </c>
    </row>
  </sheetData>
  <mergeCells count="15">
    <mergeCell ref="A1:N1"/>
    <mergeCell ref="A3:N3"/>
    <mergeCell ref="A4:N4"/>
    <mergeCell ref="A11:N11"/>
    <mergeCell ref="A12:N12"/>
    <mergeCell ref="A24:N24"/>
    <mergeCell ref="A34:N34"/>
    <mergeCell ref="A35:N35"/>
    <mergeCell ref="A45:N45"/>
    <mergeCell ref="A46:H46"/>
    <mergeCell ref="A47:H47"/>
    <mergeCell ref="A53:H53"/>
    <mergeCell ref="A54:H54"/>
    <mergeCell ref="A61:H61"/>
    <mergeCell ref="A62:H62"/>
  </mergeCells>
  <conditionalFormatting sqref="B37:F43">
    <cfRule type="colorScale" priority="2">
      <colorScale>
        <cfvo type="num" val="3500"/>
        <cfvo type="num" val="5500"/>
        <cfvo type="num" val="7500"/>
        <color rgb="FFF8696B"/>
        <color rgb="FFFFEB84"/>
        <color rgb="FF63BE7B"/>
      </colorScale>
    </cfRule>
  </conditionalFormatting>
  <pageMargins left="0.75" right="0.75" top="1" bottom="1" header="0.511805555555556" footer="0.511805555555556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55"/>
  <sheetViews>
    <sheetView showGridLines="0" topLeftCell="A30" workbookViewId="0">
      <selection activeCell="A66" sqref="$A66:$XFD128"/>
    </sheetView>
  </sheetViews>
  <sheetFormatPr defaultColWidth="9" defaultRowHeight="14"/>
  <cols>
    <col min="1" max="19" width="9" customWidth="1"/>
  </cols>
  <sheetData>
    <row r="1" ht="15.6" customHeight="1" spans="1:1">
      <c r="A1" s="23" t="s">
        <v>258</v>
      </c>
    </row>
    <row r="3" spans="1:1">
      <c r="A3" s="24" t="s">
        <v>259</v>
      </c>
    </row>
    <row r="4" spans="1:19">
      <c r="A4" s="25"/>
      <c r="B4" s="26" t="s">
        <v>260</v>
      </c>
      <c r="C4" s="26" t="s">
        <v>261</v>
      </c>
      <c r="D4" s="26" t="s">
        <v>262</v>
      </c>
      <c r="E4" s="26" t="s">
        <v>263</v>
      </c>
      <c r="F4" s="26" t="s">
        <v>264</v>
      </c>
      <c r="G4" s="26" t="s">
        <v>265</v>
      </c>
      <c r="H4" s="26" t="s">
        <v>266</v>
      </c>
      <c r="I4" s="26" t="s">
        <v>267</v>
      </c>
      <c r="J4" s="26" t="s">
        <v>268</v>
      </c>
      <c r="K4" s="26" t="s">
        <v>269</v>
      </c>
      <c r="L4" s="26" t="s">
        <v>270</v>
      </c>
      <c r="M4" s="26" t="s">
        <v>271</v>
      </c>
      <c r="N4" s="26" t="s">
        <v>272</v>
      </c>
      <c r="O4" s="26" t="s">
        <v>273</v>
      </c>
      <c r="P4" s="26" t="s">
        <v>274</v>
      </c>
      <c r="Q4" s="26" t="s">
        <v>275</v>
      </c>
      <c r="R4" s="26" t="s">
        <v>276</v>
      </c>
      <c r="S4" s="26" t="s">
        <v>277</v>
      </c>
    </row>
    <row r="5" spans="1:19">
      <c r="A5" s="27" t="s">
        <v>22</v>
      </c>
      <c r="B5" s="28">
        <v>0.0546827833369729</v>
      </c>
      <c r="C5" s="28">
        <v>0.0631672290488639</v>
      </c>
      <c r="D5" s="28">
        <v>0.0635178456935243</v>
      </c>
      <c r="E5" s="28">
        <v>0.0971260180724857</v>
      </c>
      <c r="F5" s="28">
        <v>0.105527794158726</v>
      </c>
      <c r="G5" s="28">
        <v>0.123233055454875</v>
      </c>
      <c r="H5" s="28">
        <v>0.134294319111909</v>
      </c>
      <c r="I5" s="28">
        <v>0.132853197217075</v>
      </c>
      <c r="J5" s="28">
        <v>0.143972205035458</v>
      </c>
      <c r="K5" s="28">
        <v>0.147273919402834</v>
      </c>
      <c r="L5" s="28">
        <v>0.150532052945757</v>
      </c>
      <c r="M5" s="28">
        <v>0.227233785625117</v>
      </c>
      <c r="N5" s="28">
        <v>0.313072368701282</v>
      </c>
      <c r="O5" s="28">
        <v>0.443090624180242</v>
      </c>
      <c r="P5" s="28">
        <v>0.639691526233061</v>
      </c>
      <c r="Q5" s="28">
        <v>0.637070891312097</v>
      </c>
      <c r="R5" s="28">
        <v>0.562339355346876</v>
      </c>
      <c r="S5" s="28">
        <v>0.487612196923998</v>
      </c>
    </row>
    <row r="6" spans="1:19">
      <c r="A6" s="27" t="s">
        <v>38</v>
      </c>
      <c r="B6" s="28">
        <v>0.0462445602535862</v>
      </c>
      <c r="C6" s="28">
        <v>0.0549737043196836</v>
      </c>
      <c r="D6" s="28">
        <v>0.0428761004055847</v>
      </c>
      <c r="E6" s="28">
        <v>0.0495341466463706</v>
      </c>
      <c r="F6" s="28">
        <v>0.0565425657517457</v>
      </c>
      <c r="G6" s="28">
        <v>0.0486158523232297</v>
      </c>
      <c r="H6" s="28">
        <v>0.0452370937038806</v>
      </c>
      <c r="I6" s="28">
        <v>0.0907776948899664</v>
      </c>
      <c r="J6" s="28">
        <v>0.117908484489871</v>
      </c>
      <c r="K6" s="28">
        <v>0.113468733401688</v>
      </c>
      <c r="L6" s="28">
        <v>0.0837408770235827</v>
      </c>
      <c r="M6" s="28">
        <v>0.121728825833635</v>
      </c>
      <c r="N6" s="28">
        <v>0.178986894008291</v>
      </c>
      <c r="O6" s="28">
        <v>0.242626231552105</v>
      </c>
      <c r="P6" s="28">
        <v>0.289464388424061</v>
      </c>
      <c r="Q6" s="28">
        <v>0.27390282699997</v>
      </c>
      <c r="R6" s="28">
        <v>0.255176738301661</v>
      </c>
      <c r="S6" s="28">
        <v>0.239922302759585</v>
      </c>
    </row>
    <row r="7" spans="1:19">
      <c r="A7" s="27" t="s">
        <v>42</v>
      </c>
      <c r="B7" s="28">
        <v>0.132531205533241</v>
      </c>
      <c r="C7" s="28">
        <v>0.166042938743352</v>
      </c>
      <c r="D7" s="28">
        <v>0.132219392177519</v>
      </c>
      <c r="E7" s="28">
        <v>0.112803527118043</v>
      </c>
      <c r="F7" s="28">
        <v>0.118930133958775</v>
      </c>
      <c r="G7" s="28">
        <v>0.183739100563518</v>
      </c>
      <c r="H7" s="28">
        <v>0.145486447913899</v>
      </c>
      <c r="I7" s="28">
        <v>0.122069611619103</v>
      </c>
      <c r="J7" s="28">
        <v>0.0956384370257378</v>
      </c>
      <c r="K7" s="28">
        <v>0.111318926869281</v>
      </c>
      <c r="L7" s="28">
        <v>0.104917467484726</v>
      </c>
      <c r="M7" s="28">
        <v>0.150092280968407</v>
      </c>
      <c r="N7" s="28">
        <v>0.227008013186508</v>
      </c>
      <c r="O7" s="28">
        <v>0.380783380129981</v>
      </c>
      <c r="P7" s="28">
        <v>0.448269679110198</v>
      </c>
      <c r="Q7" s="28">
        <v>0.417042591427592</v>
      </c>
      <c r="R7" s="28">
        <v>0.371890339294814</v>
      </c>
      <c r="S7" s="28">
        <v>0.334131885469669</v>
      </c>
    </row>
    <row r="8" spans="1:19">
      <c r="A8" s="27" t="s">
        <v>48</v>
      </c>
      <c r="B8" s="28">
        <v>0.173018292682927</v>
      </c>
      <c r="C8" s="28">
        <v>0.146879512273384</v>
      </c>
      <c r="D8" s="28">
        <v>0.140729585006693</v>
      </c>
      <c r="E8" s="28">
        <v>0.162493668138071</v>
      </c>
      <c r="F8" s="28">
        <v>0.165596634934691</v>
      </c>
      <c r="G8" s="28">
        <v>0.25036713349332</v>
      </c>
      <c r="H8" s="28">
        <v>0.213615853572287</v>
      </c>
      <c r="I8" s="28">
        <v>0.175827371604723</v>
      </c>
      <c r="J8" s="28">
        <v>0.157442189792163</v>
      </c>
      <c r="K8" s="28">
        <v>0.267440763577425</v>
      </c>
      <c r="L8" s="28">
        <v>0.200478866139864</v>
      </c>
      <c r="M8" s="28">
        <v>0.22647886638987</v>
      </c>
      <c r="N8" s="28">
        <v>0.346780052347163</v>
      </c>
      <c r="O8" s="28">
        <v>0.536119817404754</v>
      </c>
      <c r="P8" s="28">
        <v>0.550122407338345</v>
      </c>
      <c r="Q8" s="28">
        <v>0.526986302116654</v>
      </c>
      <c r="R8" s="28">
        <v>0.48736678840751</v>
      </c>
      <c r="S8" s="28">
        <v>0.456624870401654</v>
      </c>
    </row>
    <row r="9" spans="1:19">
      <c r="A9" s="27" t="s">
        <v>55</v>
      </c>
      <c r="B9" s="28">
        <v>0.476190476190476</v>
      </c>
      <c r="C9" s="28">
        <v>0.015141231138725</v>
      </c>
      <c r="D9" s="28">
        <v>0.0363631610592633</v>
      </c>
      <c r="E9" s="28">
        <v>0.0320857058045713</v>
      </c>
      <c r="F9" s="28">
        <v>0.0533259452756009</v>
      </c>
      <c r="G9" s="28">
        <v>0.0435327749636391</v>
      </c>
      <c r="H9" s="28">
        <v>0.0419976724181551</v>
      </c>
      <c r="I9" s="28">
        <v>0.0400327633869151</v>
      </c>
      <c r="J9" s="28">
        <v>0.0527407919764828</v>
      </c>
      <c r="K9" s="28">
        <v>0.10629123468426</v>
      </c>
      <c r="L9" s="28">
        <v>0.174060135324498</v>
      </c>
      <c r="M9" s="28">
        <v>0.12964256717207</v>
      </c>
      <c r="N9" s="28">
        <v>0.369605742260318</v>
      </c>
      <c r="O9" s="28">
        <v>0.77140396205041</v>
      </c>
      <c r="P9" s="28">
        <v>0.585158715801013</v>
      </c>
      <c r="Q9" s="28">
        <v>0.535470443379201</v>
      </c>
      <c r="R9" s="28">
        <v>0.442430168392192</v>
      </c>
      <c r="S9" s="28">
        <v>0.297968501533604</v>
      </c>
    </row>
    <row r="26" spans="1:1">
      <c r="A26" s="24" t="s">
        <v>134</v>
      </c>
    </row>
    <row r="27" spans="1:19">
      <c r="A27" s="25"/>
      <c r="B27" s="26" t="s">
        <v>260</v>
      </c>
      <c r="C27" s="26" t="s">
        <v>261</v>
      </c>
      <c r="D27" s="26" t="s">
        <v>262</v>
      </c>
      <c r="E27" s="26" t="s">
        <v>263</v>
      </c>
      <c r="F27" s="26" t="s">
        <v>264</v>
      </c>
      <c r="G27" s="26" t="s">
        <v>265</v>
      </c>
      <c r="H27" s="26" t="s">
        <v>266</v>
      </c>
      <c r="I27" s="26" t="s">
        <v>267</v>
      </c>
      <c r="J27" s="26" t="s">
        <v>268</v>
      </c>
      <c r="K27" s="26" t="s">
        <v>269</v>
      </c>
      <c r="L27" s="26" t="s">
        <v>270</v>
      </c>
      <c r="M27" s="26" t="s">
        <v>271</v>
      </c>
      <c r="N27" s="26" t="s">
        <v>272</v>
      </c>
      <c r="O27" s="26" t="s">
        <v>273</v>
      </c>
      <c r="P27" s="26" t="s">
        <v>274</v>
      </c>
      <c r="Q27" s="26" t="s">
        <v>275</v>
      </c>
      <c r="R27" s="26" t="s">
        <v>276</v>
      </c>
      <c r="S27" s="26" t="s">
        <v>277</v>
      </c>
    </row>
    <row r="28" spans="1:19">
      <c r="A28" s="27" t="s">
        <v>22</v>
      </c>
      <c r="B28" s="29">
        <v>4257</v>
      </c>
      <c r="C28" s="29">
        <v>5485</v>
      </c>
      <c r="D28" s="29">
        <v>5944</v>
      </c>
      <c r="E28" s="29">
        <v>8932</v>
      </c>
      <c r="F28" s="29">
        <v>10200</v>
      </c>
      <c r="G28" s="29">
        <v>13600</v>
      </c>
      <c r="H28" s="29">
        <v>16900</v>
      </c>
      <c r="I28" s="29">
        <v>19000</v>
      </c>
      <c r="J28" s="29">
        <v>24200</v>
      </c>
      <c r="K28" s="29">
        <v>29200</v>
      </c>
      <c r="L28" s="29">
        <v>31900</v>
      </c>
      <c r="M28" s="29">
        <v>55700</v>
      </c>
      <c r="N28" s="29">
        <v>88200</v>
      </c>
      <c r="O28" s="29">
        <v>145871.3</v>
      </c>
      <c r="P28" s="29">
        <v>245263.45</v>
      </c>
      <c r="Q28" s="29">
        <v>286760.35</v>
      </c>
      <c r="R28" s="29">
        <v>300210.91</v>
      </c>
      <c r="S28" s="29">
        <v>304616.04</v>
      </c>
    </row>
    <row r="29" spans="1:19">
      <c r="A29" s="27" t="s">
        <v>38</v>
      </c>
      <c r="B29" s="29">
        <v>3443</v>
      </c>
      <c r="C29" s="29">
        <v>4892</v>
      </c>
      <c r="D29" s="29">
        <v>4588</v>
      </c>
      <c r="E29" s="29">
        <v>6736</v>
      </c>
      <c r="F29" s="29">
        <v>10057</v>
      </c>
      <c r="G29" s="29">
        <v>11322</v>
      </c>
      <c r="H29" s="29">
        <v>12690</v>
      </c>
      <c r="I29" s="29">
        <v>35046</v>
      </c>
      <c r="J29" s="29">
        <v>55396</v>
      </c>
      <c r="K29" s="29">
        <v>58321</v>
      </c>
      <c r="L29" s="29">
        <v>48133</v>
      </c>
      <c r="M29" s="29">
        <v>77658</v>
      </c>
      <c r="N29" s="29">
        <v>128320</v>
      </c>
      <c r="O29" s="29">
        <v>200104.98</v>
      </c>
      <c r="P29" s="29">
        <v>270141.72</v>
      </c>
      <c r="Q29" s="29">
        <v>283648.81</v>
      </c>
      <c r="R29" s="29">
        <v>297831.25</v>
      </c>
      <c r="S29" s="29">
        <v>312722.81</v>
      </c>
    </row>
    <row r="30" spans="1:19">
      <c r="A30" s="27" t="s">
        <v>42</v>
      </c>
      <c r="B30" s="29">
        <v>7358</v>
      </c>
      <c r="C30" s="29">
        <v>10959</v>
      </c>
      <c r="D30" s="29">
        <v>9915</v>
      </c>
      <c r="E30" s="29">
        <v>10183</v>
      </c>
      <c r="F30" s="29">
        <v>13184</v>
      </c>
      <c r="G30" s="29">
        <v>25139</v>
      </c>
      <c r="H30" s="29">
        <v>23548</v>
      </c>
      <c r="I30" s="29">
        <v>22281</v>
      </c>
      <c r="J30" s="29">
        <v>24640</v>
      </c>
      <c r="K30" s="29">
        <v>31485</v>
      </c>
      <c r="L30" s="29">
        <v>32251</v>
      </c>
      <c r="M30" s="29">
        <v>52535</v>
      </c>
      <c r="N30" s="29">
        <v>91447</v>
      </c>
      <c r="O30" s="29">
        <v>185234.28</v>
      </c>
      <c r="P30" s="29">
        <v>259327.99</v>
      </c>
      <c r="Q30" s="29">
        <v>285260.79</v>
      </c>
      <c r="R30" s="29">
        <v>299523.83</v>
      </c>
      <c r="S30" s="29">
        <v>314500.02</v>
      </c>
    </row>
    <row r="31" spans="1:19">
      <c r="A31" s="27" t="s">
        <v>48</v>
      </c>
      <c r="B31" s="29">
        <v>1362</v>
      </c>
      <c r="C31" s="29">
        <v>1831</v>
      </c>
      <c r="D31" s="29">
        <v>2523</v>
      </c>
      <c r="E31" s="29">
        <v>4491</v>
      </c>
      <c r="F31" s="29">
        <v>6732</v>
      </c>
      <c r="G31" s="29">
        <v>13980</v>
      </c>
      <c r="H31" s="29">
        <v>15102</v>
      </c>
      <c r="I31" s="29">
        <v>15115</v>
      </c>
      <c r="J31" s="29">
        <v>18567</v>
      </c>
      <c r="K31" s="29">
        <v>31186</v>
      </c>
      <c r="L31" s="29">
        <v>27045</v>
      </c>
      <c r="M31" s="29">
        <v>37256</v>
      </c>
      <c r="N31" s="29">
        <v>69691</v>
      </c>
      <c r="O31" s="29">
        <v>135583.71</v>
      </c>
      <c r="P31" s="29">
        <v>165714.44</v>
      </c>
      <c r="Q31" s="29">
        <v>185600.17</v>
      </c>
      <c r="R31" s="29">
        <v>196736.18</v>
      </c>
      <c r="S31" s="29">
        <v>208540.35</v>
      </c>
    </row>
    <row r="32" spans="1:19">
      <c r="A32" s="27" t="s">
        <v>55</v>
      </c>
      <c r="B32" s="29">
        <v>650</v>
      </c>
      <c r="C32" s="29">
        <v>580</v>
      </c>
      <c r="D32" s="29">
        <v>1391</v>
      </c>
      <c r="E32" s="29">
        <v>1189</v>
      </c>
      <c r="F32" s="29">
        <v>2021</v>
      </c>
      <c r="G32" s="29">
        <v>1736</v>
      </c>
      <c r="H32" s="29">
        <v>1660</v>
      </c>
      <c r="I32" s="29">
        <v>1564</v>
      </c>
      <c r="J32" s="29">
        <v>2135</v>
      </c>
      <c r="K32" s="29">
        <v>4511</v>
      </c>
      <c r="L32" s="29">
        <v>8695</v>
      </c>
      <c r="M32" s="29">
        <v>6866</v>
      </c>
      <c r="N32" s="29">
        <v>21215</v>
      </c>
      <c r="O32" s="29">
        <v>51882</v>
      </c>
      <c r="P32" s="29">
        <v>52141.41</v>
      </c>
      <c r="Q32" s="29">
        <v>69869.49</v>
      </c>
      <c r="R32" s="29">
        <v>81048.61</v>
      </c>
      <c r="S32" s="29">
        <v>66459.86</v>
      </c>
    </row>
    <row r="49" spans="1:1">
      <c r="A49" s="24" t="s">
        <v>278</v>
      </c>
    </row>
    <row r="50" spans="1:19">
      <c r="A50" s="25"/>
      <c r="B50" s="26" t="s">
        <v>260</v>
      </c>
      <c r="C50" s="26" t="s">
        <v>261</v>
      </c>
      <c r="D50" s="26" t="s">
        <v>262</v>
      </c>
      <c r="E50" s="26" t="s">
        <v>263</v>
      </c>
      <c r="F50" s="26" t="s">
        <v>264</v>
      </c>
      <c r="G50" s="26" t="s">
        <v>265</v>
      </c>
      <c r="H50" s="26" t="s">
        <v>266</v>
      </c>
      <c r="I50" s="26" t="s">
        <v>267</v>
      </c>
      <c r="J50" s="26" t="s">
        <v>268</v>
      </c>
      <c r="K50" s="26" t="s">
        <v>269</v>
      </c>
      <c r="L50" s="26" t="s">
        <v>270</v>
      </c>
      <c r="M50" s="26" t="s">
        <v>271</v>
      </c>
      <c r="N50" s="26" t="s">
        <v>272</v>
      </c>
      <c r="O50" s="26" t="s">
        <v>273</v>
      </c>
      <c r="P50" s="26" t="s">
        <v>274</v>
      </c>
      <c r="Q50" s="26" t="s">
        <v>275</v>
      </c>
      <c r="R50" s="26" t="s">
        <v>276</v>
      </c>
      <c r="S50" s="26" t="s">
        <v>277</v>
      </c>
    </row>
    <row r="51" spans="1:19">
      <c r="A51" s="27" t="s">
        <v>22</v>
      </c>
      <c r="B51" s="28">
        <v>0.343793754576167</v>
      </c>
      <c r="C51" s="28">
        <v>0.319682609146292</v>
      </c>
      <c r="D51" s="28">
        <v>0.142754862150032</v>
      </c>
      <c r="E51" s="28">
        <v>0.127834020203778</v>
      </c>
      <c r="F51" s="28">
        <v>0.117829024281738</v>
      </c>
      <c r="G51" s="28">
        <v>0.117107647698441</v>
      </c>
      <c r="H51" s="28">
        <v>0.128882814300358</v>
      </c>
      <c r="I51" s="28">
        <v>0.130923329720659</v>
      </c>
      <c r="J51" s="28">
        <v>0.144870544000761</v>
      </c>
      <c r="K51" s="28">
        <v>0.149730165935341</v>
      </c>
      <c r="L51" s="28">
        <v>0.23629285326664</v>
      </c>
      <c r="M51" s="28">
        <v>0.243393085891923</v>
      </c>
      <c r="N51" s="28">
        <v>0.247664380741435</v>
      </c>
      <c r="O51" s="28">
        <v>0.241611242609805</v>
      </c>
      <c r="P51" s="28">
        <v>0.223335846055128</v>
      </c>
      <c r="Q51" s="28">
        <v>0.155240874752629</v>
      </c>
      <c r="R51" s="28">
        <v>0.189883391877002</v>
      </c>
      <c r="S51" s="28">
        <v>0.173695878936653</v>
      </c>
    </row>
    <row r="52" spans="1:19">
      <c r="A52" s="27" t="s">
        <v>38</v>
      </c>
      <c r="B52" s="28">
        <v>0.00903938107774136</v>
      </c>
      <c r="C52" s="28">
        <v>0.00514676136108239</v>
      </c>
      <c r="D52" s="28">
        <v>0.0140833224305179</v>
      </c>
      <c r="E52" s="28">
        <v>0.0228551258576187</v>
      </c>
      <c r="F52" s="28">
        <v>0.0243497914160098</v>
      </c>
      <c r="G52" s="28">
        <v>0.0313284983704543</v>
      </c>
      <c r="H52" s="28">
        <v>0.0327995665224118</v>
      </c>
      <c r="I52" s="28">
        <v>0.0350485929794024</v>
      </c>
      <c r="J52" s="28">
        <v>0.0394447258749058</v>
      </c>
      <c r="K52" s="28">
        <v>0.0444392129700788</v>
      </c>
      <c r="L52" s="28">
        <v>0.0428525448646015</v>
      </c>
      <c r="M52" s="28">
        <v>0.0624397492628837</v>
      </c>
      <c r="N52" s="28">
        <v>0.0636134374075913</v>
      </c>
      <c r="O52" s="28">
        <v>0.0714067846306012</v>
      </c>
      <c r="P52" s="28">
        <v>0.08159074145037</v>
      </c>
      <c r="Q52" s="28">
        <v>0.0949921778277507</v>
      </c>
      <c r="R52" s="28">
        <v>0.105667650087854</v>
      </c>
      <c r="S52" s="28">
        <v>0.11670332931707</v>
      </c>
    </row>
    <row r="53" spans="1:19">
      <c r="A53" s="27" t="s">
        <v>42</v>
      </c>
      <c r="B53" s="28">
        <v>0.29287271024334</v>
      </c>
      <c r="C53" s="28">
        <v>0.287344131149528</v>
      </c>
      <c r="D53" s="28">
        <v>0.310965608289216</v>
      </c>
      <c r="E53" s="28">
        <v>0.299705334987593</v>
      </c>
      <c r="F53" s="28">
        <v>0.292778855261377</v>
      </c>
      <c r="G53" s="28">
        <v>0.315285157763176</v>
      </c>
      <c r="H53" s="28">
        <v>0.30273018775833</v>
      </c>
      <c r="I53" s="28">
        <v>0.299166698625409</v>
      </c>
      <c r="J53" s="28">
        <v>0.356528759456134</v>
      </c>
      <c r="K53" s="28">
        <v>0.292392057588143</v>
      </c>
      <c r="L53" s="28">
        <v>0.311840829684379</v>
      </c>
      <c r="M53" s="28">
        <v>0.346447896965299</v>
      </c>
      <c r="N53" s="28">
        <v>0.346056459700722</v>
      </c>
      <c r="O53" s="28">
        <v>0.341343886563669</v>
      </c>
      <c r="P53" s="28">
        <v>0.325672166000287</v>
      </c>
      <c r="Q53" s="28">
        <v>0.303334166314856</v>
      </c>
      <c r="R53" s="28">
        <v>0.284571661297904</v>
      </c>
      <c r="S53" s="28">
        <v>0.274826762455809</v>
      </c>
    </row>
    <row r="54" spans="1:19">
      <c r="A54" s="27" t="s">
        <v>48</v>
      </c>
      <c r="B54" s="28">
        <v>0.35619918699187</v>
      </c>
      <c r="C54" s="28">
        <v>0.400673832825285</v>
      </c>
      <c r="D54" s="28">
        <v>0.347222222222222</v>
      </c>
      <c r="E54" s="28">
        <v>0.449634561111513</v>
      </c>
      <c r="F54" s="28">
        <v>0.496937495387794</v>
      </c>
      <c r="G54" s="28">
        <v>0.446165693613668</v>
      </c>
      <c r="H54" s="28">
        <v>0.40297325204747</v>
      </c>
      <c r="I54" s="28">
        <v>0.457093002966323</v>
      </c>
      <c r="J54" s="28">
        <v>0.482883769047478</v>
      </c>
      <c r="K54" s="28">
        <v>0.365846547007521</v>
      </c>
      <c r="L54" s="28">
        <v>0.466049428474003</v>
      </c>
      <c r="M54" s="28">
        <v>0.52953477486459</v>
      </c>
      <c r="N54" s="28">
        <v>0.509882268642457</v>
      </c>
      <c r="O54" s="28">
        <v>0.424108875450453</v>
      </c>
      <c r="P54" s="28">
        <v>0.409427333635338</v>
      </c>
      <c r="Q54" s="28">
        <v>0.405256638118951</v>
      </c>
      <c r="R54" s="28">
        <v>0.44456344103389</v>
      </c>
      <c r="S54" s="28">
        <v>0.421163719250842</v>
      </c>
    </row>
    <row r="55" spans="1:19">
      <c r="A55" s="27" t="s">
        <v>55</v>
      </c>
      <c r="B55" s="28">
        <v>12.9025641025641</v>
      </c>
      <c r="C55" s="28">
        <v>0.472719678379366</v>
      </c>
      <c r="D55" s="28">
        <v>0.454761718035187</v>
      </c>
      <c r="E55" s="28">
        <v>0.425965404646895</v>
      </c>
      <c r="F55" s="28">
        <v>0.426607562204807</v>
      </c>
      <c r="G55" s="28">
        <v>0.430187070565224</v>
      </c>
      <c r="H55" s="28">
        <v>0.439811769468198</v>
      </c>
      <c r="I55" s="28">
        <v>0.444942152144978</v>
      </c>
      <c r="J55" s="28">
        <v>0.469355994170104</v>
      </c>
      <c r="K55" s="28">
        <v>0.461639962299717</v>
      </c>
      <c r="L55" s="28">
        <v>0.418464987788766</v>
      </c>
      <c r="M55" s="28">
        <v>0.435301448235494</v>
      </c>
      <c r="N55" s="28">
        <v>0.436140002439067</v>
      </c>
      <c r="O55" s="28">
        <v>0.417996808937236</v>
      </c>
      <c r="P55" s="28">
        <v>0.319720549940049</v>
      </c>
      <c r="Q55" s="28">
        <v>0.354689335975017</v>
      </c>
      <c r="R55" s="28">
        <v>0.35137418546827</v>
      </c>
      <c r="S55" s="28">
        <v>0.312759624546344</v>
      </c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9"/>
  <sheetViews>
    <sheetView showGridLines="0" workbookViewId="0">
      <selection activeCell="M6" sqref="M6"/>
    </sheetView>
  </sheetViews>
  <sheetFormatPr defaultColWidth="9" defaultRowHeight="14" outlineLevelCol="7"/>
  <cols>
    <col min="1" max="1" width="32" customWidth="1"/>
    <col min="2" max="9" width="14" customWidth="1"/>
  </cols>
  <sheetData>
    <row r="1" ht="28" customHeight="1" spans="1:1">
      <c r="A1" s="1" t="s">
        <v>279</v>
      </c>
    </row>
    <row r="3" spans="1:1">
      <c r="A3" s="11" t="s">
        <v>280</v>
      </c>
    </row>
    <row r="4" spans="1:7">
      <c r="A4" s="12" t="s">
        <v>281</v>
      </c>
      <c r="B4" s="12" t="s">
        <v>14</v>
      </c>
      <c r="C4" s="12" t="s">
        <v>204</v>
      </c>
      <c r="D4" s="12" t="s">
        <v>16</v>
      </c>
      <c r="E4" s="12" t="s">
        <v>17</v>
      </c>
      <c r="F4" s="12" t="s">
        <v>282</v>
      </c>
      <c r="G4" s="12" t="s">
        <v>283</v>
      </c>
    </row>
    <row r="5" spans="1:7">
      <c r="A5" s="4" t="s">
        <v>284</v>
      </c>
      <c r="B5" s="13" t="s">
        <v>285</v>
      </c>
      <c r="C5" s="13" t="s">
        <v>286</v>
      </c>
      <c r="D5" s="13" t="s">
        <v>287</v>
      </c>
      <c r="E5" s="13" t="s">
        <v>288</v>
      </c>
      <c r="F5" s="13" t="s">
        <v>289</v>
      </c>
      <c r="G5" s="13" t="s">
        <v>290</v>
      </c>
    </row>
    <row r="6" ht="23" customHeight="1" spans="1:7">
      <c r="A6" s="4" t="s">
        <v>291</v>
      </c>
      <c r="B6" s="13" t="s">
        <v>285</v>
      </c>
      <c r="C6" s="13" t="s">
        <v>286</v>
      </c>
      <c r="D6" s="13" t="s">
        <v>292</v>
      </c>
      <c r="E6" s="13" t="s">
        <v>293</v>
      </c>
      <c r="F6" s="13" t="s">
        <v>294</v>
      </c>
      <c r="G6" s="13" t="s">
        <v>295</v>
      </c>
    </row>
    <row r="7" ht="23" customHeight="1" spans="1:7">
      <c r="A7" s="4" t="s">
        <v>296</v>
      </c>
      <c r="B7" s="13" t="s">
        <v>285</v>
      </c>
      <c r="C7" s="13" t="s">
        <v>286</v>
      </c>
      <c r="D7" s="13" t="s">
        <v>297</v>
      </c>
      <c r="E7" s="13" t="s">
        <v>298</v>
      </c>
      <c r="F7" s="13" t="s">
        <v>299</v>
      </c>
      <c r="G7" s="13" t="s">
        <v>300</v>
      </c>
    </row>
    <row r="9" spans="1:1">
      <c r="A9" s="11" t="s">
        <v>301</v>
      </c>
    </row>
    <row r="10" spans="1:8">
      <c r="A10" s="2" t="s">
        <v>302</v>
      </c>
      <c r="B10" s="12" t="s">
        <v>236</v>
      </c>
      <c r="C10" s="12" t="s">
        <v>303</v>
      </c>
      <c r="D10" s="12" t="s">
        <v>235</v>
      </c>
      <c r="E10" s="12" t="s">
        <v>304</v>
      </c>
      <c r="F10" s="12" t="s">
        <v>234</v>
      </c>
      <c r="G10" s="12" t="s">
        <v>305</v>
      </c>
      <c r="H10" s="12" t="s">
        <v>306</v>
      </c>
    </row>
    <row r="11" spans="1:8">
      <c r="A11" s="4" t="s">
        <v>307</v>
      </c>
      <c r="B11" s="14">
        <v>6156</v>
      </c>
      <c r="C11" s="14">
        <v>6498</v>
      </c>
      <c r="D11" s="14">
        <v>6840</v>
      </c>
      <c r="E11" s="14">
        <v>7182</v>
      </c>
      <c r="F11" s="14">
        <v>7524</v>
      </c>
      <c r="G11" s="14">
        <v>7866</v>
      </c>
      <c r="H11" s="14">
        <v>8208</v>
      </c>
    </row>
    <row r="12" spans="1:8">
      <c r="A12" s="4" t="s">
        <v>308</v>
      </c>
      <c r="B12" s="14">
        <v>6948</v>
      </c>
      <c r="C12" s="14">
        <v>7334</v>
      </c>
      <c r="D12" s="14">
        <v>7720</v>
      </c>
      <c r="E12" s="14">
        <v>8106</v>
      </c>
      <c r="F12" s="14">
        <v>8492</v>
      </c>
      <c r="G12" s="14">
        <v>8878</v>
      </c>
      <c r="H12" s="14">
        <v>9264</v>
      </c>
    </row>
    <row r="13" spans="1:8">
      <c r="A13" s="4" t="s">
        <v>309</v>
      </c>
      <c r="B13" s="14">
        <v>5400</v>
      </c>
      <c r="C13" s="14">
        <v>5700</v>
      </c>
      <c r="D13" s="14">
        <v>6000</v>
      </c>
      <c r="E13" s="14">
        <v>6300</v>
      </c>
      <c r="F13" s="14">
        <v>6600</v>
      </c>
      <c r="G13" s="14">
        <v>6900</v>
      </c>
      <c r="H13" s="14">
        <v>7200</v>
      </c>
    </row>
    <row r="14" spans="1:8">
      <c r="A14" s="4" t="s">
        <v>310</v>
      </c>
      <c r="B14" s="14">
        <v>4680</v>
      </c>
      <c r="C14" s="14">
        <v>4940</v>
      </c>
      <c r="D14" s="14">
        <v>5200</v>
      </c>
      <c r="E14" s="14">
        <v>5460</v>
      </c>
      <c r="F14" s="14">
        <v>5720</v>
      </c>
      <c r="G14" s="14">
        <v>5980</v>
      </c>
      <c r="H14" s="14">
        <v>6240</v>
      </c>
    </row>
    <row r="16" spans="1:1">
      <c r="A16" s="11" t="s">
        <v>311</v>
      </c>
    </row>
    <row r="17" spans="1:6">
      <c r="A17" s="12" t="s">
        <v>2</v>
      </c>
      <c r="B17" s="12" t="s">
        <v>189</v>
      </c>
      <c r="C17" s="12" t="s">
        <v>312</v>
      </c>
      <c r="D17" s="12" t="s">
        <v>313</v>
      </c>
      <c r="E17" s="12" t="s">
        <v>314</v>
      </c>
      <c r="F17" s="12" t="s">
        <v>315</v>
      </c>
    </row>
    <row r="18" ht="23" customHeight="1" spans="1:6">
      <c r="A18" s="4" t="s">
        <v>316</v>
      </c>
      <c r="B18" s="13" t="s">
        <v>304</v>
      </c>
      <c r="C18" s="13" t="s">
        <v>317</v>
      </c>
      <c r="D18" s="13" t="s">
        <v>318</v>
      </c>
      <c r="E18" s="13" t="s">
        <v>306</v>
      </c>
      <c r="F18" s="21" t="s">
        <v>319</v>
      </c>
    </row>
    <row r="19" spans="1:6">
      <c r="A19" s="4" t="s">
        <v>320</v>
      </c>
      <c r="B19" s="13" t="s">
        <v>321</v>
      </c>
      <c r="C19" s="13" t="s">
        <v>322</v>
      </c>
      <c r="D19" s="13" t="s">
        <v>322</v>
      </c>
      <c r="E19" s="13" t="s">
        <v>323</v>
      </c>
      <c r="F19" s="22" t="s">
        <v>324</v>
      </c>
    </row>
    <row r="21" spans="1:1">
      <c r="A21" s="11" t="s">
        <v>325</v>
      </c>
    </row>
    <row r="22" ht="28" customHeight="1" spans="1:5">
      <c r="A22" s="12" t="s">
        <v>326</v>
      </c>
      <c r="B22" s="12" t="s">
        <v>327</v>
      </c>
      <c r="C22" s="12" t="s">
        <v>328</v>
      </c>
      <c r="D22" s="12" t="s">
        <v>329</v>
      </c>
      <c r="E22" s="12" t="s">
        <v>330</v>
      </c>
    </row>
    <row r="23" ht="36" customHeight="1" spans="1:5">
      <c r="A23" s="15" t="s">
        <v>331</v>
      </c>
      <c r="B23" s="16" t="s">
        <v>332</v>
      </c>
      <c r="C23" s="17" t="s">
        <v>333</v>
      </c>
      <c r="D23" s="18" t="s">
        <v>334</v>
      </c>
      <c r="E23" s="17" t="s">
        <v>335</v>
      </c>
    </row>
    <row r="24" ht="36" customHeight="1" spans="1:5">
      <c r="A24" s="15" t="s">
        <v>336</v>
      </c>
      <c r="B24" s="16" t="s">
        <v>337</v>
      </c>
      <c r="C24" s="17" t="s">
        <v>338</v>
      </c>
      <c r="D24" s="18" t="s">
        <v>339</v>
      </c>
      <c r="E24" s="17" t="s">
        <v>340</v>
      </c>
    </row>
    <row r="25" ht="36" customHeight="1" spans="1:5">
      <c r="A25" s="15" t="s">
        <v>341</v>
      </c>
      <c r="B25" s="16" t="s">
        <v>342</v>
      </c>
      <c r="C25" s="17" t="s">
        <v>343</v>
      </c>
      <c r="D25" s="19" t="s">
        <v>344</v>
      </c>
      <c r="E25" s="17" t="s">
        <v>345</v>
      </c>
    </row>
    <row r="26" ht="36" customHeight="1" spans="1:5">
      <c r="A26" s="15" t="s">
        <v>346</v>
      </c>
      <c r="B26" s="16" t="s">
        <v>347</v>
      </c>
      <c r="C26" s="17" t="s">
        <v>348</v>
      </c>
      <c r="D26" s="19" t="s">
        <v>344</v>
      </c>
      <c r="E26" s="17" t="s">
        <v>349</v>
      </c>
    </row>
    <row r="27" ht="36" customHeight="1" spans="1:5">
      <c r="A27" s="15" t="s">
        <v>350</v>
      </c>
      <c r="B27" s="16" t="s">
        <v>351</v>
      </c>
      <c r="C27" s="17" t="s">
        <v>352</v>
      </c>
      <c r="D27" s="19" t="s">
        <v>344</v>
      </c>
      <c r="E27" s="17" t="s">
        <v>353</v>
      </c>
    </row>
    <row r="29" ht="30" customHeight="1" spans="1:5">
      <c r="A29" s="20" t="s">
        <v>354</v>
      </c>
      <c r="B29" s="9"/>
      <c r="C29" s="9"/>
      <c r="D29" s="9"/>
      <c r="E29" s="10"/>
    </row>
  </sheetData>
  <mergeCells count="6">
    <mergeCell ref="A1:H1"/>
    <mergeCell ref="A3:H3"/>
    <mergeCell ref="A9:H9"/>
    <mergeCell ref="A16:H16"/>
    <mergeCell ref="A21:H21"/>
    <mergeCell ref="A29:E29"/>
  </mergeCells>
  <conditionalFormatting sqref="B11:H14">
    <cfRule type="colorScale" priority="1">
      <colorScale>
        <cfvo type="num" val="4500"/>
        <cfvo type="num" val="6500"/>
        <cfvo type="num" val="8500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T14"/>
  <sheetViews>
    <sheetView showGridLines="0" workbookViewId="0">
      <selection activeCell="C11" sqref="C11:D11"/>
    </sheetView>
  </sheetViews>
  <sheetFormatPr defaultColWidth="9" defaultRowHeight="14"/>
  <cols>
    <col min="1" max="1" width="28" customWidth="1"/>
    <col min="2" max="21" width="9.5" customWidth="1"/>
  </cols>
  <sheetData>
    <row r="1" spans="1:1">
      <c r="A1" s="1" t="s">
        <v>355</v>
      </c>
    </row>
    <row r="3" spans="1:20">
      <c r="A3" s="2" t="s">
        <v>2</v>
      </c>
      <c r="B3" s="3" t="s">
        <v>356</v>
      </c>
      <c r="C3" s="3" t="s">
        <v>357</v>
      </c>
      <c r="D3" s="3" t="s">
        <v>358</v>
      </c>
      <c r="E3" s="3" t="s">
        <v>359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204</v>
      </c>
      <c r="S3" s="3" t="s">
        <v>16</v>
      </c>
      <c r="T3" s="3" t="s">
        <v>17</v>
      </c>
    </row>
    <row r="4" spans="1:20">
      <c r="A4" s="4" t="s">
        <v>360</v>
      </c>
      <c r="B4" s="5">
        <v>859</v>
      </c>
      <c r="C4" s="5">
        <v>924</v>
      </c>
      <c r="D4" s="5">
        <v>1018</v>
      </c>
      <c r="E4" s="5">
        <v>1054</v>
      </c>
      <c r="F4" s="5">
        <v>1120</v>
      </c>
      <c r="G4" s="5">
        <v>1144</v>
      </c>
      <c r="H4" s="5">
        <v>1129</v>
      </c>
      <c r="I4" s="5">
        <v>1129</v>
      </c>
      <c r="J4" s="5">
        <v>1190</v>
      </c>
      <c r="K4" s="5">
        <v>1307</v>
      </c>
      <c r="L4" s="5">
        <v>1356</v>
      </c>
      <c r="M4" s="5">
        <v>1326</v>
      </c>
      <c r="N4" s="5">
        <v>1510</v>
      </c>
      <c r="O4" s="5">
        <v>1704</v>
      </c>
      <c r="P4" s="5">
        <v>1785</v>
      </c>
      <c r="Q4" s="5">
        <v>1864</v>
      </c>
      <c r="R4" s="5">
        <v>1947</v>
      </c>
      <c r="S4" s="5">
        <v>2180</v>
      </c>
      <c r="T4" s="5">
        <v>2339</v>
      </c>
    </row>
    <row r="5" spans="1:20">
      <c r="A5" s="4" t="s">
        <v>361</v>
      </c>
      <c r="B5" s="6">
        <v>33.1</v>
      </c>
      <c r="C5" s="6">
        <v>33.6</v>
      </c>
      <c r="D5" s="6">
        <v>32.6</v>
      </c>
      <c r="E5" s="6">
        <v>33.5</v>
      </c>
      <c r="F5" s="6">
        <v>33.6</v>
      </c>
      <c r="G5" s="6">
        <v>34.4</v>
      </c>
      <c r="H5" s="6">
        <v>34.9</v>
      </c>
      <c r="I5" s="6">
        <v>34.4</v>
      </c>
      <c r="J5" s="6">
        <v>35.2</v>
      </c>
      <c r="K5" s="6">
        <v>34.9</v>
      </c>
      <c r="L5" s="6">
        <v>35</v>
      </c>
      <c r="M5" s="6">
        <v>34</v>
      </c>
      <c r="N5" s="6">
        <v>35.5</v>
      </c>
      <c r="O5" s="6">
        <v>34.7</v>
      </c>
      <c r="P5" s="6">
        <v>33.6</v>
      </c>
      <c r="Q5" s="6">
        <v>33.8</v>
      </c>
      <c r="R5" s="6">
        <v>34.6</v>
      </c>
      <c r="S5" s="6">
        <v>38.6</v>
      </c>
      <c r="T5" s="6">
        <v>40.1</v>
      </c>
    </row>
    <row r="6" spans="1:20">
      <c r="A6" s="4" t="s">
        <v>362</v>
      </c>
      <c r="B6" s="6">
        <v>75.7</v>
      </c>
      <c r="C6" s="5">
        <v>116</v>
      </c>
      <c r="D6" s="5">
        <v>137</v>
      </c>
      <c r="E6" s="5">
        <v>136</v>
      </c>
      <c r="F6" s="5">
        <v>142</v>
      </c>
      <c r="G6" s="5">
        <v>160</v>
      </c>
      <c r="H6" s="5">
        <v>139</v>
      </c>
      <c r="I6" s="5">
        <v>139</v>
      </c>
      <c r="J6" s="5">
        <v>160</v>
      </c>
      <c r="K6" s="5">
        <v>179</v>
      </c>
      <c r="L6" s="5">
        <v>182</v>
      </c>
      <c r="M6" s="5">
        <v>146</v>
      </c>
      <c r="N6" s="5">
        <v>228</v>
      </c>
      <c r="O6" s="5">
        <v>251</v>
      </c>
      <c r="P6" s="5">
        <v>248</v>
      </c>
      <c r="Q6" s="5">
        <v>270</v>
      </c>
      <c r="R6" s="5">
        <v>303</v>
      </c>
      <c r="S6" s="5">
        <v>426</v>
      </c>
      <c r="T6" s="5">
        <v>495</v>
      </c>
    </row>
    <row r="7" spans="1:20">
      <c r="A7" s="4" t="s">
        <v>363</v>
      </c>
      <c r="B7" s="6">
        <v>8.7</v>
      </c>
      <c r="C7" s="6">
        <v>12.5</v>
      </c>
      <c r="D7" s="6">
        <v>13.3</v>
      </c>
      <c r="E7" s="6">
        <v>12.8</v>
      </c>
      <c r="F7" s="6">
        <v>12.6</v>
      </c>
      <c r="G7" s="6">
        <v>13.8</v>
      </c>
      <c r="H7" s="6">
        <v>12.2</v>
      </c>
      <c r="I7" s="6">
        <v>12.3</v>
      </c>
      <c r="J7" s="6">
        <v>13.3</v>
      </c>
      <c r="K7" s="6">
        <v>13.4</v>
      </c>
      <c r="L7" s="6">
        <v>13</v>
      </c>
      <c r="M7" s="6">
        <v>10.7</v>
      </c>
      <c r="N7" s="6">
        <v>14.9</v>
      </c>
      <c r="O7" s="6">
        <v>14.6</v>
      </c>
      <c r="P7" s="6">
        <v>13.5</v>
      </c>
      <c r="Q7" s="6">
        <v>13.9</v>
      </c>
      <c r="R7" s="6">
        <v>15</v>
      </c>
      <c r="S7" s="6">
        <v>19.5</v>
      </c>
      <c r="T7" s="6">
        <v>21.1</v>
      </c>
    </row>
    <row r="8" spans="1:20">
      <c r="A8" s="4" t="s">
        <v>364</v>
      </c>
      <c r="B8" s="5">
        <v>136</v>
      </c>
      <c r="C8" s="5">
        <v>166</v>
      </c>
      <c r="D8" s="5">
        <v>187</v>
      </c>
      <c r="E8" s="5">
        <v>188</v>
      </c>
      <c r="F8" s="5">
        <v>198</v>
      </c>
      <c r="G8" s="5">
        <v>219</v>
      </c>
      <c r="H8" s="5">
        <v>199</v>
      </c>
      <c r="I8" s="5">
        <v>200</v>
      </c>
      <c r="J8" s="5">
        <v>229</v>
      </c>
      <c r="K8" s="5">
        <v>255</v>
      </c>
      <c r="L8" s="5">
        <v>270</v>
      </c>
      <c r="M8" s="5">
        <v>238</v>
      </c>
      <c r="N8" s="5">
        <v>310</v>
      </c>
      <c r="O8" s="5">
        <v>341</v>
      </c>
      <c r="P8" s="5">
        <v>357</v>
      </c>
      <c r="Q8" s="5">
        <v>393</v>
      </c>
      <c r="R8" s="5">
        <v>425</v>
      </c>
      <c r="S8" s="5">
        <v>520</v>
      </c>
      <c r="T8" s="5">
        <v>601</v>
      </c>
    </row>
    <row r="9" spans="1:20">
      <c r="A9" s="4" t="s">
        <v>365</v>
      </c>
      <c r="B9" s="6">
        <v>57.6</v>
      </c>
      <c r="C9" s="6">
        <v>83.9</v>
      </c>
      <c r="D9" s="6">
        <v>99.6</v>
      </c>
      <c r="E9" s="5">
        <v>104</v>
      </c>
      <c r="F9" s="5">
        <v>112</v>
      </c>
      <c r="G9" s="5">
        <v>123</v>
      </c>
      <c r="H9" s="5">
        <v>120</v>
      </c>
      <c r="I9" s="5">
        <v>121</v>
      </c>
      <c r="J9" s="5">
        <v>129</v>
      </c>
      <c r="K9" s="5">
        <v>160</v>
      </c>
      <c r="L9" s="5">
        <v>165</v>
      </c>
      <c r="M9" s="5">
        <v>142</v>
      </c>
      <c r="N9" s="5">
        <v>200</v>
      </c>
      <c r="O9" s="5">
        <v>224</v>
      </c>
      <c r="P9" s="5">
        <v>222</v>
      </c>
      <c r="Q9" s="5">
        <v>239</v>
      </c>
      <c r="R9" s="5">
        <v>269</v>
      </c>
      <c r="S9" s="5">
        <v>337</v>
      </c>
      <c r="T9" s="5">
        <v>386</v>
      </c>
    </row>
    <row r="11" spans="1:20">
      <c r="A11" s="4" t="s">
        <v>366</v>
      </c>
      <c r="C11" s="7">
        <f t="shared" ref="C11:T11" si="0">IFERROR(C9/B9-1,NA())</f>
        <v>0.456597222222222</v>
      </c>
      <c r="D11" s="7">
        <f t="shared" si="0"/>
        <v>0.187127532777115</v>
      </c>
      <c r="E11" s="7">
        <f t="shared" si="0"/>
        <v>0.0441767068273093</v>
      </c>
      <c r="F11" s="7">
        <f t="shared" si="0"/>
        <v>0.0769230769230769</v>
      </c>
      <c r="G11" s="7">
        <f t="shared" si="0"/>
        <v>0.0982142857142858</v>
      </c>
      <c r="H11" s="7">
        <f t="shared" si="0"/>
        <v>-0.024390243902439</v>
      </c>
      <c r="I11" s="7">
        <f t="shared" si="0"/>
        <v>0.0083333333333333</v>
      </c>
      <c r="J11" s="7">
        <f t="shared" si="0"/>
        <v>0.0661157024793388</v>
      </c>
      <c r="K11" s="7">
        <f t="shared" si="0"/>
        <v>0.24031007751938</v>
      </c>
      <c r="L11" s="7">
        <f t="shared" si="0"/>
        <v>0.03125</v>
      </c>
      <c r="M11" s="7">
        <f t="shared" si="0"/>
        <v>-0.139393939393939</v>
      </c>
      <c r="N11" s="7">
        <f t="shared" si="0"/>
        <v>0.408450704225352</v>
      </c>
      <c r="O11" s="7">
        <f t="shared" si="0"/>
        <v>0.12</v>
      </c>
      <c r="P11" s="7">
        <f t="shared" si="0"/>
        <v>-0.0089285714285714</v>
      </c>
      <c r="Q11" s="7">
        <f t="shared" si="0"/>
        <v>0.0765765765765767</v>
      </c>
      <c r="R11" s="7">
        <f t="shared" si="0"/>
        <v>0.125523012552301</v>
      </c>
      <c r="S11" s="7">
        <f t="shared" si="0"/>
        <v>0.252788104089219</v>
      </c>
      <c r="T11" s="7">
        <f t="shared" si="0"/>
        <v>0.14540059347181</v>
      </c>
    </row>
    <row r="12" spans="1:20">
      <c r="A12" s="4" t="s">
        <v>367</v>
      </c>
      <c r="C12" s="7">
        <f t="shared" ref="C12:T12" si="1">IFERROR(C4/B4-1,NA())</f>
        <v>0.0756693830034925</v>
      </c>
      <c r="D12" s="7">
        <f t="shared" si="1"/>
        <v>0.101731601731602</v>
      </c>
      <c r="E12" s="7">
        <f t="shared" si="1"/>
        <v>0.0353634577603144</v>
      </c>
      <c r="F12" s="7">
        <f t="shared" si="1"/>
        <v>0.0626185958254268</v>
      </c>
      <c r="G12" s="7">
        <f t="shared" si="1"/>
        <v>0.0214285714285714</v>
      </c>
      <c r="H12" s="7">
        <f t="shared" si="1"/>
        <v>-0.0131118881118881</v>
      </c>
      <c r="I12" s="7">
        <f t="shared" si="1"/>
        <v>0</v>
      </c>
      <c r="J12" s="7">
        <f t="shared" si="1"/>
        <v>0.0540301151461471</v>
      </c>
      <c r="K12" s="7">
        <f t="shared" si="1"/>
        <v>0.0983193277310925</v>
      </c>
      <c r="L12" s="7">
        <f t="shared" si="1"/>
        <v>0.0374904361132364</v>
      </c>
      <c r="M12" s="7">
        <f t="shared" si="1"/>
        <v>-0.0221238938053098</v>
      </c>
      <c r="N12" s="7">
        <f t="shared" si="1"/>
        <v>0.138763197586727</v>
      </c>
      <c r="O12" s="7">
        <f t="shared" si="1"/>
        <v>0.128476821192053</v>
      </c>
      <c r="P12" s="7">
        <f t="shared" si="1"/>
        <v>0.0475352112676057</v>
      </c>
      <c r="Q12" s="7">
        <f t="shared" si="1"/>
        <v>0.0442577030812326</v>
      </c>
      <c r="R12" s="7">
        <f t="shared" si="1"/>
        <v>0.0445278969957081</v>
      </c>
      <c r="S12" s="7">
        <f t="shared" si="1"/>
        <v>0.119671289162815</v>
      </c>
      <c r="T12" s="7">
        <f t="shared" si="1"/>
        <v>0.0729357798165138</v>
      </c>
    </row>
    <row r="14" ht="36" customHeight="1" spans="1:20">
      <c r="A14" s="8" t="s">
        <v>368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</sheetData>
  <mergeCells count="2">
    <mergeCell ref="A1:T1"/>
    <mergeCell ref="A14:T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0. Database</vt:lpstr>
      <vt:lpstr>1. Summary</vt:lpstr>
      <vt:lpstr>2. Revenue &amp; Growth</vt:lpstr>
      <vt:lpstr>3. Capex &amp; D&amp;A</vt:lpstr>
      <vt:lpstr>4. FCF &amp; Cash</vt:lpstr>
      <vt:lpstr>5. EPS &amp; Margins</vt:lpstr>
      <vt:lpstr>6. Depreciation Sensitivity</vt:lpstr>
      <vt:lpstr>7. SP500 AI EPS Split</vt:lpstr>
      <vt:lpstr>8. Charts</vt:lpstr>
      <vt:lpstr>9. Bubble &amp; Valuation</vt:lpstr>
      <vt:lpstr>10. Bloomberg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17</cp:revision>
  <dcterms:created xsi:type="dcterms:W3CDTF">2026-05-06T05:12:00Z</dcterms:created>
  <dcterms:modified xsi:type="dcterms:W3CDTF">2026-05-21T09:39:37Z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</Properties>
</file>
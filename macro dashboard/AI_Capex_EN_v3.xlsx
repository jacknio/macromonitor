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firstSheet="1" activeTab="6"/>
  </bookViews>
  <sheets>
    <sheet name="0. Database" sheetId="1" r:id="rId1"/>
    <sheet name="1. Summary" sheetId="2" r:id="rId2"/>
    <sheet name="2. Revenue" sheetId="3" r:id="rId3"/>
    <sheet name="3. Capex &amp; D&amp;A" sheetId="4" r:id="rId4"/>
    <sheet name="4. FCF &amp; Cash" sheetId="5" r:id="rId5"/>
    <sheet name="5. EPS &amp; Margins" sheetId="6" r:id="rId6"/>
    <sheet name="6. Depreciation Sensitivity" sheetId="7" r:id="rId7"/>
    <sheet name="7. SP500 AI EPS Split" sheetId="8" r:id="rId8"/>
    <sheet name="8. Char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<sst xmlns="http://schemas.openxmlformats.org/spreadsheetml/2006/main" count="1333" uniqueCount="264">
  <si>
    <t>Centralized Database (USD mm except EPS/shares) — Blue = input</t>
  </si>
  <si>
    <t>Ticker</t>
  </si>
  <si>
    <t>Metric</t>
  </si>
  <si>
    <t>2013A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</si>
  <si>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</si>
  <si>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</si>
  <si>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</si>
  <si>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</si>
  <si>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</si>
  <si>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</si>
  <si>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</si>
  <si>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</si>
  <si>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</si>
  <si>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</si>
  <si>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</si>
  <si>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</si>
  <si>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</si>
  <si>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</si>
  <si>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</si>
  <si>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</si>
  <si>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2030E</t>
  </si>
  <si>
    <t>MSFT (FY(Jun))</t>
  </si>
  <si>
    <t>MSFT</t>
  </si>
  <si>
    <t>Revenue</t>
  </si>
  <si>
    <t>Operating Income</t>
  </si>
  <si>
    <t>Net Income</t>
  </si>
  <si>
    <t>EPS</t>
  </si>
  <si>
    <t>Diluted Shares (mm)</t>
  </si>
  <si>
    <t>SBC</t>
  </si>
  <si>
    <t>D&amp;A</t>
  </si>
  <si>
    <t>Capex</t>
  </si>
  <si>
    <t>CFO</t>
  </si>
  <si>
    <t>FCF</t>
  </si>
  <si>
    <t>Buybacks</t>
  </si>
  <si>
    <t>Intell Cloud</t>
  </si>
  <si>
    <t>PP&amp;E Net</t>
  </si>
  <si>
    <t>Useful Life(yr)</t>
  </si>
  <si>
    <t>AMZN (CY)</t>
  </si>
  <si>
    <t>AMZN</t>
  </si>
  <si>
    <t>AWS Rev</t>
  </si>
  <si>
    <t>AWS OI</t>
  </si>
  <si>
    <t>GOOGL (CY)</t>
  </si>
  <si>
    <t>GOOGL</t>
  </si>
  <si>
    <t>Cloud Rev</t>
  </si>
  <si>
    <t>Search Rev</t>
  </si>
  <si>
    <t>YouTube Rev</t>
  </si>
  <si>
    <t>GCloud OI</t>
  </si>
  <si>
    <t>META (CY)</t>
  </si>
  <si>
    <t>META</t>
  </si>
  <si>
    <t>Ad Rev(META)</t>
  </si>
  <si>
    <t>FOA Rev</t>
  </si>
  <si>
    <t>FOA OI</t>
  </si>
  <si>
    <t>RL Rev</t>
  </si>
  <si>
    <t>RL OI</t>
  </si>
  <si>
    <t>ORCL (FY(May))</t>
  </si>
  <si>
    <t>ORCL</t>
  </si>
  <si>
    <t>Cloud Total(ORCL)</t>
  </si>
  <si>
    <t>IaaS Rev</t>
  </si>
  <si>
    <t>SaaS Rev</t>
  </si>
  <si>
    <t>RPO</t>
  </si>
  <si>
    <t>OpInc(Adj)</t>
  </si>
  <si>
    <t>EPS(Adj)</t>
  </si>
  <si>
    <t>AI Capex Cycle: Hyperscaler Deep-Dive (2013-2030)</t>
  </si>
  <si>
    <t>MSFT | AMZN | GOOGL | META | ORCL + S&amp;P 500 AI EPS Decomposition</t>
  </si>
  <si>
    <t>SHEETS</t>
  </si>
  <si>
    <t>0. Database — 2013-2030 centralized data. Blue=input. All other sheets reference this.</t>
  </si>
  <si>
    <t>1. Summary — This page</t>
  </si>
  <si>
    <t>2. Revenue — Total rev, YoY%, Cloud/AI proxy. Derived metrics reference SAME sheet cells (black font).</t>
  </si>
  <si>
    <t>3. Capex &amp; D&amp;A — Capex, Capex/Rev, D&amp;A, D&amp;A/Rev. Local formulas reference raw data on same sheet.</t>
  </si>
  <si>
    <t>4. FCF &amp; Cash — CFO, FCF margin, FCF/NI, Capex/CFO. All ratios use same-sheet references.</t>
  </si>
  <si>
    <t>5. EPS &amp; Margins — OpMargin, Net Margin, EPS YoY. Same-sheet referencing pattern.</t>
  </si>
  <si>
    <t>6. Burry Sensitivity — GPU life compression on 2026E EPS. Editable tax rate assumptions.</t>
  </si>
  <si>
    <t>7. S&amp;P 500 AI EPS Split — AI vs Non-AI EPS decomposition + dual P/E valuation + 4 stress scenarios.</t>
  </si>
  <si>
    <t>8. Charts — 6 visualizations (Capex/Rev, FCF Margin, Capex absolute, Rev YoY, OpMargin, D&amp;A/Rev).</t>
  </si>
  <si>
    <t>Revenue &amp; AI/Cloud Detail (2013-2030E)</t>
  </si>
  <si>
    <t>A. Total Revenue ($mm)</t>
  </si>
  <si>
    <t>Company</t>
  </si>
  <si>
    <t>C. Cloud / AI Proxy Revenue ($mm)</t>
  </si>
  <si>
    <t>MSFT — Azure</t>
  </si>
  <si>
    <t>AMZN — AWS</t>
  </si>
  <si>
    <t>GOOGL — Cloud</t>
  </si>
  <si>
    <t>META — Advertising</t>
  </si>
  <si>
    <t>ORCL — Cloud Total</t>
  </si>
  <si>
    <t>B. Revenue YoY %</t>
  </si>
  <si>
    <t>Capex &amp; Depreciation (2013-2030E)</t>
  </si>
  <si>
    <t>A. Capex ($mm)</t>
  </si>
  <si>
    <t>D. D&amp;A ($mm)</t>
  </si>
  <si>
    <t>(Revenue — for ratios)</t>
  </si>
  <si>
    <t>B. Capex YoY %</t>
  </si>
  <si>
    <t>C. Capex / Revenue %</t>
  </si>
  <si>
    <t>E. D&amp;A / Revenue %</t>
  </si>
  <si>
    <t>F. D&amp;A YoY %</t>
  </si>
  <si>
    <t>FCF &amp; Cash Quality (2013-2030E)</t>
  </si>
  <si>
    <t>A. CFO ($mm)</t>
  </si>
  <si>
    <t>B. FCF ($mm)</t>
  </si>
  <si>
    <t>E. Buybacks ($mm)</t>
  </si>
  <si>
    <t>(Revenue)</t>
  </si>
  <si>
    <t>(NI)</t>
  </si>
  <si>
    <t>(Capex)</t>
  </si>
  <si>
    <t>C. FCF Margin %</t>
  </si>
  <si>
    <t>D. FCF / Net Income %</t>
  </si>
  <si>
    <t>F. Capex / CFO %</t>
  </si>
  <si>
    <t>EPS, OpMargin &amp; Profitability (2013-2030E)</t>
  </si>
  <si>
    <t>A. Operating Income ($mm)</t>
  </si>
  <si>
    <t>C. Net Income ($mm)</t>
  </si>
  <si>
    <t>E. EPS ($)</t>
  </si>
  <si>
    <t>G. Diluted Shares (mm)</t>
  </si>
  <si>
    <t>H. SBC ($mm)</t>
  </si>
  <si>
    <t>B. Operating Margin %</t>
  </si>
  <si>
    <t>D. Net Margin %</t>
  </si>
  <si>
    <t>F. EPS YoY %</t>
  </si>
  <si>
    <t>Depreciation Sensitivity: Useful Life × Method → D&amp;A &amp; EPS Impact</t>
  </si>
  <si>
    <t>A. Current Depreciation Assumptions (2026E)</t>
  </si>
  <si>
    <t>2026E D&amp;A
($mm)</t>
  </si>
  <si>
    <t>2026E NI
($mm)</t>
  </si>
  <si>
    <t>2026E EPS
($)</t>
  </si>
  <si>
    <t>Shares
(mm)</t>
  </si>
  <si>
    <t>Tax Rate
(editable)</t>
  </si>
  <si>
    <t>Current Wtd
Avg Life (yr)</t>
  </si>
  <si>
    <t>Depreciable
Base ($mm)</t>
  </si>
  <si>
    <t>D&amp;A Check
= Base/Life</t>
  </si>
  <si>
    <t>B. Straight-Line: If Useful Life = X Years → D&amp;A &amp; EPS Impact</t>
  </si>
  <si>
    <t>Formula: New D&amp;A = Depreciable Base / New Life.  ΔD&amp;A after-tax hits NI.  New EPS = (NI - ΔD&amp;A × (1-tax)) / Shares.</t>
  </si>
  <si>
    <t>Useful Life = 6 Years (Straight-Line)</t>
  </si>
  <si>
    <t>New D&amp;A
($mm)</t>
  </si>
  <si>
    <t>Δ D&amp;A
($mm)</t>
  </si>
  <si>
    <t>Δ After-tax
($mm)</t>
  </si>
  <si>
    <t>Adj NI
($mm)</t>
  </si>
  <si>
    <t>Adj EPS
($)</t>
  </si>
  <si>
    <t>EPS Δ%
vs Current</t>
  </si>
  <si>
    <t>Useful Life = 5 Years (Straight-Line)</t>
  </si>
  <si>
    <t>Useful Life = 4 Years (Straight-Line)</t>
  </si>
  <si>
    <t>Useful Life = 3 Years (Straight-Line)</t>
  </si>
  <si>
    <t>Useful Life = 2 Years (Straight-Line)</t>
  </si>
  <si>
    <t>C. Accelerated Depreciation (Double-Declining Balance) vs Straight-Line</t>
  </si>
  <si>
    <t>DDB rate = 2/life. For a growing capex portfolio, DDB front-loads depreciation heavily on newest (largest) purchases. Modeled as: DDB D&amp;A ≈ Base × (2/life) for current-year impact.</t>
  </si>
  <si>
    <t>DDB with 6-Year Life  (DDB rate = 33%/yr)</t>
  </si>
  <si>
    <t>SL D&amp;A
= Base/6</t>
  </si>
  <si>
    <t>DDB D&amp;A
= Base×33%</t>
  </si>
  <si>
    <t>DDB vs SL
Δ ($mm)</t>
  </si>
  <si>
    <t>DDB Δ
After-tax</t>
  </si>
  <si>
    <t>DDB Adj
EPS ($)</t>
  </si>
  <si>
    <t>DDB EPS
Δ% vs Current</t>
  </si>
  <si>
    <t>SL EPS
Δ% (ref)</t>
  </si>
  <si>
    <t>DDB with 5-Year Life  (DDB rate = 40%/yr)</t>
  </si>
  <si>
    <t>SL D&amp;A
= Base/5</t>
  </si>
  <si>
    <t>DDB D&amp;A
= Base×40%</t>
  </si>
  <si>
    <t>DDB with 4-Year Life  (DDB rate = 50%/yr)</t>
  </si>
  <si>
    <t>SL D&amp;A
= Base/4</t>
  </si>
  <si>
    <t>DDB D&amp;A
= Base×50%</t>
  </si>
  <si>
    <t>DDB with 3-Year Life  (DDB rate = 67%/yr)</t>
  </si>
  <si>
    <t>SL D&amp;A
= Base/3</t>
  </si>
  <si>
    <t>DDB D&amp;A
= Base×67%</t>
  </si>
  <si>
    <t>D. Summary: EPS Impact (%) Under Each Scenario</t>
  </si>
  <si>
    <t>Negative = EPS overstated under current policy. Read: 'If true life = X, 2026E EPS would be Y% lower.'</t>
  </si>
  <si>
    <t>Curr Life</t>
  </si>
  <si>
    <t>SL 6yr</t>
  </si>
  <si>
    <t>SL 5yr</t>
  </si>
  <si>
    <t>SL 4yr</t>
  </si>
  <si>
    <t>SL 3yr</t>
  </si>
  <si>
    <t>SL 2yr</t>
  </si>
  <si>
    <t>DDB 6yr</t>
  </si>
  <si>
    <t>DDB 5yr</t>
  </si>
  <si>
    <t>DDB 4yr</t>
  </si>
  <si>
    <t>DDB 3yr</t>
  </si>
  <si>
    <t>S&amp;P 500 EPS Decomposition: AI vs Non-AI + Valuation Framework</t>
  </si>
  <si>
    <t>A. S&amp;P 500 EPS Decomposition (Historical + Estimates)</t>
  </si>
  <si>
    <t>2025A</t>
  </si>
  <si>
    <t>S&amp;P 500 Total EPS ($)</t>
  </si>
  <si>
    <t>AI-Driven EPS ($) — assumption</t>
  </si>
  <si>
    <t>Non-AI EPS ($) = Total - AI</t>
  </si>
  <si>
    <t>AI % of Total EPS</t>
  </si>
  <si>
    <t>AI EPS YoY %</t>
  </si>
  <si>
    <t>Non-AI EPS YoY %</t>
  </si>
  <si>
    <t>B. Dual P/E Valuation — Different Multiples for AI vs Non-AI EPS</t>
  </si>
  <si>
    <t>Yellow cells = editable assumptions. Change P/E multiples to see impact on implied S&amp;P 500 level.</t>
  </si>
  <si>
    <t>Non-AI P/E Multiple (editable)</t>
  </si>
  <si>
    <t>(historical avg ~18-20x for broad market ex-tech)</t>
  </si>
  <si>
    <t>AI P/E Multiple (editable)</t>
  </si>
  <si>
    <t>(NVDA trades ~30-40x fwd; AI infra basket ~35x)</t>
  </si>
  <si>
    <t>Non-AI Value Component</t>
  </si>
  <si>
    <t>AI Value Component</t>
  </si>
  <si>
    <t>Implied S&amp;P 500 Level</t>
  </si>
  <si>
    <t>Blended P/E (implied)</t>
  </si>
  <si>
    <t>C. Stress Test Scenarios — What if AI Capex Slows / Collapses?</t>
  </si>
  <si>
    <t>Scenario: Base Case</t>
  </si>
  <si>
    <t>Current consensus. AI EPS keeps growing as capex sustains.</t>
  </si>
  <si>
    <t>AI EPS ($)</t>
  </si>
  <si>
    <t>Non-AI EPS ($)</t>
  </si>
  <si>
    <t>Implied S&amp;P 500 (AI PE=35x, Other=18x)</t>
  </si>
  <si>
    <t>Scenario: Slowdown (-30% AI EPS)</t>
  </si>
  <si>
    <t>AI capex growth decelerates 2027+. Nvidia/Broadcom revenue stalls. AI P/E compresses.</t>
  </si>
  <si>
    <t>Implied S&amp;P 500 (AI PE=25x, Other=18x)</t>
  </si>
  <si>
    <t>Δ vs Base Case</t>
  </si>
  <si>
    <t>Scenario: Collapse (-60% AI EPS)</t>
  </si>
  <si>
    <t>Customer crack (OpenAI/Anthropic). Capex cut 40%. Massive write-downs. AI P/E crashes.</t>
  </si>
  <si>
    <t>Implied S&amp;P 500 (AI PE=15x, Other=18x)</t>
  </si>
  <si>
    <t>Scenario: Bubble Pop (no AI premium)</t>
  </si>
  <si>
    <t>AI EPS holds but market stops paying a premium. AI P/E = Non-AI P/E.</t>
  </si>
  <si>
    <t>Implied S&amp;P 500 (AI PE=18x, Other=18x)</t>
  </si>
  <si>
    <t>D. AI EPS Bridge — Where Does $55 of AI EPS Come From? (2026E Estimate)</t>
  </si>
  <si>
    <t>Source</t>
  </si>
  <si>
    <t>Revenue / NI Basis</t>
  </si>
  <si>
    <t>Est. S&amp;P 500 EPS ($)</t>
  </si>
  <si>
    <t>Nvidia (GPU/accelerator)</t>
  </si>
  <si>
    <t>$140-165B NI → ~$28-33 of S&amp;P EPS</t>
  </si>
  <si>
    <t>$30</t>
  </si>
  <si>
    <t>Broadcom (custom AI + networking)</t>
  </si>
  <si>
    <t>$18-20B NI</t>
  </si>
  <si>
    <t>$4</t>
  </si>
  <si>
    <t>Micron (HBM memory)</t>
  </si>
  <si>
    <t>$8-10B NI</t>
  </si>
  <si>
    <t>$2</t>
  </si>
  <si>
    <t>AMD (MI300/400 series)</t>
  </si>
  <si>
    <t>$5-7B AI-attributable NI</t>
  </si>
  <si>
    <t>$1</t>
  </si>
  <si>
    <t>TSMC (foundry — NOT in S&amp;P, but via ADR)</t>
  </si>
  <si>
    <t>Not directly in S&amp;P 500</t>
  </si>
  <si>
    <t>$0</t>
  </si>
  <si>
    <t>Arista / Cisco (networking)</t>
  </si>
  <si>
    <t>$5-7B combined AI NI</t>
  </si>
  <si>
    <t>Vertiv / Eaton / power infra</t>
  </si>
  <si>
    <t>$2-3B NI</t>
  </si>
  <si>
    <t>$0.5</t>
  </si>
  <si>
    <t>Construction / utilities / other</t>
  </si>
  <si>
    <t>$7-10B NI</t>
  </si>
  <si>
    <t>$1.5</t>
  </si>
  <si>
    <t>Hyperscaler AI-specific revenue margin</t>
  </si>
  <si>
    <t>$30-40B incremental NI from AI cloud rev</t>
  </si>
  <si>
    <t>$8</t>
  </si>
  <si>
    <t>AI software / SaaS (early)</t>
  </si>
  <si>
    <t>$3-5B NI</t>
  </si>
  <si>
    <t>Subtotal: direct AI EPS contribution</t>
  </si>
  <si>
    <t>~$49-52</t>
  </si>
  <si>
    <t>Multiplier / 2nd-order effects</t>
  </si>
  <si>
    <t>Capex flows → wages, suppliers, etc.</t>
  </si>
  <si>
    <t>~$3-6</t>
  </si>
  <si>
    <t>TOTAL AI-DRIVEN EPS (est.)</t>
  </si>
  <si>
    <t>~$55</t>
  </si>
  <si>
    <t>Visual Summary (2013-2030)</t>
  </si>
  <si>
    <t>Capex/Rev %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</si>
  <si>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</si>
  <si>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</si>
  <si>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</si>
  <si>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</si>
  <si>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</si>
  <si>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</si>
  <si>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</si>
  <si>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</si>
  <si>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</si>
  <si>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</si>
  <si>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</si>
  <si>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</si>
  <si>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</si>
  <si>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</si>
  <si>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</si>
  <si>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</si>
  <si>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</si>
  <si>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</si>
  <si>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FCF Margin %</t>
  </si>
  <si>
    <t>Capex ($mm)</t>
  </si>
  <si>
    <t>Rev YoY %</t>
  </si>
  <si>
    <t>OpMargin %</t>
  </si>
  <si>
    <t>D&amp;A/Rev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</si>
</sst>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$#,##0"/>
    <numFmt numFmtId="178" formatCode="0.0%;\(0.0%\);\-"/>
    <numFmt numFmtId="179" formatCode="0.0\x"/>
    <numFmt numFmtId="180" formatCode="\$0.00"/>
    <numFmt numFmtId="181" formatCode="0.0"/>
    <numFmt numFmtId="182" formatCode="#,##0;\(#,##0\);\-"/>
    <numFmt numFmtId="183" formatCode="\$0.00;&quot;($&quot;0.00\);\-"/>
    <numFmt numFmtId="184" formatCode="0%;\(0%\);\-"/>
    <numFmt numFmtId="185" formatCode="\$#,##0.00;&quot;($&quot;#,##0.00\);\-"/>
  </numFmts>
  <fonts count="47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8"/>
      <color rgb="FFFFFFFF"/>
      <name val="Arial"/>
      <charset val="1"/>
    </font>
    <font>
      <b/>
      <sz val="7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9"/>
      <color rgb="FF595959"/>
      <name val="Arial"/>
      <charset val="1"/>
    </font>
    <font>
      <i/>
      <sz val="8"/>
      <color rgb="FF595959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9"/>
      <color rgb="FFC00000"/>
      <name val="Arial"/>
      <charset val="1"/>
    </font>
    <font>
      <sz val="8"/>
      <color rgb="FF595959"/>
      <name val="Arial"/>
      <charset val="1"/>
    </font>
    <font>
      <sz val="9"/>
      <color rgb="FF008000"/>
      <name val="Arial"/>
      <charset val="1"/>
    </font>
    <font>
      <b/>
      <sz val="7"/>
      <color rgb="FFFFFFFF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1F3864"/>
      <name val="Arial"/>
      <charset val="1"/>
    </font>
    <font>
      <sz val="8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2F5496"/>
        <bgColor rgb="FF1F3864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E0BDBC"/>
      </patternFill>
    </fill>
    <fill>
      <patternFill patternType="solid">
        <fgColor rgb="FF0078D4"/>
        <bgColor rgb="FF0668E1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0078D4"/>
      </patternFill>
    </fill>
    <fill>
      <patternFill patternType="solid">
        <fgColor rgb="FF0668E1"/>
        <bgColor rgb="FF0078D4"/>
      </patternFill>
    </fill>
    <fill>
      <patternFill patternType="solid">
        <fgColor rgb="FFF80000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Border="0" applyAlignment="0" applyProtection="0"/>
    <xf numFmtId="44" fontId="26" fillId="0" borderId="0" applyBorder="0" applyAlignment="0" applyProtection="0"/>
    <xf numFmtId="9" fontId="26" fillId="0" borderId="0" applyBorder="0" applyAlignment="0" applyProtection="0"/>
    <xf numFmtId="41" fontId="26" fillId="0" borderId="0" applyBorder="0" applyAlignment="0" applyProtection="0"/>
    <xf numFmtId="42" fontId="26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5" borderId="6" applyNumberFormat="0" applyAlignment="0" applyProtection="0">
      <alignment vertical="center"/>
    </xf>
    <xf numFmtId="0" fontId="37" fillId="16" borderId="7" applyNumberFormat="0" applyAlignment="0" applyProtection="0">
      <alignment vertical="center"/>
    </xf>
    <xf numFmtId="0" fontId="38" fillId="16" borderId="6" applyNumberFormat="0" applyAlignment="0" applyProtection="0">
      <alignment vertical="center"/>
    </xf>
    <xf numFmtId="0" fontId="39" fillId="17" borderId="8" applyNumberFormat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/>
    <xf numFmtId="0" fontId="0" fillId="0" borderId="1" xfId="0" applyBorder="1" applyAlignment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/>
    <xf numFmtId="176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/>
    <xf numFmtId="177" fontId="8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/>
    <xf numFmtId="177" fontId="8" fillId="6" borderId="1" xfId="0" applyNumberFormat="1" applyFont="1" applyFill="1" applyBorder="1" applyAlignment="1">
      <alignment horizontal="right" vertical="center"/>
    </xf>
    <xf numFmtId="177" fontId="9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 wrapText="1"/>
    </xf>
    <xf numFmtId="179" fontId="8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/>
    <xf numFmtId="3" fontId="9" fillId="0" borderId="1" xfId="0" applyNumberFormat="1" applyFont="1" applyBorder="1" applyAlignment="1">
      <alignment horizontal="right" vertical="center"/>
    </xf>
    <xf numFmtId="0" fontId="12" fillId="7" borderId="1" xfId="0" applyFont="1" applyFill="1" applyBorder="1" applyAlignment="1"/>
    <xf numFmtId="3" fontId="13" fillId="7" borderId="1" xfId="0" applyNumberFormat="1" applyFont="1" applyFill="1" applyBorder="1" applyAlignment="1">
      <alignment horizontal="right" vertical="center"/>
    </xf>
    <xf numFmtId="179" fontId="9" fillId="0" borderId="1" xfId="0" applyNumberFormat="1" applyFont="1" applyBorder="1" applyAlignment="1">
      <alignment horizontal="right" vertical="center"/>
    </xf>
    <xf numFmtId="0" fontId="12" fillId="7" borderId="2" xfId="0" applyFont="1" applyFill="1" applyBorder="1" applyAlignment="1"/>
    <xf numFmtId="0" fontId="9" fillId="4" borderId="1" xfId="0" applyFont="1" applyFill="1" applyBorder="1" applyAlignment="1"/>
    <xf numFmtId="0" fontId="7" fillId="7" borderId="1" xfId="0" applyFont="1" applyFill="1" applyBorder="1" applyAlignment="1"/>
    <xf numFmtId="0" fontId="12" fillId="6" borderId="2" xfId="0" applyFont="1" applyFill="1" applyBorder="1" applyAlignment="1"/>
    <xf numFmtId="3" fontId="13" fillId="6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/>
    <xf numFmtId="178" fontId="14" fillId="0" borderId="1" xfId="0" applyNumberFormat="1" applyFont="1" applyBorder="1" applyAlignment="1">
      <alignment horizontal="right" vertical="center"/>
    </xf>
    <xf numFmtId="0" fontId="12" fillId="8" borderId="2" xfId="0" applyFont="1" applyFill="1" applyBorder="1" applyAlignment="1"/>
    <xf numFmtId="0" fontId="7" fillId="8" borderId="1" xfId="0" applyFont="1" applyFill="1" applyBorder="1" applyAlignment="1"/>
    <xf numFmtId="3" fontId="13" fillId="8" borderId="1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/>
    <xf numFmtId="3" fontId="13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right" vertical="center"/>
    </xf>
    <xf numFmtId="180" fontId="16" fillId="0" borderId="1" xfId="0" applyNumberFormat="1" applyFont="1" applyBorder="1" applyAlignment="1">
      <alignment horizontal="right" vertical="center"/>
    </xf>
    <xf numFmtId="176" fontId="8" fillId="6" borderId="1" xfId="0" applyNumberFormat="1" applyFont="1" applyFill="1" applyBorder="1" applyAlignment="1">
      <alignment horizontal="center" vertical="center" wrapText="1"/>
    </xf>
    <xf numFmtId="181" fontId="8" fillId="6" borderId="1" xfId="0" applyNumberFormat="1" applyFont="1" applyFill="1" applyBorder="1" applyAlignment="1">
      <alignment horizontal="center" vertical="center" wrapText="1"/>
    </xf>
    <xf numFmtId="0" fontId="12" fillId="7" borderId="2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right" vertical="center"/>
    </xf>
    <xf numFmtId="183" fontId="9" fillId="0" borderId="1" xfId="0" applyNumberFormat="1" applyFont="1" applyBorder="1" applyAlignment="1">
      <alignment horizontal="right" vertical="center"/>
    </xf>
    <xf numFmtId="0" fontId="12" fillId="6" borderId="2" xfId="0" applyFont="1" applyFill="1" applyBorder="1"/>
    <xf numFmtId="0" fontId="12" fillId="8" borderId="2" xfId="0" applyFont="1" applyFill="1" applyBorder="1"/>
    <xf numFmtId="0" fontId="10" fillId="0" borderId="0" xfId="0" applyFont="1" applyBorder="1" applyAlignment="1">
      <alignment horizontal="left" vertical="top" wrapText="1"/>
    </xf>
    <xf numFmtId="0" fontId="17" fillId="5" borderId="1" xfId="0" applyFont="1" applyFill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right" vertical="center"/>
    </xf>
    <xf numFmtId="181" fontId="9" fillId="0" borderId="1" xfId="0" applyNumberFormat="1" applyFont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82" fontId="16" fillId="0" borderId="1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84" fontId="9" fillId="0" borderId="1" xfId="0" applyNumberFormat="1" applyFon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0" fontId="19" fillId="2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8" fillId="9" borderId="0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right" vertical="center"/>
    </xf>
    <xf numFmtId="185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18" fillId="10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18" fillId="11" borderId="0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left" vertical="center" wrapText="1"/>
    </xf>
    <xf numFmtId="0" fontId="18" fillId="13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AB4744"/>
      <rgbColor rgb="00BE4B48"/>
      <rgbColor rgb="000078D4"/>
      <rgbColor rgb="00BFBFBF"/>
      <rgbColor rgb="00878787"/>
      <rgbColor rgb="009999FF"/>
      <rgbColor rgb="00923C3A"/>
      <rgbColor rgb="00F9F9F9"/>
      <rgbColor rgb="00F2F2F2"/>
      <rgbColor rgb="00660066"/>
      <rgbColor rgb="00D09493"/>
      <rgbColor rgb="000668E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E699"/>
      <rgbColor rgb="0099CCFF"/>
      <rgbColor rgb="00DCB7B6"/>
      <rgbColor rgb="00E0BDBC"/>
      <rgbColor rgb="00F8CBAD"/>
      <rgbColor rgb="004285F4"/>
      <rgbColor rgb="0033CCCC"/>
      <rgbColor rgb="0099CC00"/>
      <rgbColor rgb="00FFCC00"/>
      <rgbColor rgb="00FF9900"/>
      <rgbColor rgb="00C0504D"/>
      <rgbColor rgb="00595959"/>
      <rgbColor rgb="00CC8F8E"/>
      <rgbColor rgb="001F3864"/>
      <rgbColor rgb="00339966"/>
      <rgbColor rgb="00003300"/>
      <rgbColor rgb="00333300"/>
      <rgbColor rgb="00AA433F"/>
      <rgbColor rgb="00903836"/>
      <rgbColor rgb="002F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Capex / Revenue %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Charts'!$A$5</c:f>
              <c:strCache>
                <c:ptCount val="1"/>
                <c:pt idx="0">
                  <c:v>MSFT</c:v>
                </c:pt>
              </c:strCache>
            </c:strRef>
          </c:tx>
          <c:spPr>
            <a:ln w="47520" cap="rnd" cmpd="sng" algn="ctr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Charts'!$B$5:$S$5</c:f>
              <c:numCache>
                <c:formatCode>0.0%</c:formatCode>
                <c:ptCount val="18"/>
                <c:pt idx="0">
                  <c:v>0.0546827833369729</c:v>
                </c:pt>
                <c:pt idx="1">
                  <c:v>0.0631672290488639</c:v>
                </c:pt>
                <c:pt idx="2">
                  <c:v>0.0635178456935243</c:v>
                </c:pt>
                <c:pt idx="3">
                  <c:v>0.104688232536334</c:v>
                </c:pt>
                <c:pt idx="4">
                  <c:v>0.105621770510816</c:v>
                </c:pt>
                <c:pt idx="5">
                  <c:v>0.123233055454875</c:v>
                </c:pt>
                <c:pt idx="6">
                  <c:v>0.134294319111909</c:v>
                </c:pt>
                <c:pt idx="7">
                  <c:v>0.132853197217075</c:v>
                </c:pt>
                <c:pt idx="8">
                  <c:v>0.143972205035458</c:v>
                </c:pt>
                <c:pt idx="9">
                  <c:v>0.147273919402835</c:v>
                </c:pt>
                <c:pt idx="10">
                  <c:v>0.150532052945757</c:v>
                </c:pt>
                <c:pt idx="11">
                  <c:v>0.227233785625117</c:v>
                </c:pt>
                <c:pt idx="12">
                  <c:v>0.313072368701282</c:v>
                </c:pt>
                <c:pt idx="13">
                  <c:v>0.442785313658101</c:v>
                </c:pt>
                <c:pt idx="14">
                  <c:v>0.633585893558085</c:v>
                </c:pt>
                <c:pt idx="15">
                  <c:v>0.618719161846711</c:v>
                </c:pt>
                <c:pt idx="16">
                  <c:v>0.542176336643655</c:v>
                </c:pt>
                <c:pt idx="17">
                  <c:v>0.466649535637693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Charts'!$A$6</c:f>
              <c:strCache>
                <c:ptCount val="1"/>
                <c:pt idx="0">
                  <c:v>AMZN</c:v>
                </c:pt>
              </c:strCache>
            </c:strRef>
          </c:tx>
          <c:spPr>
            <a:ln w="47520" cap="rnd" cmpd="sng" algn="ctr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Charts'!$B$6:$S$6</c:f>
              <c:numCache>
                <c:formatCode>0.0%</c:formatCode>
                <c:ptCount val="18"/>
                <c:pt idx="0">
                  <c:v>0.0462439391293836</c:v>
                </c:pt>
                <c:pt idx="1">
                  <c:v>0.0549734572146482</c:v>
                </c:pt>
                <c:pt idx="2">
                  <c:v>0.0428758599936826</c:v>
                </c:pt>
                <c:pt idx="3">
                  <c:v>0.0495341466463706</c:v>
                </c:pt>
                <c:pt idx="4">
                  <c:v>0.0565425657517457</c:v>
                </c:pt>
                <c:pt idx="5">
                  <c:v>0.0486158523232297</c:v>
                </c:pt>
                <c:pt idx="6">
                  <c:v>0.0452370937038806</c:v>
                </c:pt>
                <c:pt idx="7">
                  <c:v>0.0907776948899664</c:v>
                </c:pt>
                <c:pt idx="8">
                  <c:v>0.117908484489871</c:v>
                </c:pt>
                <c:pt idx="9">
                  <c:v>0.113468733401688</c:v>
                </c:pt>
                <c:pt idx="10">
                  <c:v>0.0837408770235827</c:v>
                </c:pt>
                <c:pt idx="11">
                  <c:v>0.121728825833635</c:v>
                </c:pt>
                <c:pt idx="12">
                  <c:v>0.178986894008291</c:v>
                </c:pt>
                <c:pt idx="13">
                  <c:v>0.24178963083243</c:v>
                </c:pt>
                <c:pt idx="14">
                  <c:v>0.285371750643553</c:v>
                </c:pt>
                <c:pt idx="15">
                  <c:v>0.266752546331369</c:v>
                </c:pt>
                <c:pt idx="16">
                  <c:v>0.251734248389078</c:v>
                </c:pt>
                <c:pt idx="17">
                  <c:v>0.2395580677502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Charts'!$A$7</c:f>
              <c:strCache>
                <c:ptCount val="1"/>
                <c:pt idx="0">
                  <c:v>GOOGL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Charts'!$B$7:$S$7</c:f>
              <c:numCache>
                <c:formatCode>0.0%</c:formatCode>
                <c:ptCount val="18"/>
                <c:pt idx="0">
                  <c:v>0.132531205533241</c:v>
                </c:pt>
                <c:pt idx="1">
                  <c:v>0.166042938743352</c:v>
                </c:pt>
                <c:pt idx="2">
                  <c:v>0.132219392177519</c:v>
                </c:pt>
                <c:pt idx="3">
                  <c:v>0.112803527118043</c:v>
                </c:pt>
                <c:pt idx="4">
                  <c:v>0.118930133958775</c:v>
                </c:pt>
                <c:pt idx="5">
                  <c:v>0.183739100563518</c:v>
                </c:pt>
                <c:pt idx="6">
                  <c:v>0.145486447913899</c:v>
                </c:pt>
                <c:pt idx="7">
                  <c:v>0.122069611619103</c:v>
                </c:pt>
                <c:pt idx="8">
                  <c:v>0.0956384370257378</c:v>
                </c:pt>
                <c:pt idx="9">
                  <c:v>0.111318926869281</c:v>
                </c:pt>
                <c:pt idx="10">
                  <c:v>0.104917467484726</c:v>
                </c:pt>
                <c:pt idx="11">
                  <c:v>0.150092280968407</c:v>
                </c:pt>
                <c:pt idx="12">
                  <c:v>0.227008013186508</c:v>
                </c:pt>
                <c:pt idx="13">
                  <c:v>0.37936186431271</c:v>
                </c:pt>
                <c:pt idx="14">
                  <c:v>0.438101591905905</c:v>
                </c:pt>
                <c:pt idx="15">
                  <c:v>0.406693608510996</c:v>
                </c:pt>
                <c:pt idx="16">
                  <c:v>0.36738908872284</c:v>
                </c:pt>
                <c:pt idx="17">
                  <c:v>0.341152582570988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Charts'!$A$8</c:f>
              <c:strCache>
                <c:ptCount val="1"/>
                <c:pt idx="0">
                  <c:v>META</c:v>
                </c:pt>
              </c:strCache>
            </c:strRef>
          </c:tx>
          <c:spPr>
            <a:ln w="47520" cap="rnd" cmpd="sng" algn="ctr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Charts'!$B$8:$S$8</c:f>
              <c:numCache>
                <c:formatCode>0.0%</c:formatCode>
                <c:ptCount val="18"/>
                <c:pt idx="0">
                  <c:v>0.173018292682927</c:v>
                </c:pt>
                <c:pt idx="1">
                  <c:v>0.146879512273384</c:v>
                </c:pt>
                <c:pt idx="2">
                  <c:v>0.140737435153679</c:v>
                </c:pt>
                <c:pt idx="3">
                  <c:v>0.162493668138071</c:v>
                </c:pt>
                <c:pt idx="4">
                  <c:v>0.165596634934691</c:v>
                </c:pt>
                <c:pt idx="5">
                  <c:v>0.25036713349332</c:v>
                </c:pt>
                <c:pt idx="6">
                  <c:v>0.213617364367402</c:v>
                </c:pt>
                <c:pt idx="7">
                  <c:v>0.17582532629179</c:v>
                </c:pt>
                <c:pt idx="8">
                  <c:v>0.157442189792163</c:v>
                </c:pt>
                <c:pt idx="9">
                  <c:v>0.267440763577425</c:v>
                </c:pt>
                <c:pt idx="10">
                  <c:v>0.200480352258323</c:v>
                </c:pt>
                <c:pt idx="11">
                  <c:v>0.226480243161094</c:v>
                </c:pt>
                <c:pt idx="12">
                  <c:v>0.346781777921529</c:v>
                </c:pt>
                <c:pt idx="13">
                  <c:v>0.531335014999085</c:v>
                </c:pt>
                <c:pt idx="14">
                  <c:v>0.540824903792468</c:v>
                </c:pt>
                <c:pt idx="15">
                  <c:v>0.519399482957318</c:v>
                </c:pt>
                <c:pt idx="16">
                  <c:v>0.482963614978958</c:v>
                </c:pt>
                <c:pt idx="17">
                  <c:v>0.457132170555652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Charts'!$A$9</c:f>
              <c:strCache>
                <c:ptCount val="1"/>
                <c:pt idx="0">
                  <c:v>ORCL</c:v>
                </c:pt>
              </c:strCache>
            </c:strRef>
          </c:tx>
          <c:spPr>
            <a:ln w="47520" cap="rnd" cmpd="sng" algn="ctr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Charts'!$B$9:$S$9</c:f>
              <c:numCache>
                <c:formatCode>0.0%</c:formatCode>
                <c:ptCount val="18"/>
                <c:pt idx="0">
                  <c:v>0.0174482592006013</c:v>
                </c:pt>
                <c:pt idx="1">
                  <c:v>0.0151416264195275</c:v>
                </c:pt>
                <c:pt idx="2">
                  <c:v>0.0363631610592633</c:v>
                </c:pt>
                <c:pt idx="3">
                  <c:v>0.0320857058045713</c:v>
                </c:pt>
                <c:pt idx="4">
                  <c:v>0.0533259452756009</c:v>
                </c:pt>
                <c:pt idx="5">
                  <c:v>0.0440262737440085</c:v>
                </c:pt>
                <c:pt idx="6">
                  <c:v>0.0419987349778621</c:v>
                </c:pt>
                <c:pt idx="7">
                  <c:v>0.0400276405702147</c:v>
                </c:pt>
                <c:pt idx="8">
                  <c:v>0.0527407919764828</c:v>
                </c:pt>
                <c:pt idx="9">
                  <c:v>0.106288730237271</c:v>
                </c:pt>
                <c:pt idx="10">
                  <c:v>0.174056650985887</c:v>
                </c:pt>
                <c:pt idx="11">
                  <c:v>0.12964256717207</c:v>
                </c:pt>
                <c:pt idx="12">
                  <c:v>0.369605742260318</c:v>
                </c:pt>
                <c:pt idx="13">
                  <c:v>0.77105819496409</c:v>
                </c:pt>
                <c:pt idx="14">
                  <c:v>0.587296954946508</c:v>
                </c:pt>
                <c:pt idx="15">
                  <c:v>0.556972873780193</c:v>
                </c:pt>
                <c:pt idx="16">
                  <c:v>0.490629927570763</c:v>
                </c:pt>
                <c:pt idx="17">
                  <c:v>0.358167828118745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4727248"/>
        <c:axId val="52395825"/>
      </c:lineChart>
      <c:catAx>
        <c:axId val="4727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2395825"/>
        <c:crosses val="autoZero"/>
        <c:auto val="1"/>
        <c:lblAlgn val="ctr"/>
        <c:lblOffset val="100"/>
        <c:noMultiLvlLbl val="0"/>
      </c:catAx>
      <c:valAx>
        <c:axId val="5239582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727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507fb1-6c2a-4d0a-b10a-2dc8c363bb9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FCF Margin %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Charts'!$A$14</c:f>
              <c:strCache>
                <c:ptCount val="1"/>
                <c:pt idx="0">
                  <c:v>MSFT</c:v>
                </c:pt>
              </c:strCache>
            </c:strRef>
          </c:tx>
          <c:spPr>
            <a:ln w="47520" cap="rnd" cmpd="sng" algn="ctr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Charts'!$B$14:$S$14</c:f>
              <c:numCache>
                <c:formatCode>0.0%</c:formatCode>
                <c:ptCount val="18"/>
                <c:pt idx="0">
                  <c:v>0.315688062788218</c:v>
                </c:pt>
                <c:pt idx="1">
                  <c:v>0.308016537491507</c:v>
                </c:pt>
                <c:pt idx="2">
                  <c:v>0.247232314597136</c:v>
                </c:pt>
                <c:pt idx="3">
                  <c:v>0.285900140646976</c:v>
                </c:pt>
                <c:pt idx="4">
                  <c:v>0.303476198858871</c:v>
                </c:pt>
                <c:pt idx="5">
                  <c:v>0.274411018484958</c:v>
                </c:pt>
                <c:pt idx="6">
                  <c:v>0.280389056204954</c:v>
                </c:pt>
                <c:pt idx="7">
                  <c:v>0.291402999685348</c:v>
                </c:pt>
                <c:pt idx="8">
                  <c:v>0.312574365808386</c:v>
                </c:pt>
                <c:pt idx="9">
                  <c:v>0.301785444091391</c:v>
                </c:pt>
                <c:pt idx="10">
                  <c:v>0.262756293797041</c:v>
                </c:pt>
                <c:pt idx="11">
                  <c:v>0.256394774846811</c:v>
                </c:pt>
                <c:pt idx="12">
                  <c:v>0.170244636594681</c:v>
                </c:pt>
                <c:pt idx="13">
                  <c:v>0.0870776441882145</c:v>
                </c:pt>
                <c:pt idx="14">
                  <c:v>-0.0340107047798638</c:v>
                </c:pt>
                <c:pt idx="15">
                  <c:v>0.0168509930121888</c:v>
                </c:pt>
                <c:pt idx="16">
                  <c:v>0.107386474170842</c:v>
                </c:pt>
                <c:pt idx="17">
                  <c:v>0.205175364126026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Charts'!$A$15</c:f>
              <c:strCache>
                <c:ptCount val="1"/>
                <c:pt idx="0">
                  <c:v>AMZN</c:v>
                </c:pt>
              </c:strCache>
            </c:strRef>
          </c:tx>
          <c:spPr>
            <a:ln w="47520" cap="rnd" cmpd="sng" algn="ctr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Charts'!$B$15:$S$15</c:f>
              <c:numCache>
                <c:formatCode>0.0%</c:formatCode>
                <c:ptCount val="18"/>
                <c:pt idx="0">
                  <c:v>0.0272789545082132</c:v>
                </c:pt>
                <c:pt idx="1">
                  <c:v>0.0219062259800154</c:v>
                </c:pt>
                <c:pt idx="2">
                  <c:v>0.0685200725936531</c:v>
                </c:pt>
                <c:pt idx="3">
                  <c:v>0.0774706405759374</c:v>
                </c:pt>
                <c:pt idx="4">
                  <c:v>0.0470972529882046</c:v>
                </c:pt>
                <c:pt idx="5">
                  <c:v>0.0833107902115618</c:v>
                </c:pt>
                <c:pt idx="6">
                  <c:v>0.0920605157527752</c:v>
                </c:pt>
                <c:pt idx="7">
                  <c:v>0.0803441916366198</c:v>
                </c:pt>
                <c:pt idx="8">
                  <c:v>-0.0193030551996288</c:v>
                </c:pt>
                <c:pt idx="9">
                  <c:v>-0.0225085265465978</c:v>
                </c:pt>
                <c:pt idx="10">
                  <c:v>0.0640465565385318</c:v>
                </c:pt>
                <c:pt idx="11">
                  <c:v>0.0599082386172152</c:v>
                </c:pt>
                <c:pt idx="12">
                  <c:v>0.0156139283940836</c:v>
                </c:pt>
                <c:pt idx="13">
                  <c:v>-0.023079605254962</c:v>
                </c:pt>
                <c:pt idx="14">
                  <c:v>-0.0482743797157437</c:v>
                </c:pt>
                <c:pt idx="15">
                  <c:v>-0.00204741549459708</c:v>
                </c:pt>
                <c:pt idx="16">
                  <c:v>0.0380208742034563</c:v>
                </c:pt>
                <c:pt idx="17">
                  <c:v>0.0676854238008576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Charts'!$A$16</c:f>
              <c:strCache>
                <c:ptCount val="1"/>
                <c:pt idx="0">
                  <c:v>GOOGL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Charts'!$B$16:$S$16</c:f>
              <c:numCache>
                <c:formatCode>0.0%</c:formatCode>
                <c:ptCount val="18"/>
                <c:pt idx="0">
                  <c:v>0.202201048289775</c:v>
                </c:pt>
                <c:pt idx="1">
                  <c:v>0.171406493841002</c:v>
                </c:pt>
                <c:pt idx="2">
                  <c:v>0.212217791942818</c:v>
                </c:pt>
                <c:pt idx="3">
                  <c:v>0.286390021269054</c:v>
                </c:pt>
                <c:pt idx="4">
                  <c:v>0.215660096522484</c:v>
                </c:pt>
                <c:pt idx="5">
                  <c:v>0.16687740737763</c:v>
                </c:pt>
                <c:pt idx="6">
                  <c:v>0.191354096517296</c:v>
                </c:pt>
                <c:pt idx="7">
                  <c:v>0.234721438472116</c:v>
                </c:pt>
                <c:pt idx="8">
                  <c:v>0.260102392125355</c:v>
                </c:pt>
                <c:pt idx="9">
                  <c:v>0.212172425009546</c:v>
                </c:pt>
                <c:pt idx="10">
                  <c:v>0.226077932555613</c:v>
                </c:pt>
                <c:pt idx="11">
                  <c:v>0.20788645155392</c:v>
                </c:pt>
                <c:pt idx="12">
                  <c:v>0.181875502685957</c:v>
                </c:pt>
                <c:pt idx="13">
                  <c:v>0.0547867344585653</c:v>
                </c:pt>
                <c:pt idx="14">
                  <c:v>0.038886349386506</c:v>
                </c:pt>
                <c:pt idx="15">
                  <c:v>0.0964950267850896</c:v>
                </c:pt>
                <c:pt idx="16">
                  <c:v>0.152957839304851</c:v>
                </c:pt>
                <c:pt idx="17">
                  <c:v>0.191313724274643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Charts'!$A$17</c:f>
              <c:strCache>
                <c:ptCount val="1"/>
                <c:pt idx="0">
                  <c:v>META</c:v>
                </c:pt>
              </c:strCache>
            </c:strRef>
          </c:tx>
          <c:spPr>
            <a:ln w="47520" cap="rnd" cmpd="sng" algn="ctr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Charts'!$B$17:$S$17</c:f>
              <c:numCache>
                <c:formatCode>0.0%</c:formatCode>
                <c:ptCount val="18"/>
                <c:pt idx="0">
                  <c:v>0.363313008130081</c:v>
                </c:pt>
                <c:pt idx="1">
                  <c:v>0.294946253810364</c:v>
                </c:pt>
                <c:pt idx="2">
                  <c:v>0.339376359680928</c:v>
                </c:pt>
                <c:pt idx="3">
                  <c:v>0.41862652869238</c:v>
                </c:pt>
                <c:pt idx="4">
                  <c:v>0.430078960962291</c:v>
                </c:pt>
                <c:pt idx="5">
                  <c:v>0.275063576775673</c:v>
                </c:pt>
                <c:pt idx="6">
                  <c:v>0.300021924706315</c:v>
                </c:pt>
                <c:pt idx="7">
                  <c:v>0.274899378824186</c:v>
                </c:pt>
                <c:pt idx="8">
                  <c:v>0.331691102273402</c:v>
                </c:pt>
                <c:pt idx="9">
                  <c:v>0.165416048503975</c:v>
                </c:pt>
                <c:pt idx="10">
                  <c:v>0.326669187033454</c:v>
                </c:pt>
                <c:pt idx="11">
                  <c:v>0.328705167173252</c:v>
                </c:pt>
                <c:pt idx="12">
                  <c:v>0.22943796183415</c:v>
                </c:pt>
                <c:pt idx="13">
                  <c:v>0.175043918782818</c:v>
                </c:pt>
                <c:pt idx="14">
                  <c:v>0.131811792884918</c:v>
                </c:pt>
                <c:pt idx="15">
                  <c:v>0.161332271886239</c:v>
                </c:pt>
                <c:pt idx="16">
                  <c:v>0.201986994195707</c:v>
                </c:pt>
                <c:pt idx="17">
                  <c:v>0.232222402165681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Charts'!$A$18</c:f>
              <c:strCache>
                <c:ptCount val="1"/>
                <c:pt idx="0">
                  <c:v>ORCL</c:v>
                </c:pt>
              </c:strCache>
            </c:strRef>
          </c:tx>
          <c:spPr>
            <a:ln w="47520" cap="rnd" cmpd="sng" algn="ctr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Charts'!$B$13:$S$13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Charts'!$B$18:$S$18</c:f>
              <c:numCache>
                <c:formatCode>0.0%</c:formatCode>
                <c:ptCount val="18"/>
                <c:pt idx="0">
                  <c:v>0.364400182535635</c:v>
                </c:pt>
                <c:pt idx="1">
                  <c:v>0.374389766349041</c:v>
                </c:pt>
                <c:pt idx="2">
                  <c:v>0.338404830993648</c:v>
                </c:pt>
                <c:pt idx="3">
                  <c:v>0.333837061823677</c:v>
                </c:pt>
                <c:pt idx="4">
                  <c:v>0.319375181403203</c:v>
                </c:pt>
                <c:pt idx="5">
                  <c:v>0.346174329842002</c:v>
                </c:pt>
                <c:pt idx="6">
                  <c:v>0.326148007590133</c:v>
                </c:pt>
                <c:pt idx="7">
                  <c:v>0.296240370588386</c:v>
                </c:pt>
                <c:pt idx="8">
                  <c:v>0.339739630937971</c:v>
                </c:pt>
                <c:pt idx="9">
                  <c:v>0.118493909191584</c:v>
                </c:pt>
                <c:pt idx="10">
                  <c:v>0.169572615353818</c:v>
                </c:pt>
                <c:pt idx="11">
                  <c:v>0.222937633352845</c:v>
                </c:pt>
                <c:pt idx="12">
                  <c:v>-0.00686423108416523</c:v>
                </c:pt>
                <c:pt idx="13">
                  <c:v>-0.392719666204713</c:v>
                </c:pt>
                <c:pt idx="14">
                  <c:v>-0.207778894870831</c:v>
                </c:pt>
                <c:pt idx="15">
                  <c:v>-0.157332154596774</c:v>
                </c:pt>
                <c:pt idx="16">
                  <c:v>-0.0878947867996312</c:v>
                </c:pt>
                <c:pt idx="17">
                  <c:v>0.0997238124658188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97869793"/>
        <c:axId val="67366141"/>
      </c:lineChart>
      <c:catAx>
        <c:axId val="978697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7366141"/>
        <c:crosses val="autoZero"/>
        <c:auto val="1"/>
        <c:lblAlgn val="ctr"/>
        <c:lblOffset val="100"/>
        <c:noMultiLvlLbl val="0"/>
      </c:catAx>
      <c:valAx>
        <c:axId val="6736614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7869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6a3301-1ddc-4e6b-b2d9-a58498c0178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Capex ($mm)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Charts'!$A$23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92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Charts'!$B$23:$S$23</c:f>
              <c:numCache>
                <c:formatCode>#,##0</c:formatCode>
                <c:ptCount val="18"/>
                <c:pt idx="0">
                  <c:v>4257</c:v>
                </c:pt>
                <c:pt idx="1">
                  <c:v>5485</c:v>
                </c:pt>
                <c:pt idx="2">
                  <c:v>5944</c:v>
                </c:pt>
                <c:pt idx="3">
                  <c:v>8932</c:v>
                </c:pt>
                <c:pt idx="4">
                  <c:v>10200</c:v>
                </c:pt>
                <c:pt idx="5">
                  <c:v>13600</c:v>
                </c:pt>
                <c:pt idx="6">
                  <c:v>16900</c:v>
                </c:pt>
                <c:pt idx="7">
                  <c:v>19000</c:v>
                </c:pt>
                <c:pt idx="8">
                  <c:v>24200</c:v>
                </c:pt>
                <c:pt idx="9">
                  <c:v>29200</c:v>
                </c:pt>
                <c:pt idx="10">
                  <c:v>31900</c:v>
                </c:pt>
                <c:pt idx="11">
                  <c:v>55700</c:v>
                </c:pt>
                <c:pt idx="12">
                  <c:v>88200</c:v>
                </c:pt>
                <c:pt idx="13">
                  <c:v>145871.3</c:v>
                </c:pt>
                <c:pt idx="14">
                  <c:v>245263.45</c:v>
                </c:pt>
                <c:pt idx="15">
                  <c:v>286760.35</c:v>
                </c:pt>
                <c:pt idx="16">
                  <c:v>300210.91</c:v>
                </c:pt>
                <c:pt idx="17">
                  <c:v>304616.04</c:v>
                </c:pt>
              </c:numCache>
            </c:numRef>
          </c:val>
        </c:ser>
        <c:ser>
          <c:idx val="1"/>
          <c:order val="1"/>
          <c:tx>
            <c:strRef>
              <c:f>'8. Charts'!$A$24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Charts'!$B$24:$S$24</c:f>
              <c:numCache>
                <c:formatCode>#,##0</c:formatCode>
                <c:ptCount val="18"/>
                <c:pt idx="0">
                  <c:v>3443</c:v>
                </c:pt>
                <c:pt idx="1">
                  <c:v>4892</c:v>
                </c:pt>
                <c:pt idx="2">
                  <c:v>4588</c:v>
                </c:pt>
                <c:pt idx="3">
                  <c:v>6736</c:v>
                </c:pt>
                <c:pt idx="4">
                  <c:v>10057</c:v>
                </c:pt>
                <c:pt idx="5">
                  <c:v>11322</c:v>
                </c:pt>
                <c:pt idx="6">
                  <c:v>12690</c:v>
                </c:pt>
                <c:pt idx="7">
                  <c:v>35046</c:v>
                </c:pt>
                <c:pt idx="8">
                  <c:v>55396</c:v>
                </c:pt>
                <c:pt idx="9">
                  <c:v>58321</c:v>
                </c:pt>
                <c:pt idx="10">
                  <c:v>48133</c:v>
                </c:pt>
                <c:pt idx="11">
                  <c:v>77658</c:v>
                </c:pt>
                <c:pt idx="12">
                  <c:v>128320</c:v>
                </c:pt>
                <c:pt idx="13">
                  <c:v>200104.98</c:v>
                </c:pt>
                <c:pt idx="14">
                  <c:v>270141.72</c:v>
                </c:pt>
                <c:pt idx="15">
                  <c:v>283648.81</c:v>
                </c:pt>
                <c:pt idx="16">
                  <c:v>297831.25</c:v>
                </c:pt>
                <c:pt idx="17">
                  <c:v>312722.81</c:v>
                </c:pt>
              </c:numCache>
            </c:numRef>
          </c:val>
        </c:ser>
        <c:ser>
          <c:idx val="2"/>
          <c:order val="2"/>
          <c:tx>
            <c:strRef>
              <c:f>'8. Charts'!$A$25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Charts'!$B$25:$S$25</c:f>
              <c:numCache>
                <c:formatCode>#,##0</c:formatCode>
                <c:ptCount val="18"/>
                <c:pt idx="0">
                  <c:v>7358</c:v>
                </c:pt>
                <c:pt idx="1">
                  <c:v>10959</c:v>
                </c:pt>
                <c:pt idx="2">
                  <c:v>9915</c:v>
                </c:pt>
                <c:pt idx="3">
                  <c:v>10183</c:v>
                </c:pt>
                <c:pt idx="4">
                  <c:v>13184</c:v>
                </c:pt>
                <c:pt idx="5">
                  <c:v>25139</c:v>
                </c:pt>
                <c:pt idx="6">
                  <c:v>23548</c:v>
                </c:pt>
                <c:pt idx="7">
                  <c:v>22281</c:v>
                </c:pt>
                <c:pt idx="8">
                  <c:v>24640</c:v>
                </c:pt>
                <c:pt idx="9">
                  <c:v>31485</c:v>
                </c:pt>
                <c:pt idx="10">
                  <c:v>32251</c:v>
                </c:pt>
                <c:pt idx="11">
                  <c:v>52535</c:v>
                </c:pt>
                <c:pt idx="12">
                  <c:v>91447</c:v>
                </c:pt>
                <c:pt idx="13">
                  <c:v>185234.28</c:v>
                </c:pt>
                <c:pt idx="14">
                  <c:v>259327.99</c:v>
                </c:pt>
                <c:pt idx="15">
                  <c:v>285260.79</c:v>
                </c:pt>
                <c:pt idx="16">
                  <c:v>299523.83</c:v>
                </c:pt>
                <c:pt idx="17">
                  <c:v>314500.02</c:v>
                </c:pt>
              </c:numCache>
            </c:numRef>
          </c:val>
        </c:ser>
        <c:ser>
          <c:idx val="3"/>
          <c:order val="3"/>
          <c:tx>
            <c:strRef>
              <c:f>'8. Charts'!$A$26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Charts'!$B$26:$S$26</c:f>
              <c:numCache>
                <c:formatCode>#,##0</c:formatCode>
                <c:ptCount val="18"/>
                <c:pt idx="0">
                  <c:v>1362</c:v>
                </c:pt>
                <c:pt idx="1">
                  <c:v>1831</c:v>
                </c:pt>
                <c:pt idx="2">
                  <c:v>2523</c:v>
                </c:pt>
                <c:pt idx="3">
                  <c:v>4491</c:v>
                </c:pt>
                <c:pt idx="4">
                  <c:v>6732</c:v>
                </c:pt>
                <c:pt idx="5">
                  <c:v>13980</c:v>
                </c:pt>
                <c:pt idx="6">
                  <c:v>15102</c:v>
                </c:pt>
                <c:pt idx="7">
                  <c:v>15115</c:v>
                </c:pt>
                <c:pt idx="8">
                  <c:v>18567</c:v>
                </c:pt>
                <c:pt idx="9">
                  <c:v>31186</c:v>
                </c:pt>
                <c:pt idx="10">
                  <c:v>27045</c:v>
                </c:pt>
                <c:pt idx="11">
                  <c:v>37256</c:v>
                </c:pt>
                <c:pt idx="12">
                  <c:v>69691</c:v>
                </c:pt>
                <c:pt idx="13">
                  <c:v>135583.71</c:v>
                </c:pt>
                <c:pt idx="14">
                  <c:v>165714.44</c:v>
                </c:pt>
                <c:pt idx="15">
                  <c:v>185600.17</c:v>
                </c:pt>
                <c:pt idx="16">
                  <c:v>196736.18</c:v>
                </c:pt>
                <c:pt idx="17">
                  <c:v>208540.35</c:v>
                </c:pt>
              </c:numCache>
            </c:numRef>
          </c:val>
        </c:ser>
        <c:ser>
          <c:idx val="4"/>
          <c:order val="4"/>
          <c:tx>
            <c:strRef>
              <c:f>'8. Charts'!$A$27</c:f>
              <c:strCache>
                <c:ptCount val="1"/>
                <c:pt idx="0">
                  <c:v>ORCL</c:v>
                </c:pt>
              </c:strCache>
            </c:strRef>
          </c:tx>
          <c:spPr>
            <a:solidFill>
              <a:srgbClr val="E0BDB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Charts'!$B$22:$S$22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Charts'!$B$27:$S$27</c:f>
              <c:numCache>
                <c:formatCode>#,##0</c:formatCode>
                <c:ptCount val="18"/>
                <c:pt idx="0">
                  <c:v>650</c:v>
                </c:pt>
                <c:pt idx="1">
                  <c:v>580</c:v>
                </c:pt>
                <c:pt idx="2">
                  <c:v>1391</c:v>
                </c:pt>
                <c:pt idx="3">
                  <c:v>1189</c:v>
                </c:pt>
                <c:pt idx="4">
                  <c:v>2021</c:v>
                </c:pt>
                <c:pt idx="5">
                  <c:v>1736</c:v>
                </c:pt>
                <c:pt idx="6">
                  <c:v>1660</c:v>
                </c:pt>
                <c:pt idx="7">
                  <c:v>1564</c:v>
                </c:pt>
                <c:pt idx="8">
                  <c:v>2135</c:v>
                </c:pt>
                <c:pt idx="9">
                  <c:v>4511</c:v>
                </c:pt>
                <c:pt idx="10">
                  <c:v>8695</c:v>
                </c:pt>
                <c:pt idx="11">
                  <c:v>6866</c:v>
                </c:pt>
                <c:pt idx="12">
                  <c:v>21215</c:v>
                </c:pt>
                <c:pt idx="13">
                  <c:v>51882</c:v>
                </c:pt>
                <c:pt idx="14">
                  <c:v>52141.41</c:v>
                </c:pt>
                <c:pt idx="15">
                  <c:v>69869.49</c:v>
                </c:pt>
                <c:pt idx="16">
                  <c:v>81048.61</c:v>
                </c:pt>
                <c:pt idx="17">
                  <c:v>66459.86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6725201"/>
        <c:axId val="29510938"/>
      </c:barChart>
      <c:catAx>
        <c:axId val="86725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510938"/>
        <c:crosses val="autoZero"/>
        <c:auto val="1"/>
        <c:lblAlgn val="ctr"/>
        <c:lblOffset val="100"/>
        <c:noMultiLvlLbl val="0"/>
      </c:catAx>
      <c:valAx>
        <c:axId val="2951093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725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821677-2819-498c-8ed1-ed858d22f9e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YoY %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Charts'!$A$32</c:f>
              <c:strCache>
                <c:ptCount val="1"/>
                <c:pt idx="0">
                  <c:v>MSFT</c:v>
                </c:pt>
              </c:strCache>
            </c:strRef>
          </c:tx>
          <c:spPr>
            <a:ln w="47520" cap="rnd" cmpd="sng" algn="ctr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Charts'!$B$32:$S$32</c:f>
              <c:numCache>
                <c:formatCode>0.0%</c:formatCode>
                <c:ptCount val="18"/>
                <c:pt idx="1">
                  <c:v>0.115402895348688</c:v>
                </c:pt>
                <c:pt idx="2">
                  <c:v>0.0777008740916472</c:v>
                </c:pt>
                <c:pt idx="3">
                  <c:v>-0.0882667236589014</c:v>
                </c:pt>
                <c:pt idx="4">
                  <c:v>0.131868260665729</c:v>
                </c:pt>
                <c:pt idx="5">
                  <c:v>0.142786136624867</c:v>
                </c:pt>
                <c:pt idx="6">
                  <c:v>0.140295396882929</c:v>
                </c:pt>
                <c:pt idx="7">
                  <c:v>0.136455742472764</c:v>
                </c:pt>
                <c:pt idx="8">
                  <c:v>0.175317274411775</c:v>
                </c:pt>
                <c:pt idx="9">
                  <c:v>0.179560706296702</c:v>
                </c:pt>
                <c:pt idx="10">
                  <c:v>0.0688202955565642</c:v>
                </c:pt>
                <c:pt idx="11">
                  <c:v>0.156699620130713</c:v>
                </c:pt>
                <c:pt idx="12">
                  <c:v>0.149321562324067</c:v>
                </c:pt>
                <c:pt idx="13">
                  <c:v>0.169372293450327</c:v>
                </c:pt>
                <c:pt idx="14">
                  <c:v>0.175034689144228</c:v>
                </c:pt>
                <c:pt idx="15">
                  <c:v>0.197286820113401</c:v>
                </c:pt>
                <c:pt idx="16">
                  <c:v>0.19470416226216</c:v>
                </c:pt>
                <c:pt idx="17">
                  <c:v>0.178897421725549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Charts'!$A$33</c:f>
              <c:strCache>
                <c:ptCount val="1"/>
                <c:pt idx="0">
                  <c:v>AMZN</c:v>
                </c:pt>
              </c:strCache>
            </c:strRef>
          </c:tx>
          <c:spPr>
            <a:ln w="47520" cap="rnd" cmpd="sng" algn="ctr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Charts'!$B$33:$S$33</c:f>
              <c:numCache>
                <c:formatCode>0.0%</c:formatCode>
                <c:ptCount val="18"/>
                <c:pt idx="1">
                  <c:v>0.195229205001813</c:v>
                </c:pt>
                <c:pt idx="2">
                  <c:v>0.202478075794149</c:v>
                </c:pt>
                <c:pt idx="3">
                  <c:v>0.270828154525048</c:v>
                </c:pt>
                <c:pt idx="4">
                  <c:v>0.307963261194085</c:v>
                </c:pt>
                <c:pt idx="5">
                  <c:v>0.309339615215949</c:v>
                </c:pt>
                <c:pt idx="6">
                  <c:v>0.20454125820677</c:v>
                </c:pt>
                <c:pt idx="7">
                  <c:v>0.376234306043733</c:v>
                </c:pt>
                <c:pt idx="8">
                  <c:v>0.216953665713457</c:v>
                </c:pt>
                <c:pt idx="9">
                  <c:v>0.0939951726398509</c:v>
                </c:pt>
                <c:pt idx="10">
                  <c:v>0.118295741298837</c:v>
                </c:pt>
                <c:pt idx="11">
                  <c:v>0.109908922466661</c:v>
                </c:pt>
                <c:pt idx="12">
                  <c:v>0.123777546832947</c:v>
                </c:pt>
                <c:pt idx="13">
                  <c:v>0.154375512606636</c:v>
                </c:pt>
                <c:pt idx="14">
                  <c:v>0.143827296369472</c:v>
                </c:pt>
                <c:pt idx="15">
                  <c:v>0.123289530023903</c:v>
                </c:pt>
                <c:pt idx="16">
                  <c:v>0.112642300243612</c:v>
                </c:pt>
                <c:pt idx="17">
                  <c:v>0.103369054433569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Charts'!$A$34</c:f>
              <c:strCache>
                <c:ptCount val="1"/>
                <c:pt idx="0">
                  <c:v>GOOGL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Charts'!$B$34:$S$34</c:f>
              <c:numCache>
                <c:formatCode>0.0%</c:formatCode>
                <c:ptCount val="18"/>
                <c:pt idx="1">
                  <c:v>0.188800230551703</c:v>
                </c:pt>
                <c:pt idx="2">
                  <c:v>0.136179754852199</c:v>
                </c:pt>
                <c:pt idx="3">
                  <c:v>0.203803224472923</c:v>
                </c:pt>
                <c:pt idx="4">
                  <c:v>0.228010900389933</c:v>
                </c:pt>
                <c:pt idx="5">
                  <c:v>0.23421586757476</c:v>
                </c:pt>
                <c:pt idx="6">
                  <c:v>0.183000898997946</c:v>
                </c:pt>
                <c:pt idx="7">
                  <c:v>0.127705320128261</c:v>
                </c:pt>
                <c:pt idx="8">
                  <c:v>0.411500764270492</c:v>
                </c:pt>
                <c:pt idx="9">
                  <c:v>0.0978081564371578</c:v>
                </c:pt>
                <c:pt idx="10">
                  <c:v>0.0868277022726951</c:v>
                </c:pt>
                <c:pt idx="11">
                  <c:v>0.138662433229016</c:v>
                </c:pt>
                <c:pt idx="12">
                  <c:v>0.150900810815444</c:v>
                </c:pt>
                <c:pt idx="13">
                  <c:v>0.212102691914327</c:v>
                </c:pt>
                <c:pt idx="14">
                  <c:v>0.212290974865579</c:v>
                </c:pt>
                <c:pt idx="15">
                  <c:v>0.184950396811654</c:v>
                </c:pt>
                <c:pt idx="16">
                  <c:v>0.162332531795857</c:v>
                </c:pt>
                <c:pt idx="17">
                  <c:v>0.13075075795109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Charts'!$A$35</c:f>
              <c:strCache>
                <c:ptCount val="1"/>
                <c:pt idx="0">
                  <c:v>META</c:v>
                </c:pt>
              </c:strCache>
            </c:strRef>
          </c:tx>
          <c:spPr>
            <a:ln w="47520" cap="rnd" cmpd="sng" algn="ctr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Charts'!$B$35:$S$35</c:f>
              <c:numCache>
                <c:formatCode>0.0%</c:formatCode>
                <c:ptCount val="18"/>
                <c:pt idx="1">
                  <c:v>0.583587398373984</c:v>
                </c:pt>
                <c:pt idx="2">
                  <c:v>0.43807155462859</c:v>
                </c:pt>
                <c:pt idx="3">
                  <c:v>0.541696881798405</c:v>
                </c:pt>
                <c:pt idx="4">
                  <c:v>0.470909617193719</c:v>
                </c:pt>
                <c:pt idx="5">
                  <c:v>0.37352716896662</c:v>
                </c:pt>
                <c:pt idx="6">
                  <c:v>0.266100146853397</c:v>
                </c:pt>
                <c:pt idx="7">
                  <c:v>0.215986647146606</c:v>
                </c:pt>
                <c:pt idx="8">
                  <c:v>0.371809785263941</c:v>
                </c:pt>
                <c:pt idx="9">
                  <c:v>-0.0111931755547829</c:v>
                </c:pt>
                <c:pt idx="10">
                  <c:v>0.156866108104863</c:v>
                </c:pt>
                <c:pt idx="11">
                  <c:v>0.219412754538513</c:v>
                </c:pt>
                <c:pt idx="12">
                  <c:v>0.221671732522796</c:v>
                </c:pt>
                <c:pt idx="13">
                  <c:v>0.2697512502177</c:v>
                </c:pt>
                <c:pt idx="14">
                  <c:v>0.20078317845173</c:v>
                </c:pt>
                <c:pt idx="15">
                  <c:v>0.166200396774889</c:v>
                </c:pt>
                <c:pt idx="16">
                  <c:v>0.13996879744046</c:v>
                </c:pt>
                <c:pt idx="17">
                  <c:v>0.119898057691976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Charts'!$A$36</c:f>
              <c:strCache>
                <c:ptCount val="1"/>
                <c:pt idx="0">
                  <c:v>ORCL</c:v>
                </c:pt>
              </c:strCache>
            </c:strRef>
          </c:tx>
          <c:spPr>
            <a:ln w="47520" cap="rnd" cmpd="sng" algn="ctr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Charts'!$B$31:$S$31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Charts'!$B$36:$S$36</c:f>
              <c:numCache>
                <c:formatCode>0.0%</c:formatCode>
                <c:ptCount val="18"/>
                <c:pt idx="1">
                  <c:v>0.0282393364292808</c:v>
                </c:pt>
                <c:pt idx="2">
                  <c:v>-0.00135752512726794</c:v>
                </c:pt>
                <c:pt idx="3">
                  <c:v>-0.031265521658432</c:v>
                </c:pt>
                <c:pt idx="4">
                  <c:v>0.0227217529751464</c:v>
                </c:pt>
                <c:pt idx="5">
                  <c:v>0.0404232301643843</c:v>
                </c:pt>
                <c:pt idx="6">
                  <c:v>0.0023839111359083</c:v>
                </c:pt>
                <c:pt idx="7">
                  <c:v>-0.0114358001265022</c:v>
                </c:pt>
                <c:pt idx="8">
                  <c:v>0.036035113761421</c:v>
                </c:pt>
                <c:pt idx="9">
                  <c:v>0.0484177762407054</c:v>
                </c:pt>
                <c:pt idx="10">
                  <c:v>0.17704578120214</c:v>
                </c:pt>
                <c:pt idx="11">
                  <c:v>0.060174156741067</c:v>
                </c:pt>
                <c:pt idx="12">
                  <c:v>0.0837975113762959</c:v>
                </c:pt>
                <c:pt idx="13">
                  <c:v>0.172263454067144</c:v>
                </c:pt>
                <c:pt idx="14">
                  <c:v>0.319457694122543</c:v>
                </c:pt>
                <c:pt idx="15">
                  <c:v>0.412955573662325</c:v>
                </c:pt>
                <c:pt idx="16">
                  <c:v>0.316855148927758</c:v>
                </c:pt>
                <c:pt idx="17">
                  <c:v>0.123262637826697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78007733"/>
        <c:axId val="8232096"/>
      </c:lineChart>
      <c:catAx>
        <c:axId val="780077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232096"/>
        <c:crosses val="autoZero"/>
        <c:auto val="1"/>
        <c:lblAlgn val="ctr"/>
        <c:lblOffset val="100"/>
        <c:noMultiLvlLbl val="0"/>
      </c:catAx>
      <c:valAx>
        <c:axId val="823209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8007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482cb9-f22f-4cac-8430-bcc235fa9ca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Operating Margin %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Charts'!$A$41</c:f>
              <c:strCache>
                <c:ptCount val="1"/>
                <c:pt idx="0">
                  <c:v>MSFT</c:v>
                </c:pt>
              </c:strCache>
            </c:strRef>
          </c:tx>
          <c:spPr>
            <a:ln w="47520" cap="rnd" cmpd="sng" algn="ctr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Charts'!$B$41:$S$41</c:f>
              <c:numCache>
                <c:formatCode>0.0%</c:formatCode>
                <c:ptCount val="18"/>
                <c:pt idx="0">
                  <c:v>0.343793754576167</c:v>
                </c:pt>
                <c:pt idx="1">
                  <c:v>0.319682609146292</c:v>
                </c:pt>
                <c:pt idx="2">
                  <c:v>0.194069245565292</c:v>
                </c:pt>
                <c:pt idx="3">
                  <c:v>0.236544772620722</c:v>
                </c:pt>
                <c:pt idx="4">
                  <c:v>0.300556067556513</c:v>
                </c:pt>
                <c:pt idx="5">
                  <c:v>0.31766944545125</c:v>
                </c:pt>
                <c:pt idx="6">
                  <c:v>0.341369802054941</c:v>
                </c:pt>
                <c:pt idx="7">
                  <c:v>0.370303814285215</c:v>
                </c:pt>
                <c:pt idx="8">
                  <c:v>0.415948788729713</c:v>
                </c:pt>
                <c:pt idx="9">
                  <c:v>0.420552781560498</c:v>
                </c:pt>
                <c:pt idx="10">
                  <c:v>0.417728806361041</c:v>
                </c:pt>
                <c:pt idx="11">
                  <c:v>0.446442995732737</c:v>
                </c:pt>
                <c:pt idx="12">
                  <c:v>0.456219562408599</c:v>
                </c:pt>
                <c:pt idx="13">
                  <c:v>0.465802538269156</c:v>
                </c:pt>
                <c:pt idx="14">
                  <c:v>0.463117571257584</c:v>
                </c:pt>
                <c:pt idx="15">
                  <c:v>0.469393623381428</c:v>
                </c:pt>
                <c:pt idx="16">
                  <c:v>0.480824089640994</c:v>
                </c:pt>
                <c:pt idx="17">
                  <c:v>0.487820996536282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Charts'!$A$42</c:f>
              <c:strCache>
                <c:ptCount val="1"/>
                <c:pt idx="0">
                  <c:v>AMZN</c:v>
                </c:pt>
              </c:strCache>
            </c:strRef>
          </c:tx>
          <c:spPr>
            <a:ln w="47520" cap="rnd" cmpd="sng" algn="ctr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Charts'!$B$42:$S$42</c:f>
              <c:numCache>
                <c:formatCode>0.0%</c:formatCode>
                <c:ptCount val="18"/>
                <c:pt idx="0">
                  <c:v>0.0100063127073456</c:v>
                </c:pt>
                <c:pt idx="1">
                  <c:v>0.0020047556760207</c:v>
                </c:pt>
                <c:pt idx="2">
                  <c:v>0.0208641336141883</c:v>
                </c:pt>
                <c:pt idx="3">
                  <c:v>0.0307823541956216</c:v>
                </c:pt>
                <c:pt idx="4">
                  <c:v>0.023090416380871</c:v>
                </c:pt>
                <c:pt idx="5">
                  <c:v>0.0533305852194412</c:v>
                </c:pt>
                <c:pt idx="6">
                  <c:v>0.0518319418797813</c:v>
                </c:pt>
                <c:pt idx="7">
                  <c:v>0.0593139997513366</c:v>
                </c:pt>
                <c:pt idx="8">
                  <c:v>0.0529540975092695</c:v>
                </c:pt>
                <c:pt idx="9">
                  <c:v>0.0238295819122422</c:v>
                </c:pt>
                <c:pt idx="10">
                  <c:v>0.0641144079960333</c:v>
                </c:pt>
                <c:pt idx="11">
                  <c:v>0.107519448742004</c:v>
                </c:pt>
                <c:pt idx="12">
                  <c:v>0.111552967957552</c:v>
                </c:pt>
                <c:pt idx="13">
                  <c:v>0.131708463674658</c:v>
                </c:pt>
                <c:pt idx="14">
                  <c:v>0.154365760146159</c:v>
                </c:pt>
                <c:pt idx="15">
                  <c:v>0.172540408713261</c:v>
                </c:pt>
                <c:pt idx="16">
                  <c:v>0.188661589820496</c:v>
                </c:pt>
                <c:pt idx="17">
                  <c:v>0.202680597904355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Charts'!$A$43</c:f>
              <c:strCache>
                <c:ptCount val="1"/>
                <c:pt idx="0">
                  <c:v>GOOGL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Charts'!$B$43:$S$43</c:f>
              <c:numCache>
                <c:formatCode>0.0%</c:formatCode>
                <c:ptCount val="18"/>
                <c:pt idx="0">
                  <c:v>0.27743655325204</c:v>
                </c:pt>
                <c:pt idx="1">
                  <c:v>0.249935607036257</c:v>
                </c:pt>
                <c:pt idx="2">
                  <c:v>0.258171198442438</c:v>
                </c:pt>
                <c:pt idx="3">
                  <c:v>0.262717121588089</c:v>
                </c:pt>
                <c:pt idx="4">
                  <c:v>0.235857651887601</c:v>
                </c:pt>
                <c:pt idx="5">
                  <c:v>0.196997493038248</c:v>
                </c:pt>
                <c:pt idx="6">
                  <c:v>0.211489154006314</c:v>
                </c:pt>
                <c:pt idx="7">
                  <c:v>0.225851517857632</c:v>
                </c:pt>
                <c:pt idx="8">
                  <c:v>0.305522886852432</c:v>
                </c:pt>
                <c:pt idx="9">
                  <c:v>0.26461270842467</c:v>
                </c:pt>
                <c:pt idx="10">
                  <c:v>0.274218104452266</c:v>
                </c:pt>
                <c:pt idx="11">
                  <c:v>0.321097772114577</c:v>
                </c:pt>
                <c:pt idx="12">
                  <c:v>0.3203263859238</c:v>
                </c:pt>
                <c:pt idx="13">
                  <c:v>0.342669553816202</c:v>
                </c:pt>
                <c:pt idx="14">
                  <c:v>0.355253646282618</c:v>
                </c:pt>
                <c:pt idx="15">
                  <c:v>0.36181091725094</c:v>
                </c:pt>
                <c:pt idx="16">
                  <c:v>0.366157445799273</c:v>
                </c:pt>
                <c:pt idx="17">
                  <c:v>0.367020570414675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Charts'!$A$44</c:f>
              <c:strCache>
                <c:ptCount val="1"/>
                <c:pt idx="0">
                  <c:v>META</c:v>
                </c:pt>
              </c:strCache>
            </c:strRef>
          </c:tx>
          <c:spPr>
            <a:ln w="47520" cap="rnd" cmpd="sng" algn="ctr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Charts'!$B$44:$S$44</c:f>
              <c:numCache>
                <c:formatCode>0.0%</c:formatCode>
                <c:ptCount val="18"/>
                <c:pt idx="0">
                  <c:v>0.35619918699187</c:v>
                </c:pt>
                <c:pt idx="1">
                  <c:v>0.400673832825285</c:v>
                </c:pt>
                <c:pt idx="2">
                  <c:v>0.347241590896413</c:v>
                </c:pt>
                <c:pt idx="3">
                  <c:v>0.449634561111513</c:v>
                </c:pt>
                <c:pt idx="4">
                  <c:v>0.496937495387794</c:v>
                </c:pt>
                <c:pt idx="5">
                  <c:v>0.446165693613668</c:v>
                </c:pt>
                <c:pt idx="6">
                  <c:v>0.339274221496114</c:v>
                </c:pt>
                <c:pt idx="7">
                  <c:v>0.380045599423028</c:v>
                </c:pt>
                <c:pt idx="8">
                  <c:v>0.396450406600582</c:v>
                </c:pt>
                <c:pt idx="9">
                  <c:v>0.248222692931077</c:v>
                </c:pt>
                <c:pt idx="10">
                  <c:v>0.346557846124195</c:v>
                </c:pt>
                <c:pt idx="11">
                  <c:v>0.421762917933131</c:v>
                </c:pt>
                <c:pt idx="12">
                  <c:v>0.414380613539671</c:v>
                </c:pt>
                <c:pt idx="13">
                  <c:v>0.354617777658644</c:v>
                </c:pt>
                <c:pt idx="14">
                  <c:v>0.340842115995234</c:v>
                </c:pt>
                <c:pt idx="15">
                  <c:v>0.331377350179063</c:v>
                </c:pt>
                <c:pt idx="16">
                  <c:v>0.32287495749683</c:v>
                </c:pt>
                <c:pt idx="17">
                  <c:v>0.313057785144645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Charts'!$A$45</c:f>
              <c:strCache>
                <c:ptCount val="1"/>
                <c:pt idx="0">
                  <c:v>ORCL</c:v>
                </c:pt>
              </c:strCache>
            </c:strRef>
          </c:tx>
          <c:spPr>
            <a:ln w="47520" cap="rnd" cmpd="sng" algn="ctr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Charts'!$B$40:$S$40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Charts'!$B$45:$S$45</c:f>
              <c:numCache>
                <c:formatCode>0.0%</c:formatCode>
                <c:ptCount val="18"/>
                <c:pt idx="0">
                  <c:v>0.39416959707943</c:v>
                </c:pt>
                <c:pt idx="1">
                  <c:v>0.385276073619632</c:v>
                </c:pt>
                <c:pt idx="2">
                  <c:v>0.36258594097195</c:v>
                </c:pt>
                <c:pt idx="3">
                  <c:v>0.34012467280136</c:v>
                </c:pt>
                <c:pt idx="4">
                  <c:v>0.335365049209742</c:v>
                </c:pt>
                <c:pt idx="5">
                  <c:v>0.336385077730719</c:v>
                </c:pt>
                <c:pt idx="6">
                  <c:v>0.342441492726123</c:v>
                </c:pt>
                <c:pt idx="7">
                  <c:v>0.355667596550047</c:v>
                </c:pt>
                <c:pt idx="8">
                  <c:v>0.375830636594946</c:v>
                </c:pt>
                <c:pt idx="9">
                  <c:v>0.257463301995712</c:v>
                </c:pt>
                <c:pt idx="10">
                  <c:v>0.262115904313882</c:v>
                </c:pt>
                <c:pt idx="11">
                  <c:v>0.289911444270312</c:v>
                </c:pt>
                <c:pt idx="12">
                  <c:v>0.307984459659576</c:v>
                </c:pt>
                <c:pt idx="13">
                  <c:v>0.289246248332696</c:v>
                </c:pt>
                <c:pt idx="14">
                  <c:v>0.23797825280389</c:v>
                </c:pt>
                <c:pt idx="15">
                  <c:v>0.294398702858343</c:v>
                </c:pt>
                <c:pt idx="16">
                  <c:v>0.32118626604911</c:v>
                </c:pt>
                <c:pt idx="17">
                  <c:v>0.312321387266789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55337020"/>
        <c:axId val="88040210"/>
      </c:lineChart>
      <c:catAx>
        <c:axId val="553370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8040210"/>
        <c:crosses val="autoZero"/>
        <c:auto val="1"/>
        <c:lblAlgn val="ctr"/>
        <c:lblOffset val="100"/>
        <c:noMultiLvlLbl val="0"/>
      </c:catAx>
      <c:valAx>
        <c:axId val="8804021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53370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cfb74f-488e-440b-86cb-e2d7a8890ba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D&amp;A / Revenue %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Charts'!$A$50</c:f>
              <c:strCache>
                <c:ptCount val="1"/>
                <c:pt idx="0">
                  <c:v>MSFT</c:v>
                </c:pt>
              </c:strCache>
            </c:strRef>
          </c:tx>
          <c:spPr>
            <a:ln w="47520" cap="rnd" cmpd="sng" algn="ctr">
              <a:solidFill>
                <a:srgbClr val="90383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Charts'!$B$50:$S$50</c:f>
              <c:numCache>
                <c:formatCode>0.0%</c:formatCode>
                <c:ptCount val="18"/>
                <c:pt idx="0">
                  <c:v>0.0428907243509872</c:v>
                </c:pt>
                <c:pt idx="1">
                  <c:v>0.0488869439038154</c:v>
                </c:pt>
                <c:pt idx="2">
                  <c:v>0.0577046377431075</c:v>
                </c:pt>
                <c:pt idx="3">
                  <c:v>0.0688935771214252</c:v>
                </c:pt>
                <c:pt idx="4">
                  <c:v>0.0807695892141533</c:v>
                </c:pt>
                <c:pt idx="5">
                  <c:v>0.0897064153678869</c:v>
                </c:pt>
                <c:pt idx="6">
                  <c:v>0.0921783492129081</c:v>
                </c:pt>
                <c:pt idx="7">
                  <c:v>0.0860049645142118</c:v>
                </c:pt>
                <c:pt idx="8">
                  <c:v>0.0648469849126648</c:v>
                </c:pt>
                <c:pt idx="9">
                  <c:v>0.0736369597014173</c:v>
                </c:pt>
                <c:pt idx="10">
                  <c:v>0.0637047872967935</c:v>
                </c:pt>
                <c:pt idx="11">
                  <c:v>0.0815920235637764</c:v>
                </c:pt>
                <c:pt idx="12">
                  <c:v>0.0993880535559626</c:v>
                </c:pt>
                <c:pt idx="13">
                  <c:v>0.120322156151902</c:v>
                </c:pt>
                <c:pt idx="14">
                  <c:v>0.161305506475254</c:v>
                </c:pt>
                <c:pt idx="15">
                  <c:v>0.204963806289356</c:v>
                </c:pt>
                <c:pt idx="16">
                  <c:v>0.23749503625081</c:v>
                </c:pt>
                <c:pt idx="17">
                  <c:v>0.256198827702056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Charts'!$A$51</c:f>
              <c:strCache>
                <c:ptCount val="1"/>
                <c:pt idx="0">
                  <c:v>AMZN</c:v>
                </c:pt>
              </c:strCache>
            </c:strRef>
          </c:tx>
          <c:spPr>
            <a:ln w="47520" cap="rnd" cmpd="sng" algn="ctr">
              <a:solidFill>
                <a:srgbClr val="AA433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Charts'!$B$51:$S$51</c:f>
              <c:numCache>
                <c:formatCode>0.0%</c:formatCode>
                <c:ptCount val="18"/>
                <c:pt idx="0">
                  <c:v>0.0436919936067049</c:v>
                </c:pt>
                <c:pt idx="1">
                  <c:v>0.0533215565174787</c:v>
                </c:pt>
                <c:pt idx="2">
                  <c:v>0.0586973139974544</c:v>
                </c:pt>
                <c:pt idx="3">
                  <c:v>0.0596895291461684</c:v>
                </c:pt>
                <c:pt idx="4">
                  <c:v>0.0645317261309075</c:v>
                </c:pt>
                <c:pt idx="5">
                  <c:v>0.0658731487803098</c:v>
                </c:pt>
                <c:pt idx="6">
                  <c:v>0.0776730523809184</c:v>
                </c:pt>
                <c:pt idx="7">
                  <c:v>0.0654062538853662</c:v>
                </c:pt>
                <c:pt idx="8">
                  <c:v>0.0729978587635317</c:v>
                </c:pt>
                <c:pt idx="9">
                  <c:v>0.080666092069193</c:v>
                </c:pt>
                <c:pt idx="10">
                  <c:v>0.0846629609332185</c:v>
                </c:pt>
                <c:pt idx="11">
                  <c:v>0.0827561018811554</c:v>
                </c:pt>
                <c:pt idx="12">
                  <c:v>0.0917196243953334</c:v>
                </c:pt>
                <c:pt idx="13">
                  <c:v>0.0980858724771357</c:v>
                </c:pt>
                <c:pt idx="14">
                  <c:v>0.0958313626162915</c:v>
                </c:pt>
                <c:pt idx="15">
                  <c:v>0.113353361221732</c:v>
                </c:pt>
                <c:pt idx="16">
                  <c:v>0.127377899470562</c:v>
                </c:pt>
                <c:pt idx="17">
                  <c:v>0.13440275735048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Charts'!$A$52</c:f>
              <c:strCache>
                <c:ptCount val="1"/>
                <c:pt idx="0">
                  <c:v>GOOGL</c:v>
                </c:pt>
              </c:strCache>
            </c:strRef>
          </c:tx>
          <c:spPr>
            <a:ln w="4752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Charts'!$B$52:$S$52</c:f>
              <c:numCache>
                <c:formatCode>0.0%</c:formatCode>
                <c:ptCount val="18"/>
                <c:pt idx="0">
                  <c:v>0.0500909598515823</c:v>
                </c:pt>
                <c:pt idx="1">
                  <c:v>0.0533779791215285</c:v>
                </c:pt>
                <c:pt idx="2">
                  <c:v>0.0551014148741815</c:v>
                </c:pt>
                <c:pt idx="3">
                  <c:v>0.0583458879829848</c:v>
                </c:pt>
                <c:pt idx="4">
                  <c:v>0.055053899237743</c:v>
                </c:pt>
                <c:pt idx="5">
                  <c:v>0.059670075062674</c:v>
                </c:pt>
                <c:pt idx="6">
                  <c:v>0.0670715508133723</c:v>
                </c:pt>
                <c:pt idx="7">
                  <c:v>0.0707018687646211</c:v>
                </c:pt>
                <c:pt idx="8">
                  <c:v>0.0448499245061851</c:v>
                </c:pt>
                <c:pt idx="9">
                  <c:v>0.0540489895204288</c:v>
                </c:pt>
                <c:pt idx="10">
                  <c:v>0.0433515293076638</c:v>
                </c:pt>
                <c:pt idx="11">
                  <c:v>0.0437434646218194</c:v>
                </c:pt>
                <c:pt idx="12">
                  <c:v>0.0524680018667646</c:v>
                </c:pt>
                <c:pt idx="13">
                  <c:v>0.0878078621508295</c:v>
                </c:pt>
                <c:pt idx="14">
                  <c:v>0.117551138236728</c:v>
                </c:pt>
                <c:pt idx="15">
                  <c:v>0.140202635391807</c:v>
                </c:pt>
                <c:pt idx="16">
                  <c:v>0.156603153029435</c:v>
                </c:pt>
                <c:pt idx="17">
                  <c:v>0.169388668170233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Charts'!$A$53</c:f>
              <c:strCache>
                <c:ptCount val="1"/>
                <c:pt idx="0">
                  <c:v>META</c:v>
                </c:pt>
              </c:strCache>
            </c:strRef>
          </c:tx>
          <c:spPr>
            <a:ln w="47520" cap="rnd" cmpd="sng" algn="ctr">
              <a:solidFill>
                <a:srgbClr val="CC8F8E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Charts'!$B$53:$S$53</c:f>
              <c:numCache>
                <c:formatCode>0.0%</c:formatCode>
                <c:ptCount val="18"/>
                <c:pt idx="0">
                  <c:v>0.12842987804878</c:v>
                </c:pt>
                <c:pt idx="1">
                  <c:v>0.0997112145034494</c:v>
                </c:pt>
                <c:pt idx="2">
                  <c:v>0.108495565348357</c:v>
                </c:pt>
                <c:pt idx="3">
                  <c:v>0.0847384036471525</c:v>
                </c:pt>
                <c:pt idx="4">
                  <c:v>0.0744102526258825</c:v>
                </c:pt>
                <c:pt idx="5">
                  <c:v>0.0772771231061284</c:v>
                </c:pt>
                <c:pt idx="6">
                  <c:v>0.0812062831964807</c:v>
                </c:pt>
                <c:pt idx="7">
                  <c:v>0.0798222553102389</c:v>
                </c:pt>
                <c:pt idx="8">
                  <c:v>0.0675491185374251</c:v>
                </c:pt>
                <c:pt idx="9">
                  <c:v>0.0744882470478265</c:v>
                </c:pt>
                <c:pt idx="10">
                  <c:v>0.0828533517171852</c:v>
                </c:pt>
                <c:pt idx="11">
                  <c:v>0.0942127659574468</c:v>
                </c:pt>
                <c:pt idx="12">
                  <c:v>0.0926330455551962</c:v>
                </c:pt>
                <c:pt idx="13">
                  <c:v>0.140906872115809</c:v>
                </c:pt>
                <c:pt idx="14">
                  <c:v>0.184728970793823</c:v>
                </c:pt>
                <c:pt idx="15">
                  <c:v>0.22007811861814</c:v>
                </c:pt>
                <c:pt idx="16">
                  <c:v>0.245661608068325</c:v>
                </c:pt>
                <c:pt idx="17">
                  <c:v>0.265100899909223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Charts'!$A$54</c:f>
              <c:strCache>
                <c:ptCount val="1"/>
                <c:pt idx="0">
                  <c:v>ORCL</c:v>
                </c:pt>
              </c:strCache>
            </c:strRef>
          </c:tx>
          <c:spPr>
            <a:ln w="47520" cap="rnd" cmpd="sng" algn="ctr">
              <a:solidFill>
                <a:srgbClr val="DCB7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'8. Charts'!$B$49:$S$49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Charts'!$B$54:$S$54</c:f>
              <c:numCache>
                <c:formatCode>0.0%</c:formatCode>
                <c:ptCount val="18"/>
                <c:pt idx="0">
                  <c:v>0.0146565377285051</c:v>
                </c:pt>
                <c:pt idx="1">
                  <c:v>0.0158726014880564</c:v>
                </c:pt>
                <c:pt idx="2">
                  <c:v>0.0186129192481635</c:v>
                </c:pt>
                <c:pt idx="3">
                  <c:v>0.0235043311655018</c:v>
                </c:pt>
                <c:pt idx="4">
                  <c:v>0.0263859204728357</c:v>
                </c:pt>
                <c:pt idx="5">
                  <c:v>0.0295452816312039</c:v>
                </c:pt>
                <c:pt idx="6">
                  <c:v>0.0311195445920304</c:v>
                </c:pt>
                <c:pt idx="7">
                  <c:v>0.035369692626622</c:v>
                </c:pt>
                <c:pt idx="8">
                  <c:v>0.0379684296336553</c:v>
                </c:pt>
                <c:pt idx="9">
                  <c:v>0.0464645036639099</c:v>
                </c:pt>
                <c:pt idx="10">
                  <c:v>0.0505655089580623</c:v>
                </c:pt>
                <c:pt idx="11">
                  <c:v>0.0590812107022148</c:v>
                </c:pt>
                <c:pt idx="12">
                  <c:v>0.0673705116813882</c:v>
                </c:pt>
                <c:pt idx="13">
                  <c:v>0.111485990926891</c:v>
                </c:pt>
                <c:pt idx="14">
                  <c:v>0.189999957198541</c:v>
                </c:pt>
                <c:pt idx="15">
                  <c:v>0.219999992028382</c:v>
                </c:pt>
                <c:pt idx="16">
                  <c:v>0.239999997578589</c:v>
                </c:pt>
                <c:pt idx="17">
                  <c:v>0.259999995688612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60228426"/>
        <c:axId val="88485613"/>
      </c:lineChart>
      <c:catAx>
        <c:axId val="602284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8485613"/>
        <c:crosses val="autoZero"/>
        <c:auto val="1"/>
        <c:lblAlgn val="ctr"/>
        <c:lblOffset val="100"/>
        <c:noMultiLvlLbl val="0"/>
      </c:catAx>
      <c:valAx>
        <c:axId val="8848561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02284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f679ba-8868-4f8f-be2f-04992ade085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306720</xdr:colOff>
      <xdr:row>31</xdr:row>
      <xdr:rowOff>128160</xdr:rowOff>
    </xdr:to>
    <xdr:graphicFrame>
      <xdr:nvGraphicFramePr>
        <xdr:cNvPr id="2" name="Chart 1"/>
        <xdr:cNvGraphicFramePr/>
      </xdr:nvGraphicFramePr>
      <xdr:xfrm>
        <a:off x="0" y="1828800"/>
        <a:ext cx="7507605" cy="431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12</xdr:col>
      <xdr:colOff>306720</xdr:colOff>
      <xdr:row>57</xdr:row>
      <xdr:rowOff>128160</xdr:rowOff>
    </xdr:to>
    <xdr:graphicFrame>
      <xdr:nvGraphicFramePr>
        <xdr:cNvPr id="3" name="Chart 2"/>
        <xdr:cNvGraphicFramePr/>
      </xdr:nvGraphicFramePr>
      <xdr:xfrm>
        <a:off x="0" y="6781800"/>
        <a:ext cx="7507605" cy="431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12</xdr:col>
      <xdr:colOff>306720</xdr:colOff>
      <xdr:row>83</xdr:row>
      <xdr:rowOff>128520</xdr:rowOff>
    </xdr:to>
    <xdr:graphicFrame>
      <xdr:nvGraphicFramePr>
        <xdr:cNvPr id="4" name="Chart 3"/>
        <xdr:cNvGraphicFramePr/>
      </xdr:nvGraphicFramePr>
      <xdr:xfrm>
        <a:off x="0" y="11734800"/>
        <a:ext cx="7507605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22</xdr:col>
      <xdr:colOff>329760</xdr:colOff>
      <xdr:row>31</xdr:row>
      <xdr:rowOff>128160</xdr:rowOff>
    </xdr:to>
    <xdr:graphicFrame>
      <xdr:nvGraphicFramePr>
        <xdr:cNvPr id="5" name="Chart 4"/>
        <xdr:cNvGraphicFramePr/>
      </xdr:nvGraphicFramePr>
      <xdr:xfrm>
        <a:off x="6000750" y="1828800"/>
        <a:ext cx="7508875" cy="431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35</xdr:row>
      <xdr:rowOff>0</xdr:rowOff>
    </xdr:from>
    <xdr:to>
      <xdr:col>22</xdr:col>
      <xdr:colOff>329760</xdr:colOff>
      <xdr:row>57</xdr:row>
      <xdr:rowOff>128160</xdr:rowOff>
    </xdr:to>
    <xdr:graphicFrame>
      <xdr:nvGraphicFramePr>
        <xdr:cNvPr id="6" name="Chart 5"/>
        <xdr:cNvGraphicFramePr/>
      </xdr:nvGraphicFramePr>
      <xdr:xfrm>
        <a:off x="6000750" y="6781800"/>
        <a:ext cx="7508875" cy="431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22</xdr:col>
      <xdr:colOff>329760</xdr:colOff>
      <xdr:row>83</xdr:row>
      <xdr:rowOff>128520</xdr:rowOff>
    </xdr:to>
    <xdr:graphicFrame>
      <xdr:nvGraphicFramePr>
        <xdr:cNvPr id="7" name="Chart 6"/>
        <xdr:cNvGraphicFramePr/>
      </xdr:nvGraphicFramePr>
      <xdr:xfrm>
        <a:off x="6000750" y="11734800"/>
        <a:ext cx="7508875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7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T1"/>
    </sheetView>
  </sheetViews>
  <sheetFormatPr defaultColWidth="8.67619047619048" defaultRowHeight="15"/>
  <cols>
    <col min="1" max="1" width="10" style="1" customWidth="1"/>
    <col min="2" max="2" width="22" style="1" customWidth="1"/>
    <col min="3" max="21" width="10.5142857142857" style="1" customWidth="1"/>
  </cols>
  <sheetData>
    <row r="1" ht="24" customHeight="1" spans="1:20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</row>
    <row r="3" customHeight="1" spans="1:20">
      <c r="A3" s="69" t="s">
        <v>1</v>
      </c>
      <c r="B3" s="69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</row>
    <row r="4" customHeight="1" spans="1:20">
      <c r="A4" s="70" t="s">
        <v>21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</row>
    <row r="5" customHeight="1" spans="1:20">
      <c r="A5" s="71" t="s">
        <v>22</v>
      </c>
      <c r="B5" s="72" t="s">
        <v>23</v>
      </c>
      <c r="C5" s="73">
        <v>77849</v>
      </c>
      <c r="D5" s="73">
        <v>86833</v>
      </c>
      <c r="E5" s="73">
        <v>93580</v>
      </c>
      <c r="F5" s="73">
        <v>85320</v>
      </c>
      <c r="G5" s="73">
        <v>96571</v>
      </c>
      <c r="H5" s="73">
        <v>110360</v>
      </c>
      <c r="I5" s="73">
        <v>125843</v>
      </c>
      <c r="J5" s="73">
        <v>143015</v>
      </c>
      <c r="K5" s="73">
        <v>168088</v>
      </c>
      <c r="L5" s="73">
        <v>198270</v>
      </c>
      <c r="M5" s="73">
        <v>211915</v>
      </c>
      <c r="N5" s="73">
        <v>245122</v>
      </c>
      <c r="O5" s="73">
        <v>281724</v>
      </c>
      <c r="P5" s="73">
        <v>329440.24</v>
      </c>
      <c r="Q5" s="73">
        <v>387103.71</v>
      </c>
      <c r="R5" s="73">
        <v>463474.17</v>
      </c>
      <c r="S5" s="73">
        <v>553714.52</v>
      </c>
      <c r="T5" s="73">
        <v>652772.62</v>
      </c>
    </row>
    <row r="6" customHeight="1" spans="1:20">
      <c r="A6" s="71" t="s">
        <v>22</v>
      </c>
      <c r="B6" s="72" t="s">
        <v>24</v>
      </c>
      <c r="C6" s="73">
        <v>26764</v>
      </c>
      <c r="D6" s="73">
        <v>27759</v>
      </c>
      <c r="E6" s="73">
        <v>18161</v>
      </c>
      <c r="F6" s="73">
        <v>20182</v>
      </c>
      <c r="G6" s="73">
        <v>29025</v>
      </c>
      <c r="H6" s="73">
        <v>35058</v>
      </c>
      <c r="I6" s="73">
        <v>42959</v>
      </c>
      <c r="J6" s="73">
        <v>52959</v>
      </c>
      <c r="K6" s="73">
        <v>69916</v>
      </c>
      <c r="L6" s="73">
        <v>83383</v>
      </c>
      <c r="M6" s="73">
        <v>88523</v>
      </c>
      <c r="N6" s="73">
        <v>109433</v>
      </c>
      <c r="O6" s="73">
        <v>128528</v>
      </c>
      <c r="P6" s="73">
        <v>153454.1</v>
      </c>
      <c r="Q6" s="73">
        <v>179274.53</v>
      </c>
      <c r="R6" s="73">
        <v>217551.82</v>
      </c>
      <c r="S6" s="73">
        <v>266239.28</v>
      </c>
      <c r="T6" s="73">
        <v>318436.19</v>
      </c>
    </row>
    <row r="7" customHeight="1" spans="1:20">
      <c r="A7" s="71" t="s">
        <v>22</v>
      </c>
      <c r="B7" s="72" t="s">
        <v>25</v>
      </c>
      <c r="C7" s="73">
        <v>21863</v>
      </c>
      <c r="D7" s="73">
        <v>22074</v>
      </c>
      <c r="E7" s="73">
        <v>12193</v>
      </c>
      <c r="F7" s="73">
        <v>16798</v>
      </c>
      <c r="G7" s="73">
        <v>25489</v>
      </c>
      <c r="H7" s="73">
        <v>16571</v>
      </c>
      <c r="I7" s="73">
        <v>39240</v>
      </c>
      <c r="J7" s="73">
        <v>44281</v>
      </c>
      <c r="K7" s="73">
        <v>61271</v>
      </c>
      <c r="L7" s="73">
        <v>72738</v>
      </c>
      <c r="M7" s="73">
        <v>72361</v>
      </c>
      <c r="N7" s="73">
        <v>88136</v>
      </c>
      <c r="O7" s="73">
        <v>101832</v>
      </c>
      <c r="P7" s="73">
        <v>129372.86</v>
      </c>
      <c r="Q7" s="73">
        <v>144971.56</v>
      </c>
      <c r="R7" s="73">
        <v>175683.92</v>
      </c>
      <c r="S7" s="73">
        <v>215472.22</v>
      </c>
      <c r="T7" s="73">
        <v>258948.36</v>
      </c>
    </row>
    <row r="8" customHeight="1" spans="1:20">
      <c r="A8" s="71" t="s">
        <v>22</v>
      </c>
      <c r="B8" s="72" t="s">
        <v>26</v>
      </c>
      <c r="C8" s="74">
        <v>2.63</v>
      </c>
      <c r="D8" s="74">
        <v>2.66</v>
      </c>
      <c r="E8" s="74">
        <v>2.59</v>
      </c>
      <c r="F8" s="74">
        <v>2.79</v>
      </c>
      <c r="G8" s="74">
        <v>3.29</v>
      </c>
      <c r="H8" s="74">
        <v>3.88</v>
      </c>
      <c r="I8" s="74">
        <v>4.75</v>
      </c>
      <c r="J8" s="74">
        <v>5.76</v>
      </c>
      <c r="K8" s="74">
        <v>7.97</v>
      </c>
      <c r="L8" s="74">
        <v>9.21</v>
      </c>
      <c r="M8" s="74">
        <v>9.81</v>
      </c>
      <c r="N8" s="74">
        <v>11.8</v>
      </c>
      <c r="O8" s="74">
        <v>13.91</v>
      </c>
      <c r="P8" s="74">
        <v>16.75</v>
      </c>
      <c r="Q8" s="74">
        <v>19.47</v>
      </c>
      <c r="R8" s="74">
        <v>23.61</v>
      </c>
      <c r="S8" s="74">
        <v>28.97</v>
      </c>
      <c r="T8" s="74">
        <v>34.82</v>
      </c>
    </row>
    <row r="9" customHeight="1" spans="1:20">
      <c r="A9" s="71" t="s">
        <v>22</v>
      </c>
      <c r="B9" s="72" t="s">
        <v>27</v>
      </c>
      <c r="C9" s="73">
        <v>8452.25</v>
      </c>
      <c r="D9" s="73">
        <v>8385.25</v>
      </c>
      <c r="E9" s="73">
        <v>8254</v>
      </c>
      <c r="F9" s="73">
        <v>8012.25</v>
      </c>
      <c r="G9" s="73">
        <v>7831.25</v>
      </c>
      <c r="H9" s="73">
        <v>7792.25</v>
      </c>
      <c r="I9" s="73">
        <v>7752</v>
      </c>
      <c r="J9" s="73">
        <v>7681.5</v>
      </c>
      <c r="K9" s="73">
        <v>7607.75</v>
      </c>
      <c r="L9" s="73">
        <v>7540.5</v>
      </c>
      <c r="M9" s="73">
        <v>7472.25</v>
      </c>
      <c r="N9" s="73">
        <v>7468.5</v>
      </c>
      <c r="O9" s="73">
        <v>7467.75</v>
      </c>
      <c r="P9" s="73">
        <v>7453.97</v>
      </c>
      <c r="Q9" s="73">
        <v>7446.49</v>
      </c>
      <c r="R9" s="73">
        <v>7440.67</v>
      </c>
      <c r="S9" s="73">
        <v>7436.61</v>
      </c>
      <c r="T9" s="73">
        <v>7436.22</v>
      </c>
    </row>
    <row r="10" customHeight="1" spans="1:20">
      <c r="A10" s="71" t="s">
        <v>22</v>
      </c>
      <c r="B10" s="72" t="s">
        <v>28</v>
      </c>
      <c r="C10" s="73">
        <v>2406</v>
      </c>
      <c r="D10" s="73">
        <v>2446</v>
      </c>
      <c r="E10" s="73">
        <v>2574</v>
      </c>
      <c r="F10" s="73">
        <v>2668</v>
      </c>
      <c r="G10" s="73">
        <v>3266</v>
      </c>
      <c r="H10" s="73">
        <v>3940</v>
      </c>
      <c r="I10" s="73">
        <v>4652</v>
      </c>
      <c r="J10" s="73">
        <v>5289</v>
      </c>
      <c r="K10" s="73">
        <v>6118</v>
      </c>
      <c r="L10" s="73">
        <v>7502</v>
      </c>
      <c r="M10" s="73">
        <v>9611</v>
      </c>
      <c r="N10" s="73">
        <v>10734</v>
      </c>
      <c r="O10" s="73">
        <v>11974</v>
      </c>
      <c r="P10" s="73">
        <v>12189</v>
      </c>
      <c r="Q10" s="73">
        <v>10478.4</v>
      </c>
      <c r="R10" s="73">
        <v>11434.24</v>
      </c>
      <c r="S10" s="73">
        <v>12826.56</v>
      </c>
      <c r="T10" s="73">
        <v>14871.62</v>
      </c>
    </row>
    <row r="11" customHeight="1" spans="1:20">
      <c r="A11" s="71" t="s">
        <v>22</v>
      </c>
      <c r="B11" s="72" t="s">
        <v>29</v>
      </c>
      <c r="C11" s="73">
        <v>3339</v>
      </c>
      <c r="D11" s="73">
        <v>4245</v>
      </c>
      <c r="E11" s="73">
        <v>5400</v>
      </c>
      <c r="F11" s="73">
        <v>5878</v>
      </c>
      <c r="G11" s="73">
        <v>7800</v>
      </c>
      <c r="H11" s="73">
        <v>9900</v>
      </c>
      <c r="I11" s="73">
        <v>11600</v>
      </c>
      <c r="J11" s="73">
        <v>12300</v>
      </c>
      <c r="K11" s="73">
        <v>10900</v>
      </c>
      <c r="L11" s="73">
        <v>14600</v>
      </c>
      <c r="M11" s="73">
        <v>13500</v>
      </c>
      <c r="N11" s="73">
        <v>20000</v>
      </c>
      <c r="O11" s="73">
        <v>28000</v>
      </c>
      <c r="P11" s="73">
        <v>39638.96</v>
      </c>
      <c r="Q11" s="73">
        <v>62441.96</v>
      </c>
      <c r="R11" s="73">
        <v>94995.43</v>
      </c>
      <c r="S11" s="73">
        <v>131504.45</v>
      </c>
      <c r="T11" s="73">
        <v>167239.58</v>
      </c>
    </row>
    <row r="12" customHeight="1" spans="1:20">
      <c r="A12" s="71" t="s">
        <v>22</v>
      </c>
      <c r="B12" s="72" t="s">
        <v>30</v>
      </c>
      <c r="C12" s="73">
        <v>4257</v>
      </c>
      <c r="D12" s="73">
        <v>5485</v>
      </c>
      <c r="E12" s="73">
        <v>5944</v>
      </c>
      <c r="F12" s="73">
        <v>8932</v>
      </c>
      <c r="G12" s="73">
        <v>10200</v>
      </c>
      <c r="H12" s="73">
        <v>13600</v>
      </c>
      <c r="I12" s="73">
        <v>16900</v>
      </c>
      <c r="J12" s="73">
        <v>19000</v>
      </c>
      <c r="K12" s="73">
        <v>24200</v>
      </c>
      <c r="L12" s="73">
        <v>29200</v>
      </c>
      <c r="M12" s="73">
        <v>31900</v>
      </c>
      <c r="N12" s="73">
        <v>55700</v>
      </c>
      <c r="O12" s="73">
        <v>88200</v>
      </c>
      <c r="P12" s="73">
        <v>145871.3</v>
      </c>
      <c r="Q12" s="73">
        <v>245263.45</v>
      </c>
      <c r="R12" s="73">
        <v>286760.35</v>
      </c>
      <c r="S12" s="73">
        <v>300210.91</v>
      </c>
      <c r="T12" s="73">
        <v>304616.04</v>
      </c>
    </row>
    <row r="13" customHeight="1" spans="1:20">
      <c r="A13" s="71" t="s">
        <v>22</v>
      </c>
      <c r="B13" s="72" t="s">
        <v>31</v>
      </c>
      <c r="C13" s="73">
        <v>28833</v>
      </c>
      <c r="D13" s="73">
        <v>32231</v>
      </c>
      <c r="E13" s="73">
        <v>29080</v>
      </c>
      <c r="F13" s="73">
        <v>33325</v>
      </c>
      <c r="G13" s="73">
        <v>39507</v>
      </c>
      <c r="H13" s="73">
        <v>43884</v>
      </c>
      <c r="I13" s="73">
        <v>52185</v>
      </c>
      <c r="J13" s="73">
        <v>60675</v>
      </c>
      <c r="K13" s="73">
        <v>76740</v>
      </c>
      <c r="L13" s="73">
        <v>89035</v>
      </c>
      <c r="M13" s="73">
        <v>87582</v>
      </c>
      <c r="N13" s="73">
        <v>118548</v>
      </c>
      <c r="O13" s="73">
        <v>136162</v>
      </c>
      <c r="P13" s="73">
        <v>174558.18</v>
      </c>
      <c r="Q13" s="73">
        <v>232097.78</v>
      </c>
      <c r="R13" s="73">
        <v>294570.35</v>
      </c>
      <c r="S13" s="73">
        <v>359672.36</v>
      </c>
      <c r="T13" s="73">
        <v>438548.9</v>
      </c>
    </row>
    <row r="14" customHeight="1" spans="1:20">
      <c r="A14" s="71" t="s">
        <v>22</v>
      </c>
      <c r="B14" s="72" t="s">
        <v>32</v>
      </c>
      <c r="C14" s="73">
        <v>24576</v>
      </c>
      <c r="D14" s="73">
        <v>26746</v>
      </c>
      <c r="E14" s="73">
        <v>23136</v>
      </c>
      <c r="F14" s="73">
        <v>24393</v>
      </c>
      <c r="G14" s="73">
        <v>29307</v>
      </c>
      <c r="H14" s="73">
        <v>30284</v>
      </c>
      <c r="I14" s="73">
        <v>35285</v>
      </c>
      <c r="J14" s="73">
        <v>41675</v>
      </c>
      <c r="K14" s="73">
        <v>52540</v>
      </c>
      <c r="L14" s="73">
        <v>59835</v>
      </c>
      <c r="M14" s="73">
        <v>55682</v>
      </c>
      <c r="N14" s="73">
        <v>62848</v>
      </c>
      <c r="O14" s="73">
        <v>47962</v>
      </c>
      <c r="P14" s="73">
        <v>28686.88</v>
      </c>
      <c r="Q14" s="73">
        <v>-13165.67</v>
      </c>
      <c r="R14" s="73">
        <v>7810</v>
      </c>
      <c r="S14" s="73">
        <v>59461.45</v>
      </c>
      <c r="T14" s="73">
        <v>133932.86</v>
      </c>
    </row>
    <row r="15" customHeight="1" spans="1:20">
      <c r="A15" s="71" t="s">
        <v>22</v>
      </c>
      <c r="B15" s="72" t="s">
        <v>33</v>
      </c>
      <c r="C15" s="73">
        <v>5360</v>
      </c>
      <c r="D15" s="73">
        <v>7316</v>
      </c>
      <c r="E15" s="73">
        <v>14443</v>
      </c>
      <c r="F15" s="73">
        <v>15969</v>
      </c>
      <c r="G15" s="73">
        <v>11788</v>
      </c>
      <c r="H15" s="73">
        <v>10721</v>
      </c>
      <c r="I15" s="73">
        <v>19543</v>
      </c>
      <c r="J15" s="73">
        <v>22968</v>
      </c>
      <c r="K15" s="73">
        <v>27385</v>
      </c>
      <c r="L15" s="73">
        <v>32696</v>
      </c>
      <c r="M15" s="73">
        <v>22245</v>
      </c>
      <c r="N15" s="73">
        <v>17254</v>
      </c>
      <c r="O15" s="73">
        <v>18420</v>
      </c>
      <c r="P15" s="73">
        <v>22499.7</v>
      </c>
      <c r="Q15" s="73">
        <v>19070.28</v>
      </c>
      <c r="R15" s="73">
        <v>19500.41</v>
      </c>
      <c r="S15" s="73">
        <v>20126.95</v>
      </c>
      <c r="T15" s="73">
        <v>21047.23</v>
      </c>
    </row>
    <row r="16" customHeight="1" spans="1:20">
      <c r="A16" s="71" t="s">
        <v>22</v>
      </c>
      <c r="B16" s="72" t="s">
        <v>34</v>
      </c>
      <c r="C16" s="73">
        <v>0</v>
      </c>
      <c r="D16" s="73">
        <v>0</v>
      </c>
      <c r="E16" s="73">
        <v>0</v>
      </c>
      <c r="F16" s="73">
        <v>0</v>
      </c>
      <c r="G16" s="73">
        <v>0</v>
      </c>
      <c r="H16" s="73">
        <v>0</v>
      </c>
      <c r="I16" s="73">
        <v>0</v>
      </c>
      <c r="J16" s="73">
        <v>0</v>
      </c>
      <c r="K16" s="73">
        <v>0</v>
      </c>
      <c r="L16" s="73">
        <v>0</v>
      </c>
      <c r="M16" s="73">
        <v>72314</v>
      </c>
      <c r="N16" s="73">
        <v>87464</v>
      </c>
      <c r="O16" s="73">
        <v>106265</v>
      </c>
      <c r="P16" s="73">
        <v>136688.31</v>
      </c>
      <c r="Q16" s="73">
        <v>180358.14</v>
      </c>
      <c r="R16" s="73">
        <v>235873.55</v>
      </c>
      <c r="S16" s="73">
        <v>304531.45</v>
      </c>
      <c r="T16" s="73">
        <v>384276.13</v>
      </c>
    </row>
    <row r="17" customHeight="1" spans="1:20">
      <c r="A17" s="71" t="s">
        <v>22</v>
      </c>
      <c r="B17" s="72" t="s">
        <v>35</v>
      </c>
      <c r="C17" s="73">
        <v>9991</v>
      </c>
      <c r="D17" s="73">
        <v>13011</v>
      </c>
      <c r="E17" s="73">
        <v>14731</v>
      </c>
      <c r="F17" s="73">
        <v>18356</v>
      </c>
      <c r="G17" s="73">
        <v>23734</v>
      </c>
      <c r="H17" s="73">
        <v>29460</v>
      </c>
      <c r="I17" s="73">
        <v>36477</v>
      </c>
      <c r="J17" s="73">
        <v>44151</v>
      </c>
      <c r="K17" s="73">
        <v>59715</v>
      </c>
      <c r="L17" s="73">
        <v>74398</v>
      </c>
      <c r="M17" s="73">
        <v>95641</v>
      </c>
      <c r="N17" s="73">
        <v>135591</v>
      </c>
      <c r="O17" s="73">
        <v>204966</v>
      </c>
      <c r="P17" s="73">
        <v>314226</v>
      </c>
      <c r="Q17" s="73">
        <v>499947.5</v>
      </c>
      <c r="R17" s="73">
        <v>693712.41</v>
      </c>
      <c r="S17" s="73">
        <v>864268.87</v>
      </c>
      <c r="T17" s="73">
        <v>1003045.34</v>
      </c>
    </row>
    <row r="18" customHeight="1" spans="1:20">
      <c r="A18" s="71" t="s">
        <v>22</v>
      </c>
      <c r="B18" s="72" t="s">
        <v>36</v>
      </c>
      <c r="C18" s="75">
        <v>3.16</v>
      </c>
      <c r="D18" s="75">
        <v>2.69</v>
      </c>
      <c r="E18" s="75">
        <v>2.81</v>
      </c>
      <c r="F18" s="75">
        <v>2.83</v>
      </c>
      <c r="G18" s="75">
        <v>2.71</v>
      </c>
      <c r="H18" s="75">
        <v>2.73</v>
      </c>
      <c r="I18" s="75">
        <v>2.74</v>
      </c>
      <c r="J18" s="75">
        <v>3.08</v>
      </c>
      <c r="K18" s="75">
        <v>4.33</v>
      </c>
      <c r="L18" s="75">
        <v>4.12</v>
      </c>
      <c r="M18" s="75">
        <v>6.1</v>
      </c>
      <c r="N18" s="75">
        <v>5.59</v>
      </c>
      <c r="O18" s="75">
        <v>5.26</v>
      </c>
      <c r="P18" s="75">
        <v>4.89</v>
      </c>
      <c r="Q18" s="75">
        <v>4.36</v>
      </c>
      <c r="R18" s="75">
        <v>4.38</v>
      </c>
      <c r="S18" s="75">
        <v>4.6</v>
      </c>
      <c r="T18" s="75">
        <v>4.7</v>
      </c>
    </row>
    <row r="20" customHeight="1" spans="1:20">
      <c r="A20" s="76" t="s">
        <v>37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</row>
    <row r="21" customHeight="1" spans="1:20">
      <c r="A21" s="71" t="s">
        <v>38</v>
      </c>
      <c r="B21" s="72" t="s">
        <v>23</v>
      </c>
      <c r="C21" s="73">
        <v>74453</v>
      </c>
      <c r="D21" s="73">
        <v>88988.4</v>
      </c>
      <c r="E21" s="73">
        <v>107006.6</v>
      </c>
      <c r="F21" s="73">
        <v>135987</v>
      </c>
      <c r="G21" s="73">
        <v>177866</v>
      </c>
      <c r="H21" s="73">
        <v>232887</v>
      </c>
      <c r="I21" s="73">
        <v>280522</v>
      </c>
      <c r="J21" s="73">
        <v>386064</v>
      </c>
      <c r="K21" s="73">
        <v>469822</v>
      </c>
      <c r="L21" s="73">
        <v>513983</v>
      </c>
      <c r="M21" s="73">
        <v>574785</v>
      </c>
      <c r="N21" s="73">
        <v>637959</v>
      </c>
      <c r="O21" s="73">
        <v>716924</v>
      </c>
      <c r="P21" s="73">
        <v>827599.51</v>
      </c>
      <c r="Q21" s="73">
        <v>946630.91</v>
      </c>
      <c r="R21" s="73">
        <v>1063340.59</v>
      </c>
      <c r="S21" s="73">
        <v>1183117.72</v>
      </c>
      <c r="T21" s="73">
        <v>1305415.48</v>
      </c>
    </row>
    <row r="22" customHeight="1" spans="1:20">
      <c r="A22" s="71" t="s">
        <v>38</v>
      </c>
      <c r="B22" s="72" t="s">
        <v>24</v>
      </c>
      <c r="C22" s="73">
        <v>745</v>
      </c>
      <c r="D22" s="73">
        <v>178.4</v>
      </c>
      <c r="E22" s="73">
        <v>2232.6</v>
      </c>
      <c r="F22" s="73">
        <v>4186</v>
      </c>
      <c r="G22" s="73">
        <v>4107</v>
      </c>
      <c r="H22" s="73">
        <v>12420</v>
      </c>
      <c r="I22" s="73">
        <v>14540</v>
      </c>
      <c r="J22" s="73">
        <v>22899</v>
      </c>
      <c r="K22" s="73">
        <v>24879</v>
      </c>
      <c r="L22" s="73">
        <v>12248</v>
      </c>
      <c r="M22" s="73">
        <v>36852</v>
      </c>
      <c r="N22" s="73">
        <v>68593</v>
      </c>
      <c r="O22" s="73">
        <v>79975</v>
      </c>
      <c r="P22" s="73">
        <v>109001.86</v>
      </c>
      <c r="Q22" s="73">
        <v>146127.4</v>
      </c>
      <c r="R22" s="73">
        <v>183469.22</v>
      </c>
      <c r="S22" s="73">
        <v>223208.87</v>
      </c>
      <c r="T22" s="73">
        <v>264582.39</v>
      </c>
    </row>
    <row r="23" customHeight="1" spans="1:20">
      <c r="A23" s="71" t="s">
        <v>38</v>
      </c>
      <c r="B23" s="72" t="s">
        <v>25</v>
      </c>
      <c r="C23" s="73">
        <v>273</v>
      </c>
      <c r="D23" s="73">
        <v>-240.6</v>
      </c>
      <c r="E23" s="73">
        <v>596.1</v>
      </c>
      <c r="F23" s="73">
        <v>2371</v>
      </c>
      <c r="G23" s="73">
        <v>3033</v>
      </c>
      <c r="H23" s="73">
        <v>10073</v>
      </c>
      <c r="I23" s="73">
        <v>11588</v>
      </c>
      <c r="J23" s="73">
        <v>21331</v>
      </c>
      <c r="K23" s="73">
        <v>33364</v>
      </c>
      <c r="L23" s="73">
        <v>-2722</v>
      </c>
      <c r="M23" s="73">
        <v>30425</v>
      </c>
      <c r="N23" s="73">
        <v>59248</v>
      </c>
      <c r="O23" s="73">
        <v>77670</v>
      </c>
      <c r="P23" s="73">
        <v>98333.72</v>
      </c>
      <c r="Q23" s="73">
        <v>116218.4</v>
      </c>
      <c r="R23" s="73">
        <v>145016.4</v>
      </c>
      <c r="S23" s="73">
        <v>177176.2</v>
      </c>
      <c r="T23" s="73">
        <v>211925.99</v>
      </c>
    </row>
    <row r="24" customHeight="1" spans="1:20">
      <c r="A24" s="71" t="s">
        <v>38</v>
      </c>
      <c r="B24" s="72" t="s">
        <v>26</v>
      </c>
      <c r="C24" s="74">
        <v>0.03</v>
      </c>
      <c r="D24" s="74">
        <v>-0.03</v>
      </c>
      <c r="E24" s="74">
        <v>0.06</v>
      </c>
      <c r="F24" s="74">
        <v>0.24</v>
      </c>
      <c r="G24" s="74">
        <v>0.31</v>
      </c>
      <c r="H24" s="74">
        <v>1.01</v>
      </c>
      <c r="I24" s="74">
        <v>1.15</v>
      </c>
      <c r="J24" s="74">
        <v>2.08</v>
      </c>
      <c r="K24" s="74">
        <v>3.25</v>
      </c>
      <c r="L24" s="74">
        <v>-0.26</v>
      </c>
      <c r="M24" s="74">
        <v>2.88</v>
      </c>
      <c r="N24" s="74">
        <v>5.53</v>
      </c>
      <c r="O24" s="74">
        <v>7.17</v>
      </c>
      <c r="P24" s="74">
        <v>9.02</v>
      </c>
      <c r="Q24" s="74">
        <v>10.58</v>
      </c>
      <c r="R24" s="74">
        <v>13.11</v>
      </c>
      <c r="S24" s="74">
        <v>15.92</v>
      </c>
      <c r="T24" s="74">
        <v>18.92</v>
      </c>
    </row>
    <row r="25" customHeight="1" spans="1:20">
      <c r="A25" s="71" t="s">
        <v>38</v>
      </c>
      <c r="B25" s="72" t="s">
        <v>27</v>
      </c>
      <c r="C25" s="73">
        <v>9340</v>
      </c>
      <c r="D25" s="73">
        <v>9440</v>
      </c>
      <c r="E25" s="73">
        <v>9620</v>
      </c>
      <c r="F25" s="73">
        <v>9720</v>
      </c>
      <c r="G25" s="73">
        <v>9910</v>
      </c>
      <c r="H25" s="73">
        <v>10020</v>
      </c>
      <c r="I25" s="73">
        <v>10100</v>
      </c>
      <c r="J25" s="73">
        <v>10254</v>
      </c>
      <c r="K25" s="73">
        <v>10274.5</v>
      </c>
      <c r="L25" s="73">
        <v>10296.5</v>
      </c>
      <c r="M25" s="73">
        <v>10568.69</v>
      </c>
      <c r="N25" s="73">
        <v>10721</v>
      </c>
      <c r="O25" s="73">
        <v>10827</v>
      </c>
      <c r="P25" s="73">
        <v>10907.55</v>
      </c>
      <c r="Q25" s="73">
        <v>10986.16</v>
      </c>
      <c r="R25" s="73">
        <v>11059.39</v>
      </c>
      <c r="S25" s="73">
        <v>11131.13</v>
      </c>
      <c r="T25" s="73">
        <v>11201.4</v>
      </c>
    </row>
    <row r="26" customHeight="1" spans="1:20">
      <c r="A26" s="71" t="s">
        <v>38</v>
      </c>
      <c r="B26" s="72" t="s">
        <v>28</v>
      </c>
      <c r="C26" s="73">
        <v>-1134</v>
      </c>
      <c r="D26" s="73">
        <v>-1497</v>
      </c>
      <c r="E26" s="73">
        <v>-2120</v>
      </c>
      <c r="F26" s="73">
        <v>-2975</v>
      </c>
      <c r="G26" s="73">
        <v>-4214</v>
      </c>
      <c r="H26" s="73">
        <v>-5418</v>
      </c>
      <c r="I26" s="73">
        <v>-6864</v>
      </c>
      <c r="J26" s="73">
        <v>-9208</v>
      </c>
      <c r="K26" s="73">
        <v>-12757</v>
      </c>
      <c r="L26" s="73">
        <v>-19621</v>
      </c>
      <c r="M26" s="73">
        <v>-24023</v>
      </c>
      <c r="N26" s="73">
        <v>-22077.4</v>
      </c>
      <c r="O26" s="73">
        <v>-19467</v>
      </c>
      <c r="P26" s="73">
        <v>-18863.32</v>
      </c>
      <c r="Q26" s="73">
        <v>-17920.15</v>
      </c>
      <c r="R26" s="73">
        <v>-18816.16</v>
      </c>
      <c r="S26" s="73">
        <v>-19756.97</v>
      </c>
      <c r="T26" s="73">
        <v>-20744.82</v>
      </c>
    </row>
    <row r="27" customHeight="1" spans="1:20">
      <c r="A27" s="71" t="s">
        <v>38</v>
      </c>
      <c r="B27" s="72" t="s">
        <v>29</v>
      </c>
      <c r="C27" s="73">
        <v>3253</v>
      </c>
      <c r="D27" s="73">
        <v>4745</v>
      </c>
      <c r="E27" s="73">
        <v>6281</v>
      </c>
      <c r="F27" s="73">
        <v>8117</v>
      </c>
      <c r="G27" s="73">
        <v>11478</v>
      </c>
      <c r="H27" s="73">
        <v>15341</v>
      </c>
      <c r="I27" s="73">
        <v>21789</v>
      </c>
      <c r="J27" s="73">
        <v>25251</v>
      </c>
      <c r="K27" s="73">
        <v>34296</v>
      </c>
      <c r="L27" s="73">
        <v>41461</v>
      </c>
      <c r="M27" s="73">
        <v>48663</v>
      </c>
      <c r="N27" s="73">
        <v>52795</v>
      </c>
      <c r="O27" s="73">
        <v>65756</v>
      </c>
      <c r="P27" s="73">
        <v>81175.82</v>
      </c>
      <c r="Q27" s="73">
        <v>90716.93</v>
      </c>
      <c r="R27" s="73">
        <v>120533.23</v>
      </c>
      <c r="S27" s="73">
        <v>150703.05</v>
      </c>
      <c r="T27" s="73">
        <v>175451.44</v>
      </c>
    </row>
    <row r="28" customHeight="1" spans="1:20">
      <c r="A28" s="71" t="s">
        <v>38</v>
      </c>
      <c r="B28" s="72" t="s">
        <v>30</v>
      </c>
      <c r="C28" s="73">
        <v>3443</v>
      </c>
      <c r="D28" s="73">
        <v>4892</v>
      </c>
      <c r="E28" s="73">
        <v>4588</v>
      </c>
      <c r="F28" s="73">
        <v>6736</v>
      </c>
      <c r="G28" s="73">
        <v>10057</v>
      </c>
      <c r="H28" s="73">
        <v>11322</v>
      </c>
      <c r="I28" s="73">
        <v>12690</v>
      </c>
      <c r="J28" s="73">
        <v>35046</v>
      </c>
      <c r="K28" s="73">
        <v>55396</v>
      </c>
      <c r="L28" s="73">
        <v>58321</v>
      </c>
      <c r="M28" s="73">
        <v>48133</v>
      </c>
      <c r="N28" s="73">
        <v>77658</v>
      </c>
      <c r="O28" s="73">
        <v>128320</v>
      </c>
      <c r="P28" s="73">
        <v>200104.98</v>
      </c>
      <c r="Q28" s="73">
        <v>270141.72</v>
      </c>
      <c r="R28" s="73">
        <v>283648.81</v>
      </c>
      <c r="S28" s="73">
        <v>297831.25</v>
      </c>
      <c r="T28" s="73">
        <v>312722.81</v>
      </c>
    </row>
    <row r="29" customHeight="1" spans="1:20">
      <c r="A29" s="71" t="s">
        <v>38</v>
      </c>
      <c r="B29" s="72" t="s">
        <v>31</v>
      </c>
      <c r="C29" s="73">
        <v>5474</v>
      </c>
      <c r="D29" s="73">
        <v>6841.4</v>
      </c>
      <c r="E29" s="73">
        <v>11920.1</v>
      </c>
      <c r="F29" s="73">
        <v>17271</v>
      </c>
      <c r="G29" s="73">
        <v>18434</v>
      </c>
      <c r="H29" s="73">
        <v>30724</v>
      </c>
      <c r="I29" s="73">
        <v>38515</v>
      </c>
      <c r="J29" s="73">
        <v>66064</v>
      </c>
      <c r="K29" s="73">
        <v>46327</v>
      </c>
      <c r="L29" s="73">
        <v>46752</v>
      </c>
      <c r="M29" s="73">
        <v>84946</v>
      </c>
      <c r="N29" s="73">
        <v>115877</v>
      </c>
      <c r="O29" s="73">
        <v>139514</v>
      </c>
      <c r="P29" s="73">
        <v>181004.31</v>
      </c>
      <c r="Q29" s="73">
        <v>224443.7</v>
      </c>
      <c r="R29" s="73">
        <v>281471.71</v>
      </c>
      <c r="S29" s="73">
        <v>342814.42</v>
      </c>
      <c r="T29" s="73">
        <v>401080.41</v>
      </c>
    </row>
    <row r="30" customHeight="1" spans="1:20">
      <c r="A30" s="71" t="s">
        <v>38</v>
      </c>
      <c r="B30" s="72" t="s">
        <v>32</v>
      </c>
      <c r="C30" s="73">
        <v>2031</v>
      </c>
      <c r="D30" s="73">
        <v>1949.4</v>
      </c>
      <c r="E30" s="73">
        <v>7332.1</v>
      </c>
      <c r="F30" s="73">
        <v>10535</v>
      </c>
      <c r="G30" s="73">
        <v>8377</v>
      </c>
      <c r="H30" s="73">
        <v>19402</v>
      </c>
      <c r="I30" s="73">
        <v>25825</v>
      </c>
      <c r="J30" s="73">
        <v>31018</v>
      </c>
      <c r="K30" s="73">
        <v>-9069</v>
      </c>
      <c r="L30" s="73">
        <v>-11569</v>
      </c>
      <c r="M30" s="73">
        <v>36813</v>
      </c>
      <c r="N30" s="73">
        <v>38219</v>
      </c>
      <c r="O30" s="73">
        <v>11194</v>
      </c>
      <c r="P30" s="73">
        <v>-19100.67</v>
      </c>
      <c r="Q30" s="73">
        <v>-45698.02</v>
      </c>
      <c r="R30" s="73">
        <v>-2177.1</v>
      </c>
      <c r="S30" s="73">
        <v>44983.17</v>
      </c>
      <c r="T30" s="73">
        <v>88357.6</v>
      </c>
    </row>
    <row r="31" customHeight="1" spans="1:20">
      <c r="A31" s="71" t="s">
        <v>38</v>
      </c>
      <c r="B31" s="72" t="s">
        <v>33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6000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</row>
    <row r="32" customHeight="1" spans="1:20">
      <c r="A32" s="71" t="s">
        <v>38</v>
      </c>
      <c r="B32" s="72" t="s">
        <v>39</v>
      </c>
      <c r="C32" s="73">
        <v>3107.57</v>
      </c>
      <c r="D32" s="73">
        <v>4644</v>
      </c>
      <c r="E32" s="73">
        <v>7880</v>
      </c>
      <c r="F32" s="73">
        <v>12219</v>
      </c>
      <c r="G32" s="73">
        <v>17458</v>
      </c>
      <c r="H32" s="73">
        <v>25656</v>
      </c>
      <c r="I32" s="73">
        <v>35026</v>
      </c>
      <c r="J32" s="73">
        <v>45370</v>
      </c>
      <c r="K32" s="73">
        <v>62202</v>
      </c>
      <c r="L32" s="73">
        <v>80096</v>
      </c>
      <c r="M32" s="73">
        <v>90757</v>
      </c>
      <c r="N32" s="73">
        <v>107556</v>
      </c>
      <c r="O32" s="73">
        <v>128725</v>
      </c>
      <c r="P32" s="73">
        <v>171284.9</v>
      </c>
      <c r="Q32" s="73">
        <v>225587.94</v>
      </c>
      <c r="R32" s="73">
        <v>274421.67</v>
      </c>
      <c r="S32" s="73">
        <v>323817.58</v>
      </c>
      <c r="T32" s="73">
        <v>374009.3</v>
      </c>
    </row>
    <row r="33" customHeight="1" spans="1:20">
      <c r="A33" s="71" t="s">
        <v>38</v>
      </c>
      <c r="B33" s="72" t="s">
        <v>40</v>
      </c>
      <c r="C33" s="77"/>
      <c r="D33" s="73">
        <v>458</v>
      </c>
      <c r="E33" s="73">
        <v>1508</v>
      </c>
      <c r="F33" s="73">
        <v>3109</v>
      </c>
      <c r="G33" s="73">
        <v>4331</v>
      </c>
      <c r="H33" s="73">
        <v>7296</v>
      </c>
      <c r="I33" s="73">
        <v>9201</v>
      </c>
      <c r="J33" s="73">
        <v>13531</v>
      </c>
      <c r="K33" s="73">
        <v>18532</v>
      </c>
      <c r="L33" s="73">
        <v>22841</v>
      </c>
      <c r="M33" s="73">
        <v>24631</v>
      </c>
      <c r="N33" s="73">
        <v>39834</v>
      </c>
      <c r="O33" s="73">
        <v>45606</v>
      </c>
      <c r="P33" s="73">
        <v>61254.41</v>
      </c>
      <c r="Q33" s="73">
        <v>81248.3</v>
      </c>
      <c r="R33" s="73">
        <v>100888.47</v>
      </c>
      <c r="S33" s="73">
        <v>121477.03</v>
      </c>
      <c r="T33" s="73">
        <v>143111.04</v>
      </c>
    </row>
    <row r="35" customHeight="1" spans="1:20">
      <c r="A35" s="78" t="s">
        <v>41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</row>
    <row r="36" customHeight="1" spans="1:20">
      <c r="A36" s="71" t="s">
        <v>42</v>
      </c>
      <c r="B36" s="72" t="s">
        <v>23</v>
      </c>
      <c r="C36" s="73">
        <v>55519</v>
      </c>
      <c r="D36" s="73">
        <v>66001</v>
      </c>
      <c r="E36" s="73">
        <v>74989</v>
      </c>
      <c r="F36" s="73">
        <v>90272</v>
      </c>
      <c r="G36" s="73">
        <v>110855</v>
      </c>
      <c r="H36" s="73">
        <v>136819</v>
      </c>
      <c r="I36" s="73">
        <v>161857</v>
      </c>
      <c r="J36" s="73">
        <v>182527</v>
      </c>
      <c r="K36" s="73">
        <v>257637</v>
      </c>
      <c r="L36" s="73">
        <v>282836</v>
      </c>
      <c r="M36" s="73">
        <v>307394</v>
      </c>
      <c r="N36" s="73">
        <v>350018</v>
      </c>
      <c r="O36" s="73">
        <v>402836</v>
      </c>
      <c r="P36" s="73">
        <v>488278.6</v>
      </c>
      <c r="Q36" s="73">
        <v>591935.74</v>
      </c>
      <c r="R36" s="73">
        <v>701414.49</v>
      </c>
      <c r="S36" s="73">
        <v>815276.88</v>
      </c>
      <c r="T36" s="73">
        <v>921874.95</v>
      </c>
    </row>
    <row r="37" customHeight="1" spans="1:20">
      <c r="A37" s="71" t="s">
        <v>42</v>
      </c>
      <c r="B37" s="72" t="s">
        <v>24</v>
      </c>
      <c r="C37" s="73">
        <v>15403</v>
      </c>
      <c r="D37" s="73">
        <v>16496</v>
      </c>
      <c r="E37" s="73">
        <v>19360</v>
      </c>
      <c r="F37" s="73">
        <v>23716</v>
      </c>
      <c r="G37" s="73">
        <v>26146</v>
      </c>
      <c r="H37" s="73">
        <v>26953</v>
      </c>
      <c r="I37" s="73">
        <v>34231</v>
      </c>
      <c r="J37" s="73">
        <v>41224</v>
      </c>
      <c r="K37" s="73">
        <v>78714</v>
      </c>
      <c r="L37" s="73">
        <v>74842</v>
      </c>
      <c r="M37" s="73">
        <v>84293</v>
      </c>
      <c r="N37" s="73">
        <v>112390</v>
      </c>
      <c r="O37" s="73">
        <v>129039</v>
      </c>
      <c r="P37" s="73">
        <v>167318.21</v>
      </c>
      <c r="Q37" s="73">
        <v>210287.33</v>
      </c>
      <c r="R37" s="73">
        <v>253779.42</v>
      </c>
      <c r="S37" s="73">
        <v>298519.7</v>
      </c>
      <c r="T37" s="73">
        <v>338347.07</v>
      </c>
    </row>
    <row r="38" customHeight="1" spans="1:20">
      <c r="A38" s="71" t="s">
        <v>42</v>
      </c>
      <c r="B38" s="72" t="s">
        <v>25</v>
      </c>
      <c r="C38" s="73">
        <v>12720</v>
      </c>
      <c r="D38" s="73">
        <v>14136</v>
      </c>
      <c r="E38" s="73">
        <v>16348</v>
      </c>
      <c r="F38" s="73">
        <v>19478</v>
      </c>
      <c r="G38" s="73">
        <v>12662</v>
      </c>
      <c r="H38" s="73">
        <v>30736</v>
      </c>
      <c r="I38" s="73">
        <v>34343</v>
      </c>
      <c r="J38" s="73">
        <v>40269</v>
      </c>
      <c r="K38" s="73">
        <v>76033</v>
      </c>
      <c r="L38" s="73">
        <v>59972</v>
      </c>
      <c r="M38" s="73">
        <v>73795</v>
      </c>
      <c r="N38" s="73">
        <v>100118</v>
      </c>
      <c r="O38" s="73">
        <v>132170</v>
      </c>
      <c r="P38" s="73">
        <v>168543.28</v>
      </c>
      <c r="Q38" s="73">
        <v>174626.97</v>
      </c>
      <c r="R38" s="73">
        <v>210753.44</v>
      </c>
      <c r="S38" s="73">
        <v>249488.6</v>
      </c>
      <c r="T38" s="73">
        <v>285975.76</v>
      </c>
    </row>
    <row r="39" customHeight="1" spans="1:20">
      <c r="A39" s="71" t="s">
        <v>42</v>
      </c>
      <c r="B39" s="72" t="s">
        <v>26</v>
      </c>
      <c r="C39" s="74">
        <v>0.94</v>
      </c>
      <c r="D39" s="74">
        <v>1.03</v>
      </c>
      <c r="E39" s="74">
        <v>1.18</v>
      </c>
      <c r="F39" s="74">
        <v>1.39</v>
      </c>
      <c r="G39" s="74">
        <v>0.9</v>
      </c>
      <c r="H39" s="74">
        <v>2.19</v>
      </c>
      <c r="I39" s="74">
        <v>2.46</v>
      </c>
      <c r="J39" s="74">
        <v>2.93</v>
      </c>
      <c r="K39" s="74">
        <v>5.61</v>
      </c>
      <c r="L39" s="74">
        <v>4.56</v>
      </c>
      <c r="M39" s="74">
        <v>5.8</v>
      </c>
      <c r="N39" s="74">
        <v>8.04</v>
      </c>
      <c r="O39" s="74">
        <v>10.81</v>
      </c>
      <c r="P39" s="74">
        <v>13.73</v>
      </c>
      <c r="Q39" s="74">
        <v>14.16</v>
      </c>
      <c r="R39" s="74">
        <v>17.04</v>
      </c>
      <c r="S39" s="74">
        <v>20.12</v>
      </c>
      <c r="T39" s="74">
        <v>22.99</v>
      </c>
    </row>
    <row r="40" customHeight="1" spans="1:20">
      <c r="A40" s="71" t="s">
        <v>42</v>
      </c>
      <c r="B40" s="72" t="s">
        <v>27</v>
      </c>
      <c r="C40" s="73">
        <v>13552.38</v>
      </c>
      <c r="D40" s="73">
        <v>13741.41</v>
      </c>
      <c r="E40" s="73">
        <v>13858.6</v>
      </c>
      <c r="F40" s="73">
        <v>13974.09</v>
      </c>
      <c r="G40" s="73">
        <v>14071.67</v>
      </c>
      <c r="H40" s="73">
        <v>14065.69</v>
      </c>
      <c r="I40" s="73">
        <v>13971.13</v>
      </c>
      <c r="J40" s="73">
        <v>13740.56</v>
      </c>
      <c r="K40" s="73">
        <v>13553</v>
      </c>
      <c r="L40" s="73">
        <v>13159</v>
      </c>
      <c r="M40" s="73">
        <v>12722</v>
      </c>
      <c r="N40" s="73">
        <v>12447</v>
      </c>
      <c r="O40" s="73">
        <v>12230</v>
      </c>
      <c r="P40" s="73">
        <v>12275.96</v>
      </c>
      <c r="Q40" s="73">
        <v>12335.53</v>
      </c>
      <c r="R40" s="73">
        <v>12366.42</v>
      </c>
      <c r="S40" s="73">
        <v>12399.99</v>
      </c>
      <c r="T40" s="73">
        <v>12436.85</v>
      </c>
    </row>
    <row r="41" customHeight="1" spans="1:20">
      <c r="A41" s="71" t="s">
        <v>42</v>
      </c>
      <c r="B41" s="72" t="s">
        <v>28</v>
      </c>
      <c r="C41" s="73">
        <v>-3268</v>
      </c>
      <c r="D41" s="73">
        <v>-4175</v>
      </c>
      <c r="E41" s="73">
        <v>-4903</v>
      </c>
      <c r="F41" s="73">
        <v>-6703</v>
      </c>
      <c r="G41" s="73">
        <v>-7679</v>
      </c>
      <c r="H41" s="73">
        <v>-9353</v>
      </c>
      <c r="I41" s="73">
        <v>-10794</v>
      </c>
      <c r="J41" s="73">
        <v>-12991</v>
      </c>
      <c r="K41" s="73">
        <v>-15376</v>
      </c>
      <c r="L41" s="73">
        <v>-19362</v>
      </c>
      <c r="M41" s="73">
        <v>-22460</v>
      </c>
      <c r="N41" s="73">
        <v>-22785</v>
      </c>
      <c r="O41" s="73">
        <v>-24953</v>
      </c>
      <c r="P41" s="73">
        <v>-27937.33</v>
      </c>
      <c r="Q41" s="73">
        <v>-30032.63</v>
      </c>
      <c r="R41" s="73">
        <v>-31979.73</v>
      </c>
      <c r="S41" s="73">
        <v>-33657.1</v>
      </c>
      <c r="T41" s="73">
        <v>-35339.95</v>
      </c>
    </row>
    <row r="42" customHeight="1" spans="1:20">
      <c r="A42" s="71" t="s">
        <v>42</v>
      </c>
      <c r="B42" s="72" t="s">
        <v>29</v>
      </c>
      <c r="C42" s="73">
        <v>2781</v>
      </c>
      <c r="D42" s="73">
        <v>3523</v>
      </c>
      <c r="E42" s="73">
        <v>4132</v>
      </c>
      <c r="F42" s="73">
        <v>5267</v>
      </c>
      <c r="G42" s="73">
        <v>6103</v>
      </c>
      <c r="H42" s="73">
        <v>8164</v>
      </c>
      <c r="I42" s="73">
        <v>10856</v>
      </c>
      <c r="J42" s="73">
        <v>12905</v>
      </c>
      <c r="K42" s="73">
        <v>11555</v>
      </c>
      <c r="L42" s="73">
        <v>15287</v>
      </c>
      <c r="M42" s="73">
        <v>13326</v>
      </c>
      <c r="N42" s="73">
        <v>15311</v>
      </c>
      <c r="O42" s="73">
        <v>21136</v>
      </c>
      <c r="P42" s="73">
        <v>42874.7</v>
      </c>
      <c r="Q42" s="73">
        <v>69582.72</v>
      </c>
      <c r="R42" s="73">
        <v>98340.16</v>
      </c>
      <c r="S42" s="73">
        <v>127674.93</v>
      </c>
      <c r="T42" s="73">
        <v>156155.17</v>
      </c>
    </row>
    <row r="43" customHeight="1" spans="1:20">
      <c r="A43" s="71" t="s">
        <v>42</v>
      </c>
      <c r="B43" s="72" t="s">
        <v>30</v>
      </c>
      <c r="C43" s="73">
        <v>7358</v>
      </c>
      <c r="D43" s="73">
        <v>10959</v>
      </c>
      <c r="E43" s="73">
        <v>9915</v>
      </c>
      <c r="F43" s="73">
        <v>10183</v>
      </c>
      <c r="G43" s="73">
        <v>13184</v>
      </c>
      <c r="H43" s="73">
        <v>25139</v>
      </c>
      <c r="I43" s="73">
        <v>23548</v>
      </c>
      <c r="J43" s="73">
        <v>22281</v>
      </c>
      <c r="K43" s="73">
        <v>24640</v>
      </c>
      <c r="L43" s="73">
        <v>31485</v>
      </c>
      <c r="M43" s="73">
        <v>32251</v>
      </c>
      <c r="N43" s="73">
        <v>52535</v>
      </c>
      <c r="O43" s="73">
        <v>91447</v>
      </c>
      <c r="P43" s="73">
        <v>185234.28</v>
      </c>
      <c r="Q43" s="73">
        <v>259327.99</v>
      </c>
      <c r="R43" s="73">
        <v>285260.79</v>
      </c>
      <c r="S43" s="73">
        <v>299523.83</v>
      </c>
      <c r="T43" s="73">
        <v>314500.02</v>
      </c>
    </row>
    <row r="44" customHeight="1" spans="1:20">
      <c r="A44" s="71" t="s">
        <v>42</v>
      </c>
      <c r="B44" s="72" t="s">
        <v>31</v>
      </c>
      <c r="C44" s="73">
        <v>18584</v>
      </c>
      <c r="D44" s="73">
        <v>22272</v>
      </c>
      <c r="E44" s="73">
        <v>25829</v>
      </c>
      <c r="F44" s="73">
        <v>36036</v>
      </c>
      <c r="G44" s="73">
        <v>37091</v>
      </c>
      <c r="H44" s="73">
        <v>47971</v>
      </c>
      <c r="I44" s="73">
        <v>54520</v>
      </c>
      <c r="J44" s="73">
        <v>65124</v>
      </c>
      <c r="K44" s="73">
        <v>91652</v>
      </c>
      <c r="L44" s="73">
        <v>91495</v>
      </c>
      <c r="M44" s="73">
        <v>101746</v>
      </c>
      <c r="N44" s="73">
        <v>125299</v>
      </c>
      <c r="O44" s="73">
        <v>164713</v>
      </c>
      <c r="P44" s="73">
        <v>211985.47</v>
      </c>
      <c r="Q44" s="73">
        <v>282346.21</v>
      </c>
      <c r="R44" s="73">
        <v>352943.8</v>
      </c>
      <c r="S44" s="73">
        <v>424226.82</v>
      </c>
      <c r="T44" s="73">
        <v>490867.35</v>
      </c>
    </row>
    <row r="45" customHeight="1" spans="1:20">
      <c r="A45" s="71" t="s">
        <v>42</v>
      </c>
      <c r="B45" s="72" t="s">
        <v>32</v>
      </c>
      <c r="C45" s="73">
        <v>11226</v>
      </c>
      <c r="D45" s="73">
        <v>11313</v>
      </c>
      <c r="E45" s="73">
        <v>15914</v>
      </c>
      <c r="F45" s="73">
        <v>25853</v>
      </c>
      <c r="G45" s="73">
        <v>23907</v>
      </c>
      <c r="H45" s="73">
        <v>22832</v>
      </c>
      <c r="I45" s="73">
        <v>30972</v>
      </c>
      <c r="J45" s="73">
        <v>42843</v>
      </c>
      <c r="K45" s="73">
        <v>67012</v>
      </c>
      <c r="L45" s="73">
        <v>60010</v>
      </c>
      <c r="M45" s="73">
        <v>69495</v>
      </c>
      <c r="N45" s="73">
        <v>72764</v>
      </c>
      <c r="O45" s="73">
        <v>73266</v>
      </c>
      <c r="P45" s="73">
        <v>26751.19</v>
      </c>
      <c r="Q45" s="73">
        <v>23018.22</v>
      </c>
      <c r="R45" s="73">
        <v>67683.01</v>
      </c>
      <c r="S45" s="73">
        <v>124702.99</v>
      </c>
      <c r="T45" s="73">
        <v>176367.33</v>
      </c>
    </row>
    <row r="46" customHeight="1" spans="1:20">
      <c r="A46" s="71" t="s">
        <v>42</v>
      </c>
      <c r="B46" s="72" t="s">
        <v>33</v>
      </c>
      <c r="C46" s="73">
        <v>0</v>
      </c>
      <c r="D46" s="73">
        <v>0</v>
      </c>
      <c r="E46" s="73">
        <v>1827</v>
      </c>
      <c r="F46" s="73">
        <v>3693</v>
      </c>
      <c r="G46" s="73">
        <v>4846</v>
      </c>
      <c r="H46" s="73">
        <v>9075</v>
      </c>
      <c r="I46" s="73">
        <v>18396</v>
      </c>
      <c r="J46" s="73">
        <v>31149</v>
      </c>
      <c r="K46" s="73">
        <v>50274</v>
      </c>
      <c r="L46" s="73">
        <v>59296</v>
      </c>
      <c r="M46" s="73">
        <v>61504</v>
      </c>
      <c r="N46" s="73">
        <v>62222</v>
      </c>
      <c r="O46" s="73">
        <v>45709</v>
      </c>
      <c r="P46" s="73">
        <v>0</v>
      </c>
      <c r="Q46" s="73">
        <v>20000</v>
      </c>
      <c r="R46" s="73">
        <v>20000</v>
      </c>
      <c r="S46" s="73">
        <v>20000</v>
      </c>
      <c r="T46" s="73">
        <v>15000</v>
      </c>
    </row>
    <row r="47" customHeight="1" spans="1:20">
      <c r="A47" s="71" t="s">
        <v>42</v>
      </c>
      <c r="B47" s="72" t="s">
        <v>43</v>
      </c>
      <c r="C47" s="77"/>
      <c r="D47" s="77"/>
      <c r="E47" s="77"/>
      <c r="F47" s="77"/>
      <c r="G47" s="73">
        <v>4056</v>
      </c>
      <c r="H47" s="73">
        <v>5838</v>
      </c>
      <c r="I47" s="73">
        <v>8918</v>
      </c>
      <c r="J47" s="73">
        <v>13059</v>
      </c>
      <c r="K47" s="73">
        <v>19206</v>
      </c>
      <c r="L47" s="73">
        <v>26280</v>
      </c>
      <c r="M47" s="73">
        <v>33088</v>
      </c>
      <c r="N47" s="73">
        <v>43229</v>
      </c>
      <c r="O47" s="73">
        <v>58705</v>
      </c>
      <c r="P47" s="73">
        <v>99085.93</v>
      </c>
      <c r="Q47" s="73">
        <v>157303.91</v>
      </c>
      <c r="R47" s="73">
        <v>220225.47</v>
      </c>
      <c r="S47" s="73">
        <v>286293.12</v>
      </c>
      <c r="T47" s="73">
        <v>343551.74</v>
      </c>
    </row>
    <row r="48" customHeight="1" spans="1:20">
      <c r="A48" s="71" t="s">
        <v>42</v>
      </c>
      <c r="B48" s="72" t="s">
        <v>44</v>
      </c>
      <c r="C48" s="77"/>
      <c r="D48" s="77"/>
      <c r="E48" s="77"/>
      <c r="F48" s="77"/>
      <c r="G48" s="73">
        <v>69811</v>
      </c>
      <c r="H48" s="73">
        <v>85296</v>
      </c>
      <c r="I48" s="73">
        <v>98115</v>
      </c>
      <c r="J48" s="73">
        <v>104062</v>
      </c>
      <c r="K48" s="73">
        <v>148951</v>
      </c>
      <c r="L48" s="73">
        <v>162450</v>
      </c>
      <c r="M48" s="73">
        <v>175033</v>
      </c>
      <c r="N48" s="73">
        <v>198084</v>
      </c>
      <c r="O48" s="73">
        <v>224532</v>
      </c>
      <c r="P48" s="73">
        <v>258723.55</v>
      </c>
      <c r="Q48" s="73">
        <v>291360.5</v>
      </c>
      <c r="R48" s="73">
        <v>324483.39</v>
      </c>
      <c r="S48" s="73">
        <v>358139.29</v>
      </c>
      <c r="T48" s="73">
        <v>392613.71</v>
      </c>
    </row>
    <row r="49" customHeight="1" spans="1:20">
      <c r="A49" s="71" t="s">
        <v>42</v>
      </c>
      <c r="B49" s="72" t="s">
        <v>45</v>
      </c>
      <c r="C49" s="77"/>
      <c r="D49" s="77"/>
      <c r="E49" s="77"/>
      <c r="F49" s="77"/>
      <c r="G49" s="73">
        <v>8150</v>
      </c>
      <c r="H49" s="73">
        <v>11115</v>
      </c>
      <c r="I49" s="73">
        <v>15149</v>
      </c>
      <c r="J49" s="73">
        <v>19772</v>
      </c>
      <c r="K49" s="73">
        <v>28845</v>
      </c>
      <c r="L49" s="73">
        <v>29243</v>
      </c>
      <c r="M49" s="73">
        <v>31510</v>
      </c>
      <c r="N49" s="73">
        <v>36147</v>
      </c>
      <c r="O49" s="73">
        <v>40367</v>
      </c>
      <c r="P49" s="73">
        <v>43997.73</v>
      </c>
      <c r="Q49" s="73">
        <v>49277.45</v>
      </c>
      <c r="R49" s="73">
        <v>54574.78</v>
      </c>
      <c r="S49" s="73">
        <v>59759.38</v>
      </c>
      <c r="T49" s="73">
        <v>64838.93</v>
      </c>
    </row>
    <row r="50" customHeight="1" spans="1:20">
      <c r="A50" s="71" t="s">
        <v>42</v>
      </c>
      <c r="B50" s="72" t="s">
        <v>46</v>
      </c>
      <c r="C50" s="77"/>
      <c r="D50" s="77"/>
      <c r="E50" s="77"/>
      <c r="F50" s="77"/>
      <c r="G50" s="77"/>
      <c r="H50" s="73">
        <v>-4348</v>
      </c>
      <c r="I50" s="73">
        <v>-4645</v>
      </c>
      <c r="J50" s="73">
        <v>-5607</v>
      </c>
      <c r="K50" s="73">
        <v>-2282</v>
      </c>
      <c r="L50" s="73">
        <v>-1922</v>
      </c>
      <c r="M50" s="73">
        <v>1716</v>
      </c>
      <c r="N50" s="73">
        <v>6112</v>
      </c>
      <c r="O50" s="73">
        <v>13910</v>
      </c>
      <c r="P50" s="73">
        <v>32420.97</v>
      </c>
      <c r="Q50" s="73">
        <v>57771.82</v>
      </c>
      <c r="R50" s="73">
        <v>85285.05</v>
      </c>
      <c r="S50" s="73">
        <v>113733.5</v>
      </c>
      <c r="T50" s="73">
        <v>138713.29</v>
      </c>
    </row>
    <row r="52" customHeight="1" spans="1:20">
      <c r="A52" s="79" t="s">
        <v>47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</row>
    <row r="53" customHeight="1" spans="1:20">
      <c r="A53" s="71" t="s">
        <v>48</v>
      </c>
      <c r="B53" s="72" t="s">
        <v>23</v>
      </c>
      <c r="C53" s="73">
        <v>7872</v>
      </c>
      <c r="D53" s="73">
        <v>12466</v>
      </c>
      <c r="E53" s="73">
        <v>17927</v>
      </c>
      <c r="F53" s="73">
        <v>27638</v>
      </c>
      <c r="G53" s="73">
        <v>40653</v>
      </c>
      <c r="H53" s="73">
        <v>55838</v>
      </c>
      <c r="I53" s="73">
        <v>70696.5</v>
      </c>
      <c r="J53" s="73">
        <v>85966</v>
      </c>
      <c r="K53" s="73">
        <v>117929</v>
      </c>
      <c r="L53" s="73">
        <v>116609</v>
      </c>
      <c r="M53" s="73">
        <v>134901</v>
      </c>
      <c r="N53" s="73">
        <v>164500</v>
      </c>
      <c r="O53" s="73">
        <v>200965</v>
      </c>
      <c r="P53" s="73">
        <v>255175.56</v>
      </c>
      <c r="Q53" s="73">
        <v>306410.52</v>
      </c>
      <c r="R53" s="73">
        <v>357336.07</v>
      </c>
      <c r="S53" s="73">
        <v>407351.97</v>
      </c>
      <c r="T53" s="73">
        <v>456192.68</v>
      </c>
    </row>
    <row r="54" customHeight="1" spans="1:20">
      <c r="A54" s="71" t="s">
        <v>48</v>
      </c>
      <c r="B54" s="72" t="s">
        <v>24</v>
      </c>
      <c r="C54" s="73">
        <v>2804</v>
      </c>
      <c r="D54" s="73">
        <v>4994.8</v>
      </c>
      <c r="E54" s="73">
        <v>6225</v>
      </c>
      <c r="F54" s="73">
        <v>12427</v>
      </c>
      <c r="G54" s="73">
        <v>20202</v>
      </c>
      <c r="H54" s="73">
        <v>24913</v>
      </c>
      <c r="I54" s="73">
        <v>23985.5</v>
      </c>
      <c r="J54" s="73">
        <v>32671</v>
      </c>
      <c r="K54" s="73">
        <v>46753</v>
      </c>
      <c r="L54" s="73">
        <v>28945</v>
      </c>
      <c r="M54" s="73">
        <v>46751</v>
      </c>
      <c r="N54" s="73">
        <v>69380</v>
      </c>
      <c r="O54" s="73">
        <v>83276</v>
      </c>
      <c r="P54" s="73">
        <v>90489.79</v>
      </c>
      <c r="Q54" s="73">
        <v>104437.61</v>
      </c>
      <c r="R54" s="73">
        <v>118413.08</v>
      </c>
      <c r="S54" s="73">
        <v>131523.75</v>
      </c>
      <c r="T54" s="73">
        <v>142814.67</v>
      </c>
    </row>
    <row r="55" customHeight="1" spans="1:20">
      <c r="A55" s="71" t="s">
        <v>48</v>
      </c>
      <c r="B55" s="72" t="s">
        <v>25</v>
      </c>
      <c r="C55" s="73">
        <v>1491</v>
      </c>
      <c r="D55" s="73">
        <v>2924.8</v>
      </c>
      <c r="E55" s="73">
        <v>3669</v>
      </c>
      <c r="F55" s="73">
        <v>10187.2</v>
      </c>
      <c r="G55" s="73">
        <v>15919</v>
      </c>
      <c r="H55" s="73">
        <v>22112</v>
      </c>
      <c r="I55" s="73">
        <v>18484.5</v>
      </c>
      <c r="J55" s="73">
        <v>29145</v>
      </c>
      <c r="K55" s="73">
        <v>39370</v>
      </c>
      <c r="L55" s="73">
        <v>23199</v>
      </c>
      <c r="M55" s="73">
        <v>39097</v>
      </c>
      <c r="N55" s="73">
        <v>62360</v>
      </c>
      <c r="O55" s="73">
        <v>60458</v>
      </c>
      <c r="P55" s="73">
        <v>85782.86</v>
      </c>
      <c r="Q55" s="73">
        <v>91160.94</v>
      </c>
      <c r="R55" s="73">
        <v>103452.71</v>
      </c>
      <c r="S55" s="73">
        <v>115846.5</v>
      </c>
      <c r="T55" s="73">
        <v>127804.37</v>
      </c>
    </row>
    <row r="56" customHeight="1" spans="1:20">
      <c r="A56" s="71" t="s">
        <v>48</v>
      </c>
      <c r="B56" s="72" t="s">
        <v>26</v>
      </c>
      <c r="C56" s="74">
        <v>0.59</v>
      </c>
      <c r="D56" s="74">
        <v>1.1</v>
      </c>
      <c r="E56" s="74">
        <v>1.28</v>
      </c>
      <c r="F56" s="74">
        <v>3.48</v>
      </c>
      <c r="G56" s="74">
        <v>5.39</v>
      </c>
      <c r="H56" s="74">
        <v>7.66</v>
      </c>
      <c r="I56" s="74">
        <v>6.44</v>
      </c>
      <c r="J56" s="74">
        <v>10.08</v>
      </c>
      <c r="K56" s="74">
        <v>14.07</v>
      </c>
      <c r="L56" s="74">
        <v>8.79</v>
      </c>
      <c r="M56" s="74">
        <v>14.87</v>
      </c>
      <c r="N56" s="74">
        <v>23.99</v>
      </c>
      <c r="O56" s="74">
        <v>23.49</v>
      </c>
      <c r="P56" s="74">
        <v>33.28</v>
      </c>
      <c r="Q56" s="74">
        <v>34.94</v>
      </c>
      <c r="R56" s="74">
        <v>39.24</v>
      </c>
      <c r="S56" s="74">
        <v>43.51</v>
      </c>
      <c r="T56" s="74">
        <v>47.52</v>
      </c>
    </row>
    <row r="57" customHeight="1" spans="1:20">
      <c r="A57" s="71" t="s">
        <v>48</v>
      </c>
      <c r="B57" s="72" t="s">
        <v>27</v>
      </c>
      <c r="C57" s="73">
        <v>2521.75</v>
      </c>
      <c r="D57" s="73">
        <v>2671</v>
      </c>
      <c r="E57" s="73">
        <v>2856.75</v>
      </c>
      <c r="F57" s="73">
        <v>2923.75</v>
      </c>
      <c r="G57" s="73">
        <v>2954</v>
      </c>
      <c r="H57" s="73">
        <v>2886</v>
      </c>
      <c r="I57" s="73">
        <v>2871</v>
      </c>
      <c r="J57" s="73">
        <v>2890</v>
      </c>
      <c r="K57" s="73">
        <v>2799</v>
      </c>
      <c r="L57" s="73">
        <v>2640</v>
      </c>
      <c r="M57" s="73">
        <v>2630</v>
      </c>
      <c r="N57" s="73">
        <v>2599</v>
      </c>
      <c r="O57" s="73">
        <v>2574</v>
      </c>
      <c r="P57" s="73">
        <v>2577.79</v>
      </c>
      <c r="Q57" s="73">
        <v>2609.3</v>
      </c>
      <c r="R57" s="73">
        <v>2636.12</v>
      </c>
      <c r="S57" s="73">
        <v>2662.83</v>
      </c>
      <c r="T57" s="73">
        <v>2689.4</v>
      </c>
    </row>
    <row r="58" customHeight="1" spans="1:20">
      <c r="A58" s="71" t="s">
        <v>48</v>
      </c>
      <c r="B58" s="72" t="s">
        <v>28</v>
      </c>
      <c r="C58" s="73">
        <v>-906</v>
      </c>
      <c r="D58" s="73">
        <v>-1837</v>
      </c>
      <c r="E58" s="73">
        <v>-2969</v>
      </c>
      <c r="F58" s="73">
        <v>-3202</v>
      </c>
      <c r="G58" s="73">
        <v>-3723</v>
      </c>
      <c r="H58" s="73">
        <v>-4152</v>
      </c>
      <c r="I58" s="73">
        <v>-4835</v>
      </c>
      <c r="J58" s="73">
        <v>-6536</v>
      </c>
      <c r="K58" s="73">
        <v>-9163</v>
      </c>
      <c r="L58" s="73">
        <v>-11991</v>
      </c>
      <c r="M58" s="73">
        <v>-14027</v>
      </c>
      <c r="N58" s="73">
        <v>-16690</v>
      </c>
      <c r="O58" s="73">
        <v>-20426</v>
      </c>
      <c r="P58" s="73">
        <v>-23722.2</v>
      </c>
      <c r="Q58" s="73">
        <v>-24908.31</v>
      </c>
      <c r="R58" s="73">
        <v>-26153.73</v>
      </c>
      <c r="S58" s="73">
        <v>-27461.41</v>
      </c>
      <c r="T58" s="73">
        <v>-28834.48</v>
      </c>
    </row>
    <row r="59" customHeight="1" spans="1:20">
      <c r="A59" s="71" t="s">
        <v>48</v>
      </c>
      <c r="B59" s="72" t="s">
        <v>29</v>
      </c>
      <c r="C59" s="73">
        <v>1011</v>
      </c>
      <c r="D59" s="73">
        <v>1243</v>
      </c>
      <c r="E59" s="73">
        <v>1945</v>
      </c>
      <c r="F59" s="73">
        <v>2342</v>
      </c>
      <c r="G59" s="73">
        <v>3025</v>
      </c>
      <c r="H59" s="73">
        <v>4315</v>
      </c>
      <c r="I59" s="73">
        <v>5741</v>
      </c>
      <c r="J59" s="73">
        <v>6862</v>
      </c>
      <c r="K59" s="73">
        <v>7966</v>
      </c>
      <c r="L59" s="73">
        <v>8686</v>
      </c>
      <c r="M59" s="73">
        <v>11177</v>
      </c>
      <c r="N59" s="73">
        <v>15498</v>
      </c>
      <c r="O59" s="73">
        <v>18616</v>
      </c>
      <c r="P59" s="73">
        <v>35955.99</v>
      </c>
      <c r="Q59" s="73">
        <v>56602.9</v>
      </c>
      <c r="R59" s="73">
        <v>78641.85</v>
      </c>
      <c r="S59" s="73">
        <v>100070.74</v>
      </c>
      <c r="T59" s="73">
        <v>120937.09</v>
      </c>
    </row>
    <row r="60" customHeight="1" spans="1:20">
      <c r="A60" s="71" t="s">
        <v>48</v>
      </c>
      <c r="B60" s="72" t="s">
        <v>30</v>
      </c>
      <c r="C60" s="73">
        <v>1362</v>
      </c>
      <c r="D60" s="73">
        <v>1831</v>
      </c>
      <c r="E60" s="73">
        <v>2523</v>
      </c>
      <c r="F60" s="73">
        <v>4491</v>
      </c>
      <c r="G60" s="73">
        <v>6732</v>
      </c>
      <c r="H60" s="73">
        <v>13980</v>
      </c>
      <c r="I60" s="73">
        <v>15102</v>
      </c>
      <c r="J60" s="73">
        <v>15115</v>
      </c>
      <c r="K60" s="73">
        <v>18567</v>
      </c>
      <c r="L60" s="73">
        <v>31186</v>
      </c>
      <c r="M60" s="73">
        <v>27045</v>
      </c>
      <c r="N60" s="73">
        <v>37256</v>
      </c>
      <c r="O60" s="73">
        <v>69691</v>
      </c>
      <c r="P60" s="73">
        <v>135583.71</v>
      </c>
      <c r="Q60" s="73">
        <v>165714.44</v>
      </c>
      <c r="R60" s="73">
        <v>185600.17</v>
      </c>
      <c r="S60" s="73">
        <v>196736.18</v>
      </c>
      <c r="T60" s="73">
        <v>208540.35</v>
      </c>
    </row>
    <row r="61" customHeight="1" spans="1:20">
      <c r="A61" s="71" t="s">
        <v>48</v>
      </c>
      <c r="B61" s="72" t="s">
        <v>31</v>
      </c>
      <c r="C61" s="73">
        <v>4222</v>
      </c>
      <c r="D61" s="73">
        <v>5507.8</v>
      </c>
      <c r="E61" s="73">
        <v>8607</v>
      </c>
      <c r="F61" s="73">
        <v>16061</v>
      </c>
      <c r="G61" s="73">
        <v>24216</v>
      </c>
      <c r="H61" s="73">
        <v>29339</v>
      </c>
      <c r="I61" s="73">
        <v>36312.5</v>
      </c>
      <c r="J61" s="73">
        <v>38747</v>
      </c>
      <c r="K61" s="73">
        <v>57683</v>
      </c>
      <c r="L61" s="73">
        <v>50475</v>
      </c>
      <c r="M61" s="73">
        <v>71113</v>
      </c>
      <c r="N61" s="73">
        <v>91328</v>
      </c>
      <c r="O61" s="73">
        <v>115800</v>
      </c>
      <c r="P61" s="73">
        <v>180250.64</v>
      </c>
      <c r="Q61" s="73">
        <v>206102.96</v>
      </c>
      <c r="R61" s="73">
        <v>243250.01</v>
      </c>
      <c r="S61" s="73">
        <v>279015.98</v>
      </c>
      <c r="T61" s="73">
        <v>314478.51</v>
      </c>
    </row>
    <row r="62" customHeight="1" spans="1:20">
      <c r="A62" s="71" t="s">
        <v>48</v>
      </c>
      <c r="B62" s="72" t="s">
        <v>32</v>
      </c>
      <c r="C62" s="73">
        <v>2860</v>
      </c>
      <c r="D62" s="73">
        <v>3676.8</v>
      </c>
      <c r="E62" s="73">
        <v>6084</v>
      </c>
      <c r="F62" s="73">
        <v>11570</v>
      </c>
      <c r="G62" s="73">
        <v>17484</v>
      </c>
      <c r="H62" s="73">
        <v>15359</v>
      </c>
      <c r="I62" s="73">
        <v>21210.5</v>
      </c>
      <c r="J62" s="73">
        <v>23632</v>
      </c>
      <c r="K62" s="73">
        <v>39116</v>
      </c>
      <c r="L62" s="73">
        <v>19289</v>
      </c>
      <c r="M62" s="73">
        <v>44068</v>
      </c>
      <c r="N62" s="73">
        <v>54072</v>
      </c>
      <c r="O62" s="73">
        <v>46109</v>
      </c>
      <c r="P62" s="73">
        <v>44666.93</v>
      </c>
      <c r="Q62" s="73">
        <v>40388.52</v>
      </c>
      <c r="R62" s="73">
        <v>57649.84</v>
      </c>
      <c r="S62" s="73">
        <v>82279.8</v>
      </c>
      <c r="T62" s="73">
        <v>105938.16</v>
      </c>
    </row>
    <row r="63" customHeight="1" spans="1:20">
      <c r="A63" s="71" t="s">
        <v>48</v>
      </c>
      <c r="B63" s="72" t="s">
        <v>33</v>
      </c>
      <c r="C63" s="73">
        <v>0</v>
      </c>
      <c r="D63" s="73">
        <v>0</v>
      </c>
      <c r="E63" s="73">
        <v>0</v>
      </c>
      <c r="F63" s="73">
        <v>0</v>
      </c>
      <c r="G63" s="73">
        <v>1976</v>
      </c>
      <c r="H63" s="73">
        <v>12879</v>
      </c>
      <c r="I63" s="73">
        <v>4201</v>
      </c>
      <c r="J63" s="73">
        <v>6272</v>
      </c>
      <c r="K63" s="73">
        <v>44538</v>
      </c>
      <c r="L63" s="73">
        <v>27956</v>
      </c>
      <c r="M63" s="73">
        <v>19775</v>
      </c>
      <c r="N63" s="73">
        <v>30125</v>
      </c>
      <c r="O63" s="73">
        <v>26248</v>
      </c>
      <c r="P63" s="73">
        <v>0</v>
      </c>
      <c r="Q63" s="73">
        <v>6000</v>
      </c>
      <c r="R63" s="73">
        <v>6000</v>
      </c>
      <c r="S63" s="73">
        <v>6000</v>
      </c>
      <c r="T63" s="73">
        <v>6000</v>
      </c>
    </row>
    <row r="64" customHeight="1" spans="1:20">
      <c r="A64" s="71" t="s">
        <v>48</v>
      </c>
      <c r="B64" s="72" t="s">
        <v>49</v>
      </c>
      <c r="C64" s="73">
        <v>6986</v>
      </c>
      <c r="D64" s="73">
        <v>11492</v>
      </c>
      <c r="E64" s="73">
        <v>17080</v>
      </c>
      <c r="F64" s="73">
        <v>26885</v>
      </c>
      <c r="G64" s="73">
        <v>39942</v>
      </c>
      <c r="H64" s="73">
        <v>55012</v>
      </c>
      <c r="I64" s="73">
        <v>69654.5</v>
      </c>
      <c r="J64" s="73">
        <v>84169</v>
      </c>
      <c r="K64" s="73">
        <v>114934</v>
      </c>
      <c r="L64" s="73">
        <v>113641</v>
      </c>
      <c r="M64" s="73">
        <v>131948</v>
      </c>
      <c r="N64" s="73">
        <v>160632</v>
      </c>
      <c r="O64" s="73">
        <v>196174</v>
      </c>
      <c r="P64" s="73">
        <v>248664.66</v>
      </c>
      <c r="Q64" s="73">
        <v>298597.44</v>
      </c>
      <c r="R64" s="73">
        <v>348271.65</v>
      </c>
      <c r="S64" s="73">
        <v>397194.59</v>
      </c>
      <c r="T64" s="73">
        <v>444912.31</v>
      </c>
    </row>
    <row r="65" customHeight="1" spans="1:20">
      <c r="A65" s="71" t="s">
        <v>48</v>
      </c>
      <c r="B65" s="72" t="s">
        <v>50</v>
      </c>
      <c r="C65" s="77"/>
      <c r="D65" s="77"/>
      <c r="E65" s="77"/>
      <c r="F65" s="77"/>
      <c r="G65" s="77"/>
      <c r="H65" s="77"/>
      <c r="I65" s="73">
        <v>70196</v>
      </c>
      <c r="J65" s="73">
        <v>84826</v>
      </c>
      <c r="K65" s="73">
        <v>115655</v>
      </c>
      <c r="L65" s="73">
        <v>114450</v>
      </c>
      <c r="M65" s="73">
        <v>133005</v>
      </c>
      <c r="N65" s="73">
        <v>162354</v>
      </c>
      <c r="O65" s="73">
        <v>198758</v>
      </c>
      <c r="P65" s="73">
        <v>252529.81</v>
      </c>
      <c r="Q65" s="73">
        <v>303235.62</v>
      </c>
      <c r="R65" s="73">
        <v>353605.56</v>
      </c>
      <c r="S65" s="73">
        <v>403061.89</v>
      </c>
      <c r="T65" s="73">
        <v>451366.33</v>
      </c>
    </row>
    <row r="66" customHeight="1" spans="1:20">
      <c r="A66" s="71" t="s">
        <v>48</v>
      </c>
      <c r="B66" s="72" t="s">
        <v>51</v>
      </c>
      <c r="C66" s="77"/>
      <c r="D66" s="77"/>
      <c r="E66" s="77"/>
      <c r="F66" s="77"/>
      <c r="G66" s="77"/>
      <c r="H66" s="77"/>
      <c r="I66" s="73">
        <v>28489</v>
      </c>
      <c r="J66" s="73">
        <v>39294</v>
      </c>
      <c r="K66" s="73">
        <v>56947</v>
      </c>
      <c r="L66" s="73">
        <v>42662</v>
      </c>
      <c r="M66" s="73">
        <v>62870</v>
      </c>
      <c r="N66" s="73">
        <v>87109</v>
      </c>
      <c r="O66" s="73">
        <v>102469</v>
      </c>
      <c r="P66" s="73">
        <v>109500.79</v>
      </c>
      <c r="Q66" s="73">
        <v>122498.06</v>
      </c>
      <c r="R66" s="73">
        <v>135570.51</v>
      </c>
      <c r="S66" s="73">
        <v>147823.31</v>
      </c>
      <c r="T66" s="73">
        <v>158299.25</v>
      </c>
    </row>
    <row r="67" customHeight="1" spans="1:20">
      <c r="A67" s="71" t="s">
        <v>48</v>
      </c>
      <c r="B67" s="72" t="s">
        <v>52</v>
      </c>
      <c r="C67" s="77"/>
      <c r="D67" s="77"/>
      <c r="E67" s="77"/>
      <c r="F67" s="77"/>
      <c r="G67" s="77"/>
      <c r="H67" s="77"/>
      <c r="I67" s="73">
        <v>501</v>
      </c>
      <c r="J67" s="73">
        <v>1139</v>
      </c>
      <c r="K67" s="73">
        <v>2274</v>
      </c>
      <c r="L67" s="73">
        <v>2159</v>
      </c>
      <c r="M67" s="73">
        <v>1896</v>
      </c>
      <c r="N67" s="73">
        <v>2146</v>
      </c>
      <c r="O67" s="73">
        <v>2207</v>
      </c>
      <c r="P67" s="73">
        <v>2645.75</v>
      </c>
      <c r="Q67" s="73">
        <v>3174.9</v>
      </c>
      <c r="R67" s="73">
        <v>3730.51</v>
      </c>
      <c r="S67" s="73">
        <v>4290.08</v>
      </c>
      <c r="T67" s="73">
        <v>4826.34</v>
      </c>
    </row>
    <row r="68" customHeight="1" spans="1:20">
      <c r="A68" s="71" t="s">
        <v>48</v>
      </c>
      <c r="B68" s="72" t="s">
        <v>53</v>
      </c>
      <c r="C68" s="77"/>
      <c r="D68" s="77"/>
      <c r="E68" s="77"/>
      <c r="F68" s="77"/>
      <c r="G68" s="77"/>
      <c r="H68" s="77"/>
      <c r="I68" s="73">
        <v>-4503</v>
      </c>
      <c r="J68" s="73">
        <v>-6623</v>
      </c>
      <c r="K68" s="73">
        <v>-10194</v>
      </c>
      <c r="L68" s="73">
        <v>-13717</v>
      </c>
      <c r="M68" s="73">
        <v>-16119</v>
      </c>
      <c r="N68" s="73">
        <v>-17729</v>
      </c>
      <c r="O68" s="73">
        <v>-19193</v>
      </c>
      <c r="P68" s="73">
        <v>-19011</v>
      </c>
      <c r="Q68" s="73">
        <v>-18060.45</v>
      </c>
      <c r="R68" s="73">
        <v>-17157.43</v>
      </c>
      <c r="S68" s="73">
        <v>-16299.56</v>
      </c>
      <c r="T68" s="73">
        <v>-15484.58</v>
      </c>
    </row>
    <row r="70" customHeight="1" spans="1:20">
      <c r="A70" s="80" t="s">
        <v>54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</row>
    <row r="71" customHeight="1" spans="1:20">
      <c r="A71" s="71" t="s">
        <v>55</v>
      </c>
      <c r="B71" s="72" t="s">
        <v>23</v>
      </c>
      <c r="C71" s="73">
        <v>37253</v>
      </c>
      <c r="D71" s="73">
        <v>38305</v>
      </c>
      <c r="E71" s="73">
        <v>38253</v>
      </c>
      <c r="F71" s="73">
        <v>37057</v>
      </c>
      <c r="G71" s="73">
        <v>37899</v>
      </c>
      <c r="H71" s="73">
        <v>39431</v>
      </c>
      <c r="I71" s="73">
        <v>39525</v>
      </c>
      <c r="J71" s="73">
        <v>39073</v>
      </c>
      <c r="K71" s="73">
        <v>40481</v>
      </c>
      <c r="L71" s="73">
        <v>42441</v>
      </c>
      <c r="M71" s="73">
        <v>49955</v>
      </c>
      <c r="N71" s="73">
        <v>52961</v>
      </c>
      <c r="O71" s="73">
        <v>57399</v>
      </c>
      <c r="P71" s="73">
        <v>67286.75</v>
      </c>
      <c r="Q71" s="73">
        <v>88782.02</v>
      </c>
      <c r="R71" s="73">
        <v>125445.05</v>
      </c>
      <c r="S71" s="73">
        <v>165192.96</v>
      </c>
      <c r="T71" s="73">
        <v>185555.08</v>
      </c>
    </row>
    <row r="72" customHeight="1" spans="1:20">
      <c r="A72" s="71" t="s">
        <v>55</v>
      </c>
      <c r="B72" s="72" t="s">
        <v>24</v>
      </c>
      <c r="C72" s="73">
        <v>14684</v>
      </c>
      <c r="D72" s="73">
        <v>14758</v>
      </c>
      <c r="E72" s="73">
        <v>13870</v>
      </c>
      <c r="F72" s="73">
        <v>12604</v>
      </c>
      <c r="G72" s="73">
        <v>12710</v>
      </c>
      <c r="H72" s="73">
        <v>13264</v>
      </c>
      <c r="I72" s="73">
        <v>13535</v>
      </c>
      <c r="J72" s="73">
        <v>13897</v>
      </c>
      <c r="K72" s="73">
        <v>15214</v>
      </c>
      <c r="L72" s="73">
        <v>10927</v>
      </c>
      <c r="M72" s="73">
        <v>13094</v>
      </c>
      <c r="N72" s="73">
        <v>15354</v>
      </c>
      <c r="O72" s="73">
        <v>17678</v>
      </c>
      <c r="P72" s="73">
        <v>19462.44</v>
      </c>
      <c r="Q72" s="73">
        <v>21128.19</v>
      </c>
      <c r="R72" s="73">
        <v>36930.86</v>
      </c>
      <c r="S72" s="73">
        <v>53057.71</v>
      </c>
      <c r="T72" s="73">
        <v>57952.82</v>
      </c>
    </row>
    <row r="73" customHeight="1" spans="1:20">
      <c r="A73" s="71" t="s">
        <v>55</v>
      </c>
      <c r="B73" s="72" t="s">
        <v>25</v>
      </c>
      <c r="C73" s="73">
        <v>10926</v>
      </c>
      <c r="D73" s="73">
        <v>10955</v>
      </c>
      <c r="E73" s="73">
        <v>9938</v>
      </c>
      <c r="F73" s="73">
        <v>8900</v>
      </c>
      <c r="G73" s="73">
        <v>9334</v>
      </c>
      <c r="H73" s="73">
        <v>3587</v>
      </c>
      <c r="I73" s="73">
        <v>11083</v>
      </c>
      <c r="J73" s="73">
        <v>10135</v>
      </c>
      <c r="K73" s="73">
        <v>13747</v>
      </c>
      <c r="L73" s="73">
        <v>6718</v>
      </c>
      <c r="M73" s="73">
        <v>8504</v>
      </c>
      <c r="N73" s="73">
        <v>10467</v>
      </c>
      <c r="O73" s="73">
        <v>12443</v>
      </c>
      <c r="P73" s="73">
        <v>15820.55</v>
      </c>
      <c r="Q73" s="73">
        <v>13363.1</v>
      </c>
      <c r="R73" s="73">
        <v>26776.66</v>
      </c>
      <c r="S73" s="73">
        <v>39834.82</v>
      </c>
      <c r="T73" s="73">
        <v>44104.48</v>
      </c>
    </row>
    <row r="74" customHeight="1" spans="1:20">
      <c r="A74" s="71" t="s">
        <v>55</v>
      </c>
      <c r="B74" s="72" t="s">
        <v>26</v>
      </c>
      <c r="C74" s="74">
        <v>2.26</v>
      </c>
      <c r="D74" s="74">
        <v>2.38</v>
      </c>
      <c r="E74" s="74">
        <v>2.21</v>
      </c>
      <c r="F74" s="74">
        <v>2.07</v>
      </c>
      <c r="G74" s="74">
        <v>2.21</v>
      </c>
      <c r="H74" s="74">
        <v>0.85</v>
      </c>
      <c r="I74" s="74">
        <v>2.97</v>
      </c>
      <c r="J74" s="74">
        <v>3.08</v>
      </c>
      <c r="K74" s="74">
        <v>4.55</v>
      </c>
      <c r="L74" s="74">
        <v>2.41</v>
      </c>
      <c r="M74" s="74">
        <v>3.07</v>
      </c>
      <c r="N74" s="74">
        <v>3.71</v>
      </c>
      <c r="O74" s="74">
        <v>4.34</v>
      </c>
      <c r="P74" s="74">
        <v>5.43</v>
      </c>
      <c r="Q74" s="74">
        <v>4.54</v>
      </c>
      <c r="R74" s="74">
        <v>8.98</v>
      </c>
      <c r="S74" s="74">
        <v>13.15</v>
      </c>
      <c r="T74" s="74">
        <v>14.32</v>
      </c>
    </row>
    <row r="75" customHeight="1" spans="1:20">
      <c r="A75" s="71" t="s">
        <v>55</v>
      </c>
      <c r="B75" s="72" t="s">
        <v>27</v>
      </c>
      <c r="C75" s="73">
        <v>4843.75</v>
      </c>
      <c r="D75" s="73">
        <v>4604.5</v>
      </c>
      <c r="E75" s="73">
        <v>4502.5</v>
      </c>
      <c r="F75" s="73">
        <v>4305.5</v>
      </c>
      <c r="G75" s="73">
        <v>4217</v>
      </c>
      <c r="H75" s="73">
        <v>4238</v>
      </c>
      <c r="I75" s="73">
        <v>3732</v>
      </c>
      <c r="J75" s="73">
        <v>3293.5</v>
      </c>
      <c r="K75" s="73">
        <v>3022.5</v>
      </c>
      <c r="L75" s="73">
        <v>2785.5</v>
      </c>
      <c r="M75" s="73">
        <v>2766.25</v>
      </c>
      <c r="N75" s="73">
        <v>2823.25</v>
      </c>
      <c r="O75" s="73">
        <v>2866.25</v>
      </c>
      <c r="P75" s="73">
        <v>2915.76</v>
      </c>
      <c r="Q75" s="73">
        <v>2940.66</v>
      </c>
      <c r="R75" s="73">
        <v>2980.3</v>
      </c>
      <c r="S75" s="73">
        <v>3028.26</v>
      </c>
      <c r="T75" s="73">
        <v>3079.57</v>
      </c>
    </row>
    <row r="76" customHeight="1" spans="1:20">
      <c r="A76" s="71" t="s">
        <v>55</v>
      </c>
      <c r="B76" s="72" t="s">
        <v>28</v>
      </c>
      <c r="C76" s="73">
        <v>755</v>
      </c>
      <c r="D76" s="73">
        <v>805</v>
      </c>
      <c r="E76" s="73">
        <v>933</v>
      </c>
      <c r="F76" s="73">
        <v>1037</v>
      </c>
      <c r="G76" s="73">
        <v>1350</v>
      </c>
      <c r="H76" s="73">
        <v>1607</v>
      </c>
      <c r="I76" s="73">
        <v>1653</v>
      </c>
      <c r="J76" s="73">
        <v>1590</v>
      </c>
      <c r="K76" s="73">
        <v>1837</v>
      </c>
      <c r="L76" s="73">
        <v>2613</v>
      </c>
      <c r="M76" s="73">
        <v>3547</v>
      </c>
      <c r="N76" s="73">
        <v>3974</v>
      </c>
      <c r="O76" s="73">
        <v>4674</v>
      </c>
      <c r="P76" s="73">
        <v>5069.6</v>
      </c>
      <c r="Q76" s="73">
        <v>6473.15</v>
      </c>
      <c r="R76" s="73">
        <v>8609.75</v>
      </c>
      <c r="S76" s="73">
        <v>10649.61</v>
      </c>
      <c r="T76" s="73">
        <v>11212.32</v>
      </c>
    </row>
    <row r="77" customHeight="1" spans="1:20">
      <c r="A77" s="71" t="s">
        <v>55</v>
      </c>
      <c r="B77" s="72" t="s">
        <v>29</v>
      </c>
      <c r="C77" s="73">
        <v>546</v>
      </c>
      <c r="D77" s="73">
        <v>608</v>
      </c>
      <c r="E77" s="73">
        <v>712</v>
      </c>
      <c r="F77" s="73">
        <v>871</v>
      </c>
      <c r="G77" s="73">
        <v>1000</v>
      </c>
      <c r="H77" s="73">
        <v>1165</v>
      </c>
      <c r="I77" s="73">
        <v>1230</v>
      </c>
      <c r="J77" s="73">
        <v>1382</v>
      </c>
      <c r="K77" s="73">
        <v>1537</v>
      </c>
      <c r="L77" s="73">
        <v>1972</v>
      </c>
      <c r="M77" s="73">
        <v>2526</v>
      </c>
      <c r="N77" s="73">
        <v>3129</v>
      </c>
      <c r="O77" s="73">
        <v>3867</v>
      </c>
      <c r="P77" s="73">
        <v>7501.53</v>
      </c>
      <c r="Q77" s="73">
        <v>16868.58</v>
      </c>
      <c r="R77" s="73">
        <v>27597.91</v>
      </c>
      <c r="S77" s="73">
        <v>39646.31</v>
      </c>
      <c r="T77" s="73">
        <v>48244.32</v>
      </c>
    </row>
    <row r="78" customHeight="1" spans="1:20">
      <c r="A78" s="71" t="s">
        <v>55</v>
      </c>
      <c r="B78" s="72" t="s">
        <v>30</v>
      </c>
      <c r="C78" s="73">
        <v>650</v>
      </c>
      <c r="D78" s="73">
        <v>580</v>
      </c>
      <c r="E78" s="73">
        <v>1391</v>
      </c>
      <c r="F78" s="73">
        <v>1189</v>
      </c>
      <c r="G78" s="73">
        <v>2021</v>
      </c>
      <c r="H78" s="73">
        <v>1736</v>
      </c>
      <c r="I78" s="73">
        <v>1660</v>
      </c>
      <c r="J78" s="73">
        <v>1564</v>
      </c>
      <c r="K78" s="73">
        <v>2135</v>
      </c>
      <c r="L78" s="73">
        <v>4511</v>
      </c>
      <c r="M78" s="73">
        <v>8695</v>
      </c>
      <c r="N78" s="73">
        <v>6866</v>
      </c>
      <c r="O78" s="73">
        <v>21215</v>
      </c>
      <c r="P78" s="73">
        <v>51882</v>
      </c>
      <c r="Q78" s="73">
        <v>52141.41</v>
      </c>
      <c r="R78" s="73">
        <v>69869.49</v>
      </c>
      <c r="S78" s="73">
        <v>81048.61</v>
      </c>
      <c r="T78" s="73">
        <v>66459.86</v>
      </c>
    </row>
    <row r="79" customHeight="1" spans="1:20">
      <c r="A79" s="71" t="s">
        <v>55</v>
      </c>
      <c r="B79" s="72" t="s">
        <v>31</v>
      </c>
      <c r="C79" s="73">
        <v>14225</v>
      </c>
      <c r="D79" s="73">
        <v>14921</v>
      </c>
      <c r="E79" s="73">
        <v>14336</v>
      </c>
      <c r="F79" s="73">
        <v>13560</v>
      </c>
      <c r="G79" s="73">
        <v>14125</v>
      </c>
      <c r="H79" s="73">
        <v>15386</v>
      </c>
      <c r="I79" s="73">
        <v>14551</v>
      </c>
      <c r="J79" s="73">
        <v>13139</v>
      </c>
      <c r="K79" s="73">
        <v>15888</v>
      </c>
      <c r="L79" s="73">
        <v>9540</v>
      </c>
      <c r="M79" s="73">
        <v>17166</v>
      </c>
      <c r="N79" s="73">
        <v>18673</v>
      </c>
      <c r="O79" s="73">
        <v>20821</v>
      </c>
      <c r="P79" s="73">
        <v>25457.17</v>
      </c>
      <c r="Q79" s="73">
        <v>33694.38</v>
      </c>
      <c r="R79" s="73">
        <v>50132.95</v>
      </c>
      <c r="S79" s="73">
        <v>66529.01</v>
      </c>
      <c r="T79" s="73">
        <v>84964.12</v>
      </c>
    </row>
    <row r="80" customHeight="1" spans="1:20">
      <c r="A80" s="71" t="s">
        <v>55</v>
      </c>
      <c r="B80" s="72" t="s">
        <v>32</v>
      </c>
      <c r="C80" s="73">
        <v>13575</v>
      </c>
      <c r="D80" s="73">
        <v>14341</v>
      </c>
      <c r="E80" s="73">
        <v>12945</v>
      </c>
      <c r="F80" s="73">
        <v>12371</v>
      </c>
      <c r="G80" s="73">
        <v>12104</v>
      </c>
      <c r="H80" s="73">
        <v>13650</v>
      </c>
      <c r="I80" s="73">
        <v>12891</v>
      </c>
      <c r="J80" s="73">
        <v>11575</v>
      </c>
      <c r="K80" s="73">
        <v>13753</v>
      </c>
      <c r="L80" s="73">
        <v>5029</v>
      </c>
      <c r="M80" s="73">
        <v>8471</v>
      </c>
      <c r="N80" s="73">
        <v>11807</v>
      </c>
      <c r="O80" s="73">
        <v>-394</v>
      </c>
      <c r="P80" s="73">
        <v>-26424.83</v>
      </c>
      <c r="Q80" s="73">
        <v>-18447.03</v>
      </c>
      <c r="R80" s="73">
        <v>-19736.54</v>
      </c>
      <c r="S80" s="73">
        <v>-14519.6</v>
      </c>
      <c r="T80" s="73">
        <v>18504.26</v>
      </c>
    </row>
    <row r="81" customHeight="1" spans="1:20">
      <c r="A81" s="71" t="s">
        <v>55</v>
      </c>
      <c r="B81" s="72" t="s">
        <v>33</v>
      </c>
      <c r="C81" s="73">
        <v>11021</v>
      </c>
      <c r="D81" s="73">
        <v>9813</v>
      </c>
      <c r="E81" s="73">
        <v>8087</v>
      </c>
      <c r="F81" s="73">
        <v>10440</v>
      </c>
      <c r="G81" s="73">
        <v>3561</v>
      </c>
      <c r="H81" s="73">
        <v>11347</v>
      </c>
      <c r="I81" s="73">
        <v>36140</v>
      </c>
      <c r="J81" s="73">
        <v>19240</v>
      </c>
      <c r="K81" s="73">
        <v>20934</v>
      </c>
      <c r="L81" s="73">
        <v>16248</v>
      </c>
      <c r="M81" s="73">
        <v>1300</v>
      </c>
      <c r="N81" s="73">
        <v>1202</v>
      </c>
      <c r="O81" s="73">
        <v>600</v>
      </c>
      <c r="P81" s="73">
        <v>95</v>
      </c>
      <c r="Q81" s="73">
        <v>0</v>
      </c>
      <c r="R81" s="73">
        <v>0</v>
      </c>
      <c r="S81" s="73">
        <v>0</v>
      </c>
      <c r="T81" s="73">
        <v>0</v>
      </c>
    </row>
    <row r="82" customHeight="1" spans="1:20">
      <c r="A82" s="71" t="s">
        <v>55</v>
      </c>
      <c r="B82" s="72" t="s">
        <v>56</v>
      </c>
      <c r="C82" s="73">
        <v>1365</v>
      </c>
      <c r="D82" s="73">
        <v>1577</v>
      </c>
      <c r="E82" s="73">
        <v>2094</v>
      </c>
      <c r="F82" s="73">
        <v>2854</v>
      </c>
      <c r="G82" s="73">
        <v>4572</v>
      </c>
      <c r="H82" s="73">
        <v>6189.17</v>
      </c>
      <c r="I82" s="73">
        <v>6918.19</v>
      </c>
      <c r="J82" s="73">
        <v>7811.32</v>
      </c>
      <c r="K82" s="73">
        <v>8945</v>
      </c>
      <c r="L82" s="73">
        <v>10809</v>
      </c>
      <c r="M82" s="73">
        <v>15882</v>
      </c>
      <c r="N82" s="73">
        <v>19775</v>
      </c>
      <c r="O82" s="73">
        <v>24507</v>
      </c>
      <c r="P82" s="73">
        <v>34020.24</v>
      </c>
      <c r="Q82" s="73">
        <v>55591.76</v>
      </c>
      <c r="R82" s="73">
        <v>92351.27</v>
      </c>
      <c r="S82" s="73">
        <v>132214.36</v>
      </c>
      <c r="T82" s="73">
        <v>152708.94</v>
      </c>
    </row>
    <row r="83" customHeight="1" spans="1:20">
      <c r="A83" s="71" t="s">
        <v>55</v>
      </c>
      <c r="B83" s="72" t="s">
        <v>57</v>
      </c>
      <c r="C83" s="77"/>
      <c r="D83" s="77"/>
      <c r="E83" s="77"/>
      <c r="F83" s="77"/>
      <c r="G83" s="77"/>
      <c r="H83" s="77"/>
      <c r="I83" s="77"/>
      <c r="J83" s="77"/>
      <c r="K83" s="77"/>
      <c r="L83" s="73">
        <v>2760.74</v>
      </c>
      <c r="M83" s="73">
        <v>4500</v>
      </c>
      <c r="N83" s="73">
        <v>6800</v>
      </c>
      <c r="O83" s="73">
        <v>10234</v>
      </c>
      <c r="P83" s="73">
        <v>18064.4</v>
      </c>
      <c r="Q83" s="73">
        <v>37935.24</v>
      </c>
      <c r="R83" s="73">
        <v>72977.07</v>
      </c>
      <c r="S83" s="73">
        <v>111105.3</v>
      </c>
      <c r="T83" s="73">
        <v>129847.66</v>
      </c>
    </row>
    <row r="84" customHeight="1" spans="1:20">
      <c r="A84" s="71" t="s">
        <v>55</v>
      </c>
      <c r="B84" s="72" t="s">
        <v>58</v>
      </c>
      <c r="C84" s="77"/>
      <c r="D84" s="77"/>
      <c r="E84" s="77"/>
      <c r="F84" s="77"/>
      <c r="G84" s="77"/>
      <c r="H84" s="77"/>
      <c r="I84" s="77"/>
      <c r="J84" s="77"/>
      <c r="K84" s="77"/>
      <c r="L84" s="73">
        <v>7999.33</v>
      </c>
      <c r="M84" s="73">
        <v>11400</v>
      </c>
      <c r="N84" s="73">
        <v>12949</v>
      </c>
      <c r="O84" s="73">
        <v>14272</v>
      </c>
      <c r="P84" s="73">
        <v>15955.84</v>
      </c>
      <c r="Q84" s="73">
        <v>17656.52</v>
      </c>
      <c r="R84" s="73">
        <v>19374.2</v>
      </c>
      <c r="S84" s="73">
        <v>21109.07</v>
      </c>
      <c r="T84" s="73">
        <v>22861.28</v>
      </c>
    </row>
    <row r="85" customHeight="1" spans="1:20">
      <c r="A85" s="71" t="s">
        <v>55</v>
      </c>
      <c r="B85" s="72" t="s">
        <v>59</v>
      </c>
      <c r="C85" s="77"/>
      <c r="D85" s="77"/>
      <c r="E85" s="77"/>
      <c r="F85" s="77"/>
      <c r="G85" s="77"/>
      <c r="H85" s="77"/>
      <c r="I85" s="73">
        <v>36200</v>
      </c>
      <c r="J85" s="73">
        <v>37000</v>
      </c>
      <c r="K85" s="73">
        <v>41300</v>
      </c>
      <c r="L85" s="73">
        <v>46600</v>
      </c>
      <c r="M85" s="73">
        <v>67900</v>
      </c>
      <c r="N85" s="73">
        <v>98000</v>
      </c>
      <c r="O85" s="73">
        <v>138000</v>
      </c>
      <c r="P85" s="77"/>
      <c r="Q85" s="77"/>
      <c r="R85" s="77"/>
      <c r="S85" s="77"/>
      <c r="T85" s="77"/>
    </row>
    <row r="86" customHeight="1" spans="1:20">
      <c r="A86" s="71" t="s">
        <v>55</v>
      </c>
      <c r="B86" s="72" t="s">
        <v>60</v>
      </c>
      <c r="C86" s="73">
        <v>17612</v>
      </c>
      <c r="D86" s="73">
        <v>18108</v>
      </c>
      <c r="E86" s="73">
        <v>17396</v>
      </c>
      <c r="F86" s="73">
        <v>15785</v>
      </c>
      <c r="G86" s="73">
        <v>16168</v>
      </c>
      <c r="H86" s="73">
        <v>17155</v>
      </c>
      <c r="I86" s="73">
        <v>17384</v>
      </c>
      <c r="J86" s="73">
        <v>17383</v>
      </c>
      <c r="K86" s="73">
        <v>19000</v>
      </c>
      <c r="L86" s="73">
        <v>19592</v>
      </c>
      <c r="M86" s="73">
        <v>20904</v>
      </c>
      <c r="N86" s="73">
        <v>23054</v>
      </c>
      <c r="O86" s="73">
        <v>25034</v>
      </c>
      <c r="P86" s="73">
        <v>28113.04</v>
      </c>
      <c r="Q86" s="73">
        <v>28489.16</v>
      </c>
      <c r="R86" s="73">
        <v>46280.73</v>
      </c>
      <c r="S86" s="73">
        <v>64368.1</v>
      </c>
      <c r="T86" s="73">
        <v>69758.92</v>
      </c>
    </row>
    <row r="87" customHeight="1" spans="1:20">
      <c r="A87" s="71" t="s">
        <v>55</v>
      </c>
      <c r="B87" s="72" t="s">
        <v>61</v>
      </c>
      <c r="C87" s="74">
        <v>2.68</v>
      </c>
      <c r="D87" s="74">
        <v>2.87</v>
      </c>
      <c r="E87" s="74">
        <v>2.77</v>
      </c>
      <c r="F87" s="74">
        <v>2.61</v>
      </c>
      <c r="G87" s="74">
        <v>2.74</v>
      </c>
      <c r="H87" s="74">
        <v>3.05</v>
      </c>
      <c r="I87" s="74">
        <v>3.52</v>
      </c>
      <c r="J87" s="74">
        <v>3.85</v>
      </c>
      <c r="K87" s="74">
        <v>4.67</v>
      </c>
      <c r="L87" s="74">
        <v>4.9</v>
      </c>
      <c r="M87" s="74">
        <v>5.12</v>
      </c>
      <c r="N87" s="74">
        <v>5.56</v>
      </c>
      <c r="O87" s="74">
        <v>6.03</v>
      </c>
      <c r="P87" s="74">
        <v>7.32</v>
      </c>
      <c r="Q87" s="74">
        <v>6.09</v>
      </c>
      <c r="R87" s="74">
        <v>10.59</v>
      </c>
      <c r="S87" s="74">
        <v>14.81</v>
      </c>
      <c r="T87" s="74">
        <v>15.94</v>
      </c>
    </row>
  </sheetData>
  <mergeCells count="6">
    <mergeCell ref="A1:T1"/>
    <mergeCell ref="A4:T4"/>
    <mergeCell ref="A20:T20"/>
    <mergeCell ref="A35:T35"/>
    <mergeCell ref="A52:T52"/>
    <mergeCell ref="A70:T7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4"/>
  <sheetViews>
    <sheetView showGridLines="0" workbookViewId="0">
      <selection activeCell="A1" sqref="A1"/>
    </sheetView>
  </sheetViews>
  <sheetFormatPr defaultColWidth="8.67619047619048" defaultRowHeight="15" outlineLevelCol="1"/>
  <cols>
    <col min="1" max="1" width="2" style="1" customWidth="1"/>
    <col min="2" max="2" width="90" style="1" customWidth="1"/>
  </cols>
  <sheetData>
    <row r="2" ht="36" customHeight="1" spans="2:2">
      <c r="B2" s="64" t="s">
        <v>62</v>
      </c>
    </row>
    <row r="3" customHeight="1" spans="2:2">
      <c r="B3" s="65" t="s">
        <v>63</v>
      </c>
    </row>
    <row r="5" customHeight="1" spans="2:2">
      <c r="B5" s="66" t="s">
        <v>64</v>
      </c>
    </row>
    <row r="6" ht="18" customHeight="1" spans="2:2">
      <c r="B6" s="67" t="s">
        <v>65</v>
      </c>
    </row>
    <row r="7" ht="18" customHeight="1" spans="2:2">
      <c r="B7" s="67" t="s">
        <v>66</v>
      </c>
    </row>
    <row r="8" ht="18" customHeight="1" spans="2:2">
      <c r="B8" s="67" t="s">
        <v>67</v>
      </c>
    </row>
    <row r="9" ht="18" customHeight="1" spans="2:2">
      <c r="B9" s="67" t="s">
        <v>68</v>
      </c>
    </row>
    <row r="10" ht="18" customHeight="1" spans="2:2">
      <c r="B10" s="67" t="s">
        <v>69</v>
      </c>
    </row>
    <row r="11" ht="18" customHeight="1" spans="2:2">
      <c r="B11" s="67" t="s">
        <v>70</v>
      </c>
    </row>
    <row r="12" ht="18" customHeight="1" spans="2:2">
      <c r="B12" s="67" t="s">
        <v>71</v>
      </c>
    </row>
    <row r="13" ht="18" customHeight="1" spans="2:2">
      <c r="B13" s="67" t="s">
        <v>72</v>
      </c>
    </row>
    <row r="14" ht="18" customHeight="1" spans="2:2">
      <c r="B14" s="67" t="s">
        <v>73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showGridLines="0" workbookViewId="0">
      <selection activeCell="A1" sqref="A1:S1"/>
    </sheetView>
  </sheetViews>
  <sheetFormatPr defaultColWidth="8.67619047619048" defaultRowHeight="15"/>
  <cols>
    <col min="1" max="1" width="28" style="1" customWidth="1"/>
    <col min="2" max="20" width="10" style="1" customWidth="1"/>
  </cols>
  <sheetData>
    <row r="1" ht="25.5" customHeight="1" spans="1:19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customHeight="1" spans="1:19">
      <c r="A3" s="58" t="s">
        <v>75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customHeight="1" spans="1:19">
      <c r="A4" s="10" t="s">
        <v>76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</row>
    <row r="5" customHeight="1" spans="1:19">
      <c r="A5" s="59" t="s">
        <v>22</v>
      </c>
      <c r="B5" s="60">
        <f>'0. Database'!C5</f>
        <v>77849</v>
      </c>
      <c r="C5" s="60">
        <f>'0. Database'!D5</f>
        <v>86833</v>
      </c>
      <c r="D5" s="60">
        <f>'0. Database'!E5</f>
        <v>93580</v>
      </c>
      <c r="E5" s="60">
        <f>'0. Database'!F5</f>
        <v>85320</v>
      </c>
      <c r="F5" s="60">
        <f>'0. Database'!G5</f>
        <v>96571</v>
      </c>
      <c r="G5" s="60">
        <f>'0. Database'!H5</f>
        <v>110360</v>
      </c>
      <c r="H5" s="60">
        <f>'0. Database'!I5</f>
        <v>125843</v>
      </c>
      <c r="I5" s="60">
        <f>'0. Database'!J5</f>
        <v>143015</v>
      </c>
      <c r="J5" s="60">
        <f>'0. Database'!K5</f>
        <v>168088</v>
      </c>
      <c r="K5" s="60">
        <f>'0. Database'!L5</f>
        <v>198270</v>
      </c>
      <c r="L5" s="60">
        <f>'0. Database'!M5</f>
        <v>211915</v>
      </c>
      <c r="M5" s="60">
        <f>'0. Database'!N5</f>
        <v>245122</v>
      </c>
      <c r="N5" s="60">
        <f>'0. Database'!O5</f>
        <v>281724</v>
      </c>
      <c r="O5" s="60">
        <f>'0. Database'!P5</f>
        <v>329440.24</v>
      </c>
      <c r="P5" s="60">
        <f>'0. Database'!Q5</f>
        <v>387103.71</v>
      </c>
      <c r="Q5" s="60">
        <f>'0. Database'!R5</f>
        <v>463474.17</v>
      </c>
      <c r="R5" s="60">
        <f>'0. Database'!S5</f>
        <v>553714.52</v>
      </c>
      <c r="S5" s="60">
        <f>'0. Database'!T5</f>
        <v>652772.62</v>
      </c>
    </row>
    <row r="6" customHeight="1" spans="1:19">
      <c r="A6" s="59" t="s">
        <v>38</v>
      </c>
      <c r="B6" s="60">
        <f>'0. Database'!C21</f>
        <v>74453</v>
      </c>
      <c r="C6" s="60">
        <f>'0. Database'!D21</f>
        <v>88988.4</v>
      </c>
      <c r="D6" s="60">
        <f>'0. Database'!E21</f>
        <v>107006.6</v>
      </c>
      <c r="E6" s="60">
        <f>'0. Database'!F21</f>
        <v>135987</v>
      </c>
      <c r="F6" s="60">
        <f>'0. Database'!G21</f>
        <v>177866</v>
      </c>
      <c r="G6" s="60">
        <f>'0. Database'!H21</f>
        <v>232887</v>
      </c>
      <c r="H6" s="60">
        <f>'0. Database'!I21</f>
        <v>280522</v>
      </c>
      <c r="I6" s="60">
        <f>'0. Database'!J21</f>
        <v>386064</v>
      </c>
      <c r="J6" s="60">
        <f>'0. Database'!K21</f>
        <v>469822</v>
      </c>
      <c r="K6" s="60">
        <f>'0. Database'!L21</f>
        <v>513983</v>
      </c>
      <c r="L6" s="60">
        <f>'0. Database'!M21</f>
        <v>574785</v>
      </c>
      <c r="M6" s="60">
        <f>'0. Database'!N21</f>
        <v>637959</v>
      </c>
      <c r="N6" s="60">
        <f>'0. Database'!O21</f>
        <v>716924</v>
      </c>
      <c r="O6" s="60">
        <f>'0. Database'!P21</f>
        <v>827599.51</v>
      </c>
      <c r="P6" s="60">
        <f>'0. Database'!Q21</f>
        <v>946630.91</v>
      </c>
      <c r="Q6" s="60">
        <f>'0. Database'!R21</f>
        <v>1063340.59</v>
      </c>
      <c r="R6" s="60">
        <f>'0. Database'!S21</f>
        <v>1183117.72</v>
      </c>
      <c r="S6" s="60">
        <f>'0. Database'!T21</f>
        <v>1305415.48</v>
      </c>
    </row>
    <row r="7" customHeight="1" spans="1:19">
      <c r="A7" s="59" t="s">
        <v>42</v>
      </c>
      <c r="B7" s="60">
        <f>'0. Database'!C36</f>
        <v>55519</v>
      </c>
      <c r="C7" s="60">
        <f>'0. Database'!D36</f>
        <v>66001</v>
      </c>
      <c r="D7" s="60">
        <f>'0. Database'!E36</f>
        <v>74989</v>
      </c>
      <c r="E7" s="60">
        <f>'0. Database'!F36</f>
        <v>90272</v>
      </c>
      <c r="F7" s="60">
        <f>'0. Database'!G36</f>
        <v>110855</v>
      </c>
      <c r="G7" s="60">
        <f>'0. Database'!H36</f>
        <v>136819</v>
      </c>
      <c r="H7" s="60">
        <f>'0. Database'!I36</f>
        <v>161857</v>
      </c>
      <c r="I7" s="60">
        <f>'0. Database'!J36</f>
        <v>182527</v>
      </c>
      <c r="J7" s="60">
        <f>'0. Database'!K36</f>
        <v>257637</v>
      </c>
      <c r="K7" s="60">
        <f>'0. Database'!L36</f>
        <v>282836</v>
      </c>
      <c r="L7" s="60">
        <f>'0. Database'!M36</f>
        <v>307394</v>
      </c>
      <c r="M7" s="60">
        <f>'0. Database'!N36</f>
        <v>350018</v>
      </c>
      <c r="N7" s="60">
        <f>'0. Database'!O36</f>
        <v>402836</v>
      </c>
      <c r="O7" s="60">
        <f>'0. Database'!P36</f>
        <v>488278.6</v>
      </c>
      <c r="P7" s="60">
        <f>'0. Database'!Q36</f>
        <v>591935.74</v>
      </c>
      <c r="Q7" s="60">
        <f>'0. Database'!R36</f>
        <v>701414.49</v>
      </c>
      <c r="R7" s="60">
        <f>'0. Database'!S36</f>
        <v>815276.88</v>
      </c>
      <c r="S7" s="60">
        <f>'0. Database'!T36</f>
        <v>921874.95</v>
      </c>
    </row>
    <row r="8" customHeight="1" spans="1:19">
      <c r="A8" s="59" t="s">
        <v>48</v>
      </c>
      <c r="B8" s="60">
        <f>'0. Database'!C53</f>
        <v>7872</v>
      </c>
      <c r="C8" s="60">
        <f>'0. Database'!D53</f>
        <v>12466</v>
      </c>
      <c r="D8" s="60">
        <f>'0. Database'!E53</f>
        <v>17927</v>
      </c>
      <c r="E8" s="60">
        <f>'0. Database'!F53</f>
        <v>27638</v>
      </c>
      <c r="F8" s="60">
        <f>'0. Database'!G53</f>
        <v>40653</v>
      </c>
      <c r="G8" s="60">
        <f>'0. Database'!H53</f>
        <v>55838</v>
      </c>
      <c r="H8" s="60">
        <f>'0. Database'!I53</f>
        <v>70696.5</v>
      </c>
      <c r="I8" s="60">
        <f>'0. Database'!J53</f>
        <v>85966</v>
      </c>
      <c r="J8" s="60">
        <f>'0. Database'!K53</f>
        <v>117929</v>
      </c>
      <c r="K8" s="60">
        <f>'0. Database'!L53</f>
        <v>116609</v>
      </c>
      <c r="L8" s="60">
        <f>'0. Database'!M53</f>
        <v>134901</v>
      </c>
      <c r="M8" s="60">
        <f>'0. Database'!N53</f>
        <v>164500</v>
      </c>
      <c r="N8" s="60">
        <f>'0. Database'!O53</f>
        <v>200965</v>
      </c>
      <c r="O8" s="60">
        <f>'0. Database'!P53</f>
        <v>255175.56</v>
      </c>
      <c r="P8" s="60">
        <f>'0. Database'!Q53</f>
        <v>306410.52</v>
      </c>
      <c r="Q8" s="60">
        <f>'0. Database'!R53</f>
        <v>357336.07</v>
      </c>
      <c r="R8" s="60">
        <f>'0. Database'!S53</f>
        <v>407351.97</v>
      </c>
      <c r="S8" s="60">
        <f>'0. Database'!T53</f>
        <v>456192.68</v>
      </c>
    </row>
    <row r="9" customHeight="1" spans="1:19">
      <c r="A9" s="59" t="s">
        <v>55</v>
      </c>
      <c r="B9" s="60">
        <f>'0. Database'!C71</f>
        <v>37253</v>
      </c>
      <c r="C9" s="60">
        <f>'0. Database'!D71</f>
        <v>38305</v>
      </c>
      <c r="D9" s="60">
        <f>'0. Database'!E71</f>
        <v>38253</v>
      </c>
      <c r="E9" s="60">
        <f>'0. Database'!F71</f>
        <v>37057</v>
      </c>
      <c r="F9" s="60">
        <f>'0. Database'!G71</f>
        <v>37899</v>
      </c>
      <c r="G9" s="60">
        <f>'0. Database'!H71</f>
        <v>39431</v>
      </c>
      <c r="H9" s="60">
        <f>'0. Database'!I71</f>
        <v>39525</v>
      </c>
      <c r="I9" s="60">
        <f>'0. Database'!J71</f>
        <v>39073</v>
      </c>
      <c r="J9" s="60">
        <f>'0. Database'!K71</f>
        <v>40481</v>
      </c>
      <c r="K9" s="60">
        <f>'0. Database'!L71</f>
        <v>42441</v>
      </c>
      <c r="L9" s="60">
        <f>'0. Database'!M71</f>
        <v>49955</v>
      </c>
      <c r="M9" s="60">
        <f>'0. Database'!N71</f>
        <v>52961</v>
      </c>
      <c r="N9" s="60">
        <f>'0. Database'!O71</f>
        <v>57399</v>
      </c>
      <c r="O9" s="60">
        <f>'0. Database'!P71</f>
        <v>67286.75</v>
      </c>
      <c r="P9" s="60">
        <f>'0. Database'!Q71</f>
        <v>88782.02</v>
      </c>
      <c r="Q9" s="60">
        <f>'0. Database'!R71</f>
        <v>125445.05</v>
      </c>
      <c r="R9" s="60">
        <f>'0. Database'!S71</f>
        <v>165192.96</v>
      </c>
      <c r="S9" s="60">
        <f>'0. Database'!T71</f>
        <v>185555.08</v>
      </c>
    </row>
    <row r="11" customHeight="1" spans="1:19">
      <c r="A11" s="58" t="s">
        <v>77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customHeight="1" spans="1:19">
      <c r="A12" s="10" t="s">
        <v>76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</row>
    <row r="13" customHeight="1" spans="1:19">
      <c r="A13" s="59" t="s">
        <v>78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</row>
    <row r="14" customHeight="1" spans="1:19">
      <c r="A14" s="59" t="s">
        <v>79</v>
      </c>
      <c r="B14" s="60">
        <f>'0. Database'!C32</f>
        <v>3107.57</v>
      </c>
      <c r="C14" s="60">
        <f>'0. Database'!D32</f>
        <v>4644</v>
      </c>
      <c r="D14" s="60">
        <f>'0. Database'!E32</f>
        <v>7880</v>
      </c>
      <c r="E14" s="60">
        <f>'0. Database'!F32</f>
        <v>12219</v>
      </c>
      <c r="F14" s="60">
        <f>'0. Database'!G32</f>
        <v>17458</v>
      </c>
      <c r="G14" s="60">
        <f>'0. Database'!H32</f>
        <v>25656</v>
      </c>
      <c r="H14" s="60">
        <f>'0. Database'!I32</f>
        <v>35026</v>
      </c>
      <c r="I14" s="60">
        <f>'0. Database'!J32</f>
        <v>45370</v>
      </c>
      <c r="J14" s="60">
        <f>'0. Database'!K32</f>
        <v>62202</v>
      </c>
      <c r="K14" s="60">
        <f>'0. Database'!L32</f>
        <v>80096</v>
      </c>
      <c r="L14" s="60">
        <f>'0. Database'!M32</f>
        <v>90757</v>
      </c>
      <c r="M14" s="60">
        <f>'0. Database'!N32</f>
        <v>107556</v>
      </c>
      <c r="N14" s="60">
        <f>'0. Database'!O32</f>
        <v>128725</v>
      </c>
      <c r="O14" s="60">
        <f>'0. Database'!P32</f>
        <v>171284.9</v>
      </c>
      <c r="P14" s="60">
        <f>'0. Database'!Q32</f>
        <v>225587.94</v>
      </c>
      <c r="Q14" s="60">
        <f>'0. Database'!R32</f>
        <v>274421.67</v>
      </c>
      <c r="R14" s="60">
        <f>'0. Database'!S32</f>
        <v>323817.58</v>
      </c>
      <c r="S14" s="60">
        <f>'0. Database'!T32</f>
        <v>374009.3</v>
      </c>
    </row>
    <row r="15" customHeight="1" spans="1:19">
      <c r="A15" s="59" t="s">
        <v>80</v>
      </c>
      <c r="B15" s="60">
        <f>'0. Database'!C47</f>
        <v>0</v>
      </c>
      <c r="C15" s="60">
        <f>'0. Database'!D47</f>
        <v>0</v>
      </c>
      <c r="D15" s="60">
        <f>'0. Database'!E47</f>
        <v>0</v>
      </c>
      <c r="E15" s="60">
        <f>'0. Database'!F47</f>
        <v>0</v>
      </c>
      <c r="F15" s="60">
        <f>'0. Database'!G47</f>
        <v>4056</v>
      </c>
      <c r="G15" s="60">
        <f>'0. Database'!H47</f>
        <v>5838</v>
      </c>
      <c r="H15" s="60">
        <f>'0. Database'!I47</f>
        <v>8918</v>
      </c>
      <c r="I15" s="60">
        <f>'0. Database'!J47</f>
        <v>13059</v>
      </c>
      <c r="J15" s="60">
        <f>'0. Database'!K47</f>
        <v>19206</v>
      </c>
      <c r="K15" s="60">
        <f>'0. Database'!L47</f>
        <v>26280</v>
      </c>
      <c r="L15" s="60">
        <f>'0. Database'!M47</f>
        <v>33088</v>
      </c>
      <c r="M15" s="60">
        <f>'0. Database'!N47</f>
        <v>43229</v>
      </c>
      <c r="N15" s="60">
        <f>'0. Database'!O47</f>
        <v>58705</v>
      </c>
      <c r="O15" s="60">
        <f>'0. Database'!P47</f>
        <v>99085.93</v>
      </c>
      <c r="P15" s="60">
        <f>'0. Database'!Q47</f>
        <v>157303.91</v>
      </c>
      <c r="Q15" s="60">
        <f>'0. Database'!R47</f>
        <v>220225.47</v>
      </c>
      <c r="R15" s="60">
        <f>'0. Database'!S47</f>
        <v>286293.12</v>
      </c>
      <c r="S15" s="60">
        <f>'0. Database'!T47</f>
        <v>343551.74</v>
      </c>
    </row>
    <row r="16" customHeight="1" spans="1:19">
      <c r="A16" s="59" t="s">
        <v>81</v>
      </c>
      <c r="B16" s="60">
        <f>'0. Database'!C64</f>
        <v>6986</v>
      </c>
      <c r="C16" s="60">
        <f>'0. Database'!D64</f>
        <v>11492</v>
      </c>
      <c r="D16" s="60">
        <f>'0. Database'!E64</f>
        <v>17080</v>
      </c>
      <c r="E16" s="60">
        <f>'0. Database'!F64</f>
        <v>26885</v>
      </c>
      <c r="F16" s="60">
        <f>'0. Database'!G64</f>
        <v>39942</v>
      </c>
      <c r="G16" s="60">
        <f>'0. Database'!H64</f>
        <v>55012</v>
      </c>
      <c r="H16" s="60">
        <f>'0. Database'!I64</f>
        <v>69654.5</v>
      </c>
      <c r="I16" s="60">
        <f>'0. Database'!J64</f>
        <v>84169</v>
      </c>
      <c r="J16" s="60">
        <f>'0. Database'!K64</f>
        <v>114934</v>
      </c>
      <c r="K16" s="60">
        <f>'0. Database'!L64</f>
        <v>113641</v>
      </c>
      <c r="L16" s="60">
        <f>'0. Database'!M64</f>
        <v>131948</v>
      </c>
      <c r="M16" s="60">
        <f>'0. Database'!N64</f>
        <v>160632</v>
      </c>
      <c r="N16" s="60">
        <f>'0. Database'!O64</f>
        <v>196174</v>
      </c>
      <c r="O16" s="60">
        <f>'0. Database'!P64</f>
        <v>248664.66</v>
      </c>
      <c r="P16" s="60">
        <f>'0. Database'!Q64</f>
        <v>298597.44</v>
      </c>
      <c r="Q16" s="60">
        <f>'0. Database'!R64</f>
        <v>348271.65</v>
      </c>
      <c r="R16" s="60">
        <f>'0. Database'!S64</f>
        <v>397194.59</v>
      </c>
      <c r="S16" s="60">
        <f>'0. Database'!T64</f>
        <v>444912.31</v>
      </c>
    </row>
    <row r="17" customHeight="1" spans="1:19">
      <c r="A17" s="59" t="s">
        <v>82</v>
      </c>
      <c r="B17" s="60">
        <f>'0. Database'!C82</f>
        <v>1365</v>
      </c>
      <c r="C17" s="60">
        <f>'0. Database'!D82</f>
        <v>1577</v>
      </c>
      <c r="D17" s="60">
        <f>'0. Database'!E82</f>
        <v>2094</v>
      </c>
      <c r="E17" s="60">
        <f>'0. Database'!F82</f>
        <v>2854</v>
      </c>
      <c r="F17" s="60">
        <f>'0. Database'!G82</f>
        <v>4572</v>
      </c>
      <c r="G17" s="60">
        <f>'0. Database'!H82</f>
        <v>6189.17</v>
      </c>
      <c r="H17" s="60">
        <f>'0. Database'!I82</f>
        <v>6918.19</v>
      </c>
      <c r="I17" s="60">
        <f>'0. Database'!J82</f>
        <v>7811.32</v>
      </c>
      <c r="J17" s="60">
        <f>'0. Database'!K82</f>
        <v>8945</v>
      </c>
      <c r="K17" s="60">
        <f>'0. Database'!L82</f>
        <v>10809</v>
      </c>
      <c r="L17" s="60">
        <f>'0. Database'!M82</f>
        <v>15882</v>
      </c>
      <c r="M17" s="60">
        <f>'0. Database'!N82</f>
        <v>19775</v>
      </c>
      <c r="N17" s="60">
        <f>'0. Database'!O82</f>
        <v>24507</v>
      </c>
      <c r="O17" s="60">
        <f>'0. Database'!P82</f>
        <v>34020.24</v>
      </c>
      <c r="P17" s="60">
        <f>'0. Database'!Q82</f>
        <v>55591.76</v>
      </c>
      <c r="Q17" s="60">
        <f>'0. Database'!R82</f>
        <v>92351.27</v>
      </c>
      <c r="R17" s="60">
        <f>'0. Database'!S82</f>
        <v>132214.36</v>
      </c>
      <c r="S17" s="60">
        <f>'0. Database'!T82</f>
        <v>152708.94</v>
      </c>
    </row>
    <row r="19" customHeight="1" spans="1:19">
      <c r="A19" s="58" t="s">
        <v>83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customHeight="1" spans="1:19">
      <c r="A20" s="10" t="s">
        <v>76</v>
      </c>
      <c r="B20" s="10" t="s">
        <v>3</v>
      </c>
      <c r="C20" s="10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0" t="s">
        <v>9</v>
      </c>
      <c r="I20" s="10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17</v>
      </c>
      <c r="Q20" s="10" t="s">
        <v>18</v>
      </c>
      <c r="R20" s="10" t="s">
        <v>19</v>
      </c>
      <c r="S20" s="10" t="s">
        <v>20</v>
      </c>
    </row>
    <row r="21" customHeight="1" spans="1:19">
      <c r="A21" s="59" t="s">
        <v>22</v>
      </c>
      <c r="B21" s="61"/>
      <c r="C21" s="17">
        <f t="shared" ref="C21:S21" si="0">IFERROR(C5/B5-1,"")</f>
        <v>0.115402895348688</v>
      </c>
      <c r="D21" s="17">
        <f t="shared" si="0"/>
        <v>0.0777008740916472</v>
      </c>
      <c r="E21" s="17">
        <f t="shared" si="0"/>
        <v>-0.0882667236589014</v>
      </c>
      <c r="F21" s="17">
        <f t="shared" si="0"/>
        <v>0.131868260665729</v>
      </c>
      <c r="G21" s="17">
        <f t="shared" si="0"/>
        <v>0.142786136624867</v>
      </c>
      <c r="H21" s="17">
        <f t="shared" si="0"/>
        <v>0.140295396882929</v>
      </c>
      <c r="I21" s="17">
        <f t="shared" si="0"/>
        <v>0.136455742472764</v>
      </c>
      <c r="J21" s="17">
        <f t="shared" si="0"/>
        <v>0.175317274411775</v>
      </c>
      <c r="K21" s="17">
        <f t="shared" si="0"/>
        <v>0.179560706296702</v>
      </c>
      <c r="L21" s="17">
        <f t="shared" si="0"/>
        <v>0.0688202955565642</v>
      </c>
      <c r="M21" s="17">
        <f t="shared" si="0"/>
        <v>0.156699620130713</v>
      </c>
      <c r="N21" s="17">
        <f t="shared" si="0"/>
        <v>0.149321562324067</v>
      </c>
      <c r="O21" s="17">
        <f t="shared" si="0"/>
        <v>0.169372293450327</v>
      </c>
      <c r="P21" s="17">
        <f t="shared" si="0"/>
        <v>0.175034689144228</v>
      </c>
      <c r="Q21" s="17">
        <f t="shared" si="0"/>
        <v>0.197286820113401</v>
      </c>
      <c r="R21" s="17">
        <f t="shared" si="0"/>
        <v>0.19470416226216</v>
      </c>
      <c r="S21" s="17">
        <f t="shared" si="0"/>
        <v>0.178897421725549</v>
      </c>
    </row>
    <row r="22" customHeight="1" spans="1:19">
      <c r="A22" s="59" t="s">
        <v>38</v>
      </c>
      <c r="B22" s="61"/>
      <c r="C22" s="17">
        <f t="shared" ref="C22:S22" si="1">IFERROR(C6/B6-1,"")</f>
        <v>0.195229205001813</v>
      </c>
      <c r="D22" s="17">
        <f t="shared" si="1"/>
        <v>0.202478075794149</v>
      </c>
      <c r="E22" s="17">
        <f t="shared" si="1"/>
        <v>0.270828154525048</v>
      </c>
      <c r="F22" s="17">
        <f t="shared" si="1"/>
        <v>0.307963261194085</v>
      </c>
      <c r="G22" s="17">
        <f t="shared" si="1"/>
        <v>0.309339615215949</v>
      </c>
      <c r="H22" s="17">
        <f t="shared" si="1"/>
        <v>0.20454125820677</v>
      </c>
      <c r="I22" s="17">
        <f t="shared" si="1"/>
        <v>0.376234306043733</v>
      </c>
      <c r="J22" s="17">
        <f t="shared" si="1"/>
        <v>0.216953665713457</v>
      </c>
      <c r="K22" s="17">
        <f t="shared" si="1"/>
        <v>0.0939951726398509</v>
      </c>
      <c r="L22" s="17">
        <f t="shared" si="1"/>
        <v>0.118295741298837</v>
      </c>
      <c r="M22" s="17">
        <f t="shared" si="1"/>
        <v>0.109908922466661</v>
      </c>
      <c r="N22" s="17">
        <f t="shared" si="1"/>
        <v>0.123777546832947</v>
      </c>
      <c r="O22" s="17">
        <f t="shared" si="1"/>
        <v>0.154375512606636</v>
      </c>
      <c r="P22" s="17">
        <f t="shared" si="1"/>
        <v>0.143827296369472</v>
      </c>
      <c r="Q22" s="17">
        <f t="shared" si="1"/>
        <v>0.123289530023903</v>
      </c>
      <c r="R22" s="17">
        <f t="shared" si="1"/>
        <v>0.112642300243612</v>
      </c>
      <c r="S22" s="17">
        <f t="shared" si="1"/>
        <v>0.103369054433569</v>
      </c>
    </row>
    <row r="23" customHeight="1" spans="1:19">
      <c r="A23" s="59" t="s">
        <v>42</v>
      </c>
      <c r="B23" s="61"/>
      <c r="C23" s="17">
        <f t="shared" ref="C23:S23" si="2">IFERROR(C7/B7-1,"")</f>
        <v>0.188800230551703</v>
      </c>
      <c r="D23" s="17">
        <f t="shared" si="2"/>
        <v>0.136179754852199</v>
      </c>
      <c r="E23" s="17">
        <f t="shared" si="2"/>
        <v>0.203803224472923</v>
      </c>
      <c r="F23" s="17">
        <f t="shared" si="2"/>
        <v>0.228010900389933</v>
      </c>
      <c r="G23" s="17">
        <f t="shared" si="2"/>
        <v>0.23421586757476</v>
      </c>
      <c r="H23" s="17">
        <f t="shared" si="2"/>
        <v>0.183000898997946</v>
      </c>
      <c r="I23" s="17">
        <f t="shared" si="2"/>
        <v>0.127705320128261</v>
      </c>
      <c r="J23" s="17">
        <f t="shared" si="2"/>
        <v>0.411500764270492</v>
      </c>
      <c r="K23" s="17">
        <f t="shared" si="2"/>
        <v>0.0978081564371578</v>
      </c>
      <c r="L23" s="17">
        <f t="shared" si="2"/>
        <v>0.0868277022726951</v>
      </c>
      <c r="M23" s="17">
        <f t="shared" si="2"/>
        <v>0.138662433229016</v>
      </c>
      <c r="N23" s="17">
        <f t="shared" si="2"/>
        <v>0.150900810815444</v>
      </c>
      <c r="O23" s="17">
        <f t="shared" si="2"/>
        <v>0.212102691914327</v>
      </c>
      <c r="P23" s="17">
        <f t="shared" si="2"/>
        <v>0.212290974865579</v>
      </c>
      <c r="Q23" s="17">
        <f t="shared" si="2"/>
        <v>0.184950396811654</v>
      </c>
      <c r="R23" s="17">
        <f t="shared" si="2"/>
        <v>0.162332531795857</v>
      </c>
      <c r="S23" s="17">
        <f t="shared" si="2"/>
        <v>0.13075075795109</v>
      </c>
    </row>
    <row r="24" customHeight="1" spans="1:19">
      <c r="A24" s="59" t="s">
        <v>48</v>
      </c>
      <c r="B24" s="61"/>
      <c r="C24" s="17">
        <f t="shared" ref="C24:S24" si="3">IFERROR(C8/B8-1,"")</f>
        <v>0.583587398373984</v>
      </c>
      <c r="D24" s="17">
        <f t="shared" si="3"/>
        <v>0.43807155462859</v>
      </c>
      <c r="E24" s="17">
        <f t="shared" si="3"/>
        <v>0.541696881798405</v>
      </c>
      <c r="F24" s="17">
        <f t="shared" si="3"/>
        <v>0.470909617193719</v>
      </c>
      <c r="G24" s="17">
        <f t="shared" si="3"/>
        <v>0.37352716896662</v>
      </c>
      <c r="H24" s="17">
        <f t="shared" si="3"/>
        <v>0.266100146853397</v>
      </c>
      <c r="I24" s="17">
        <f t="shared" si="3"/>
        <v>0.215986647146606</v>
      </c>
      <c r="J24" s="17">
        <f t="shared" si="3"/>
        <v>0.371809785263941</v>
      </c>
      <c r="K24" s="17">
        <f t="shared" si="3"/>
        <v>-0.0111931755547829</v>
      </c>
      <c r="L24" s="17">
        <f t="shared" si="3"/>
        <v>0.156866108104863</v>
      </c>
      <c r="M24" s="17">
        <f t="shared" si="3"/>
        <v>0.219412754538513</v>
      </c>
      <c r="N24" s="17">
        <f t="shared" si="3"/>
        <v>0.221671732522796</v>
      </c>
      <c r="O24" s="17">
        <f t="shared" si="3"/>
        <v>0.2697512502177</v>
      </c>
      <c r="P24" s="17">
        <f t="shared" si="3"/>
        <v>0.20078317845173</v>
      </c>
      <c r="Q24" s="17">
        <f t="shared" si="3"/>
        <v>0.166200396774889</v>
      </c>
      <c r="R24" s="17">
        <f t="shared" si="3"/>
        <v>0.13996879744046</v>
      </c>
      <c r="S24" s="17">
        <f t="shared" si="3"/>
        <v>0.119898057691976</v>
      </c>
    </row>
    <row r="25" customHeight="1" spans="1:19">
      <c r="A25" s="59" t="s">
        <v>55</v>
      </c>
      <c r="B25" s="61"/>
      <c r="C25" s="17">
        <f t="shared" ref="C25:S25" si="4">IFERROR(C9/B9-1,"")</f>
        <v>0.0282393364292808</v>
      </c>
      <c r="D25" s="17">
        <f t="shared" si="4"/>
        <v>-0.00135752512726794</v>
      </c>
      <c r="E25" s="17">
        <f t="shared" si="4"/>
        <v>-0.031265521658432</v>
      </c>
      <c r="F25" s="17">
        <f t="shared" si="4"/>
        <v>0.0227217529751464</v>
      </c>
      <c r="G25" s="17">
        <f t="shared" si="4"/>
        <v>0.0404232301643843</v>
      </c>
      <c r="H25" s="17">
        <f t="shared" si="4"/>
        <v>0.0023839111359083</v>
      </c>
      <c r="I25" s="17">
        <f t="shared" si="4"/>
        <v>-0.0114358001265022</v>
      </c>
      <c r="J25" s="17">
        <f t="shared" si="4"/>
        <v>0.036035113761421</v>
      </c>
      <c r="K25" s="17">
        <f t="shared" si="4"/>
        <v>0.0484177762407054</v>
      </c>
      <c r="L25" s="17">
        <f t="shared" si="4"/>
        <v>0.17704578120214</v>
      </c>
      <c r="M25" s="17">
        <f t="shared" si="4"/>
        <v>0.060174156741067</v>
      </c>
      <c r="N25" s="17">
        <f t="shared" si="4"/>
        <v>0.0837975113762959</v>
      </c>
      <c r="O25" s="17">
        <f t="shared" si="4"/>
        <v>0.172263454067144</v>
      </c>
      <c r="P25" s="17">
        <f t="shared" si="4"/>
        <v>0.319457694122543</v>
      </c>
      <c r="Q25" s="17">
        <f t="shared" si="4"/>
        <v>0.412955573662325</v>
      </c>
      <c r="R25" s="17">
        <f t="shared" si="4"/>
        <v>0.316855148927758</v>
      </c>
      <c r="S25" s="17">
        <f t="shared" si="4"/>
        <v>0.123262637826697</v>
      </c>
    </row>
  </sheetData>
  <mergeCells count="4">
    <mergeCell ref="A1:S1"/>
    <mergeCell ref="A3:S3"/>
    <mergeCell ref="A11:S11"/>
    <mergeCell ref="A19:S19"/>
  </mergeCells>
  <conditionalFormatting sqref="B21:S25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showGridLines="0" workbookViewId="0">
      <selection activeCell="A1" sqref="A1:S1"/>
    </sheetView>
  </sheetViews>
  <sheetFormatPr defaultColWidth="8.67619047619048" defaultRowHeight="15"/>
  <cols>
    <col min="1" max="1" width="28" style="1" customWidth="1"/>
    <col min="2" max="20" width="10" style="1" customWidth="1"/>
  </cols>
  <sheetData>
    <row r="1" ht="25.5" customHeight="1" spans="1:19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customHeight="1" spans="1:19">
      <c r="A3" s="58" t="s">
        <v>85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customHeight="1" spans="1:19">
      <c r="A4" s="10" t="s">
        <v>76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</row>
    <row r="5" customHeight="1" spans="1:19">
      <c r="A5" s="59" t="s">
        <v>22</v>
      </c>
      <c r="B5" s="60">
        <f>'0. Database'!C12</f>
        <v>4257</v>
      </c>
      <c r="C5" s="60">
        <f>'0. Database'!D12</f>
        <v>5485</v>
      </c>
      <c r="D5" s="60">
        <f>'0. Database'!E12</f>
        <v>5944</v>
      </c>
      <c r="E5" s="60">
        <f>'0. Database'!F12</f>
        <v>8932</v>
      </c>
      <c r="F5" s="60">
        <f>'0. Database'!G12</f>
        <v>10200</v>
      </c>
      <c r="G5" s="60">
        <f>'0. Database'!H12</f>
        <v>13600</v>
      </c>
      <c r="H5" s="60">
        <f>'0. Database'!I12</f>
        <v>16900</v>
      </c>
      <c r="I5" s="60">
        <f>'0. Database'!J12</f>
        <v>19000</v>
      </c>
      <c r="J5" s="60">
        <f>'0. Database'!K12</f>
        <v>24200</v>
      </c>
      <c r="K5" s="60">
        <f>'0. Database'!L12</f>
        <v>29200</v>
      </c>
      <c r="L5" s="60">
        <f>'0. Database'!M12</f>
        <v>31900</v>
      </c>
      <c r="M5" s="60">
        <f>'0. Database'!N12</f>
        <v>55700</v>
      </c>
      <c r="N5" s="60">
        <f>'0. Database'!O12</f>
        <v>88200</v>
      </c>
      <c r="O5" s="60">
        <f>'0. Database'!P12</f>
        <v>145871.3</v>
      </c>
      <c r="P5" s="60">
        <f>'0. Database'!Q12</f>
        <v>245263.45</v>
      </c>
      <c r="Q5" s="60">
        <f>'0. Database'!R12</f>
        <v>286760.35</v>
      </c>
      <c r="R5" s="60">
        <f>'0. Database'!S12</f>
        <v>300210.91</v>
      </c>
      <c r="S5" s="60">
        <f>'0. Database'!T12</f>
        <v>304616.04</v>
      </c>
    </row>
    <row r="6" customHeight="1" spans="1:19">
      <c r="A6" s="59" t="s">
        <v>38</v>
      </c>
      <c r="B6" s="60">
        <f>'0. Database'!C28</f>
        <v>3443</v>
      </c>
      <c r="C6" s="60">
        <f>'0. Database'!D28</f>
        <v>4892</v>
      </c>
      <c r="D6" s="60">
        <f>'0. Database'!E28</f>
        <v>4588</v>
      </c>
      <c r="E6" s="60">
        <f>'0. Database'!F28</f>
        <v>6736</v>
      </c>
      <c r="F6" s="60">
        <f>'0. Database'!G28</f>
        <v>10057</v>
      </c>
      <c r="G6" s="60">
        <f>'0. Database'!H28</f>
        <v>11322</v>
      </c>
      <c r="H6" s="60">
        <f>'0. Database'!I28</f>
        <v>12690</v>
      </c>
      <c r="I6" s="60">
        <f>'0. Database'!J28</f>
        <v>35046</v>
      </c>
      <c r="J6" s="60">
        <f>'0. Database'!K28</f>
        <v>55396</v>
      </c>
      <c r="K6" s="60">
        <f>'0. Database'!L28</f>
        <v>58321</v>
      </c>
      <c r="L6" s="60">
        <f>'0. Database'!M28</f>
        <v>48133</v>
      </c>
      <c r="M6" s="60">
        <f>'0. Database'!N28</f>
        <v>77658</v>
      </c>
      <c r="N6" s="60">
        <f>'0. Database'!O28</f>
        <v>128320</v>
      </c>
      <c r="O6" s="60">
        <f>'0. Database'!P28</f>
        <v>200104.98</v>
      </c>
      <c r="P6" s="60">
        <f>'0. Database'!Q28</f>
        <v>270141.72</v>
      </c>
      <c r="Q6" s="60">
        <f>'0. Database'!R28</f>
        <v>283648.81</v>
      </c>
      <c r="R6" s="60">
        <f>'0. Database'!S28</f>
        <v>297831.25</v>
      </c>
      <c r="S6" s="60">
        <f>'0. Database'!T28</f>
        <v>312722.81</v>
      </c>
    </row>
    <row r="7" customHeight="1" spans="1:19">
      <c r="A7" s="59" t="s">
        <v>42</v>
      </c>
      <c r="B7" s="60">
        <f>'0. Database'!C43</f>
        <v>7358</v>
      </c>
      <c r="C7" s="60">
        <f>'0. Database'!D43</f>
        <v>10959</v>
      </c>
      <c r="D7" s="60">
        <f>'0. Database'!E43</f>
        <v>9915</v>
      </c>
      <c r="E7" s="60">
        <f>'0. Database'!F43</f>
        <v>10183</v>
      </c>
      <c r="F7" s="60">
        <f>'0. Database'!G43</f>
        <v>13184</v>
      </c>
      <c r="G7" s="60">
        <f>'0. Database'!H43</f>
        <v>25139</v>
      </c>
      <c r="H7" s="60">
        <f>'0. Database'!I43</f>
        <v>23548</v>
      </c>
      <c r="I7" s="60">
        <f>'0. Database'!J43</f>
        <v>22281</v>
      </c>
      <c r="J7" s="60">
        <f>'0. Database'!K43</f>
        <v>24640</v>
      </c>
      <c r="K7" s="60">
        <f>'0. Database'!L43</f>
        <v>31485</v>
      </c>
      <c r="L7" s="60">
        <f>'0. Database'!M43</f>
        <v>32251</v>
      </c>
      <c r="M7" s="60">
        <f>'0. Database'!N43</f>
        <v>52535</v>
      </c>
      <c r="N7" s="60">
        <f>'0. Database'!O43</f>
        <v>91447</v>
      </c>
      <c r="O7" s="60">
        <f>'0. Database'!P43</f>
        <v>185234.28</v>
      </c>
      <c r="P7" s="60">
        <f>'0. Database'!Q43</f>
        <v>259327.99</v>
      </c>
      <c r="Q7" s="60">
        <f>'0. Database'!R43</f>
        <v>285260.79</v>
      </c>
      <c r="R7" s="60">
        <f>'0. Database'!S43</f>
        <v>299523.83</v>
      </c>
      <c r="S7" s="60">
        <f>'0. Database'!T43</f>
        <v>314500.02</v>
      </c>
    </row>
    <row r="8" customHeight="1" spans="1:19">
      <c r="A8" s="59" t="s">
        <v>48</v>
      </c>
      <c r="B8" s="60">
        <f>'0. Database'!C60</f>
        <v>1362</v>
      </c>
      <c r="C8" s="60">
        <f>'0. Database'!D60</f>
        <v>1831</v>
      </c>
      <c r="D8" s="60">
        <f>'0. Database'!E60</f>
        <v>2523</v>
      </c>
      <c r="E8" s="60">
        <f>'0. Database'!F60</f>
        <v>4491</v>
      </c>
      <c r="F8" s="60">
        <f>'0. Database'!G60</f>
        <v>6732</v>
      </c>
      <c r="G8" s="60">
        <f>'0. Database'!H60</f>
        <v>13980</v>
      </c>
      <c r="H8" s="60">
        <f>'0. Database'!I60</f>
        <v>15102</v>
      </c>
      <c r="I8" s="60">
        <f>'0. Database'!J60</f>
        <v>15115</v>
      </c>
      <c r="J8" s="60">
        <f>'0. Database'!K60</f>
        <v>18567</v>
      </c>
      <c r="K8" s="60">
        <f>'0. Database'!L60</f>
        <v>31186</v>
      </c>
      <c r="L8" s="60">
        <f>'0. Database'!M60</f>
        <v>27045</v>
      </c>
      <c r="M8" s="60">
        <f>'0. Database'!N60</f>
        <v>37256</v>
      </c>
      <c r="N8" s="60">
        <f>'0. Database'!O60</f>
        <v>69691</v>
      </c>
      <c r="O8" s="60">
        <f>'0. Database'!P60</f>
        <v>135583.71</v>
      </c>
      <c r="P8" s="60">
        <f>'0. Database'!Q60</f>
        <v>165714.44</v>
      </c>
      <c r="Q8" s="60">
        <f>'0. Database'!R60</f>
        <v>185600.17</v>
      </c>
      <c r="R8" s="60">
        <f>'0. Database'!S60</f>
        <v>196736.18</v>
      </c>
      <c r="S8" s="60">
        <f>'0. Database'!T60</f>
        <v>208540.35</v>
      </c>
    </row>
    <row r="9" customHeight="1" spans="1:19">
      <c r="A9" s="59" t="s">
        <v>55</v>
      </c>
      <c r="B9" s="60">
        <f>'0. Database'!C78</f>
        <v>650</v>
      </c>
      <c r="C9" s="60">
        <f>'0. Database'!D78</f>
        <v>580</v>
      </c>
      <c r="D9" s="60">
        <f>'0. Database'!E78</f>
        <v>1391</v>
      </c>
      <c r="E9" s="60">
        <f>'0. Database'!F78</f>
        <v>1189</v>
      </c>
      <c r="F9" s="60">
        <f>'0. Database'!G78</f>
        <v>2021</v>
      </c>
      <c r="G9" s="60">
        <f>'0. Database'!H78</f>
        <v>1736</v>
      </c>
      <c r="H9" s="60">
        <f>'0. Database'!I78</f>
        <v>1660</v>
      </c>
      <c r="I9" s="60">
        <f>'0. Database'!J78</f>
        <v>1564</v>
      </c>
      <c r="J9" s="60">
        <f>'0. Database'!K78</f>
        <v>2135</v>
      </c>
      <c r="K9" s="60">
        <f>'0. Database'!L78</f>
        <v>4511</v>
      </c>
      <c r="L9" s="60">
        <f>'0. Database'!M78</f>
        <v>8695</v>
      </c>
      <c r="M9" s="60">
        <f>'0. Database'!N78</f>
        <v>6866</v>
      </c>
      <c r="N9" s="60">
        <f>'0. Database'!O78</f>
        <v>21215</v>
      </c>
      <c r="O9" s="60">
        <f>'0. Database'!P78</f>
        <v>51882</v>
      </c>
      <c r="P9" s="60">
        <f>'0. Database'!Q78</f>
        <v>52141.41</v>
      </c>
      <c r="Q9" s="60">
        <f>'0. Database'!R78</f>
        <v>69869.49</v>
      </c>
      <c r="R9" s="60">
        <f>'0. Database'!S78</f>
        <v>81048.61</v>
      </c>
      <c r="S9" s="60">
        <f>'0. Database'!T78</f>
        <v>66459.86</v>
      </c>
    </row>
    <row r="11" customHeight="1" spans="1:19">
      <c r="A11" s="58" t="s">
        <v>86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customHeight="1" spans="1:19">
      <c r="A12" s="10" t="s">
        <v>76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</row>
    <row r="13" customHeight="1" spans="1:19">
      <c r="A13" s="59" t="s">
        <v>22</v>
      </c>
      <c r="B13" s="60">
        <f>'0. Database'!C11</f>
        <v>3339</v>
      </c>
      <c r="C13" s="60">
        <f>'0. Database'!D11</f>
        <v>4245</v>
      </c>
      <c r="D13" s="60">
        <f>'0. Database'!E11</f>
        <v>5400</v>
      </c>
      <c r="E13" s="60">
        <f>'0. Database'!F11</f>
        <v>5878</v>
      </c>
      <c r="F13" s="60">
        <f>'0. Database'!G11</f>
        <v>7800</v>
      </c>
      <c r="G13" s="60">
        <f>'0. Database'!H11</f>
        <v>9900</v>
      </c>
      <c r="H13" s="60">
        <f>'0. Database'!I11</f>
        <v>11600</v>
      </c>
      <c r="I13" s="60">
        <f>'0. Database'!J11</f>
        <v>12300</v>
      </c>
      <c r="J13" s="60">
        <f>'0. Database'!K11</f>
        <v>10900</v>
      </c>
      <c r="K13" s="60">
        <f>'0. Database'!L11</f>
        <v>14600</v>
      </c>
      <c r="L13" s="60">
        <f>'0. Database'!M11</f>
        <v>13500</v>
      </c>
      <c r="M13" s="60">
        <f>'0. Database'!N11</f>
        <v>20000</v>
      </c>
      <c r="N13" s="60">
        <f>'0. Database'!O11</f>
        <v>28000</v>
      </c>
      <c r="O13" s="60">
        <f>'0. Database'!P11</f>
        <v>39638.96</v>
      </c>
      <c r="P13" s="60">
        <f>'0. Database'!Q11</f>
        <v>62441.96</v>
      </c>
      <c r="Q13" s="60">
        <f>'0. Database'!R11</f>
        <v>94995.43</v>
      </c>
      <c r="R13" s="60">
        <f>'0. Database'!S11</f>
        <v>131504.45</v>
      </c>
      <c r="S13" s="60">
        <f>'0. Database'!T11</f>
        <v>167239.58</v>
      </c>
    </row>
    <row r="14" customHeight="1" spans="1:19">
      <c r="A14" s="59" t="s">
        <v>38</v>
      </c>
      <c r="B14" s="60">
        <f>'0. Database'!C27</f>
        <v>3253</v>
      </c>
      <c r="C14" s="60">
        <f>'0. Database'!D27</f>
        <v>4745</v>
      </c>
      <c r="D14" s="60">
        <f>'0. Database'!E27</f>
        <v>6281</v>
      </c>
      <c r="E14" s="60">
        <f>'0. Database'!F27</f>
        <v>8117</v>
      </c>
      <c r="F14" s="60">
        <f>'0. Database'!G27</f>
        <v>11478</v>
      </c>
      <c r="G14" s="60">
        <f>'0. Database'!H27</f>
        <v>15341</v>
      </c>
      <c r="H14" s="60">
        <f>'0. Database'!I27</f>
        <v>21789</v>
      </c>
      <c r="I14" s="60">
        <f>'0. Database'!J27</f>
        <v>25251</v>
      </c>
      <c r="J14" s="60">
        <f>'0. Database'!K27</f>
        <v>34296</v>
      </c>
      <c r="K14" s="60">
        <f>'0. Database'!L27</f>
        <v>41461</v>
      </c>
      <c r="L14" s="60">
        <f>'0. Database'!M27</f>
        <v>48663</v>
      </c>
      <c r="M14" s="60">
        <f>'0. Database'!N27</f>
        <v>52795</v>
      </c>
      <c r="N14" s="60">
        <f>'0. Database'!O27</f>
        <v>65756</v>
      </c>
      <c r="O14" s="60">
        <f>'0. Database'!P27</f>
        <v>81175.82</v>
      </c>
      <c r="P14" s="60">
        <f>'0. Database'!Q27</f>
        <v>90716.93</v>
      </c>
      <c r="Q14" s="60">
        <f>'0. Database'!R27</f>
        <v>120533.23</v>
      </c>
      <c r="R14" s="60">
        <f>'0. Database'!S27</f>
        <v>150703.05</v>
      </c>
      <c r="S14" s="60">
        <f>'0. Database'!T27</f>
        <v>175451.44</v>
      </c>
    </row>
    <row r="15" customHeight="1" spans="1:19">
      <c r="A15" s="59" t="s">
        <v>42</v>
      </c>
      <c r="B15" s="60">
        <f>'0. Database'!C42</f>
        <v>2781</v>
      </c>
      <c r="C15" s="60">
        <f>'0. Database'!D42</f>
        <v>3523</v>
      </c>
      <c r="D15" s="60">
        <f>'0. Database'!E42</f>
        <v>4132</v>
      </c>
      <c r="E15" s="60">
        <f>'0. Database'!F42</f>
        <v>5267</v>
      </c>
      <c r="F15" s="60">
        <f>'0. Database'!G42</f>
        <v>6103</v>
      </c>
      <c r="G15" s="60">
        <f>'0. Database'!H42</f>
        <v>8164</v>
      </c>
      <c r="H15" s="60">
        <f>'0. Database'!I42</f>
        <v>10856</v>
      </c>
      <c r="I15" s="60">
        <f>'0. Database'!J42</f>
        <v>12905</v>
      </c>
      <c r="J15" s="60">
        <f>'0. Database'!K42</f>
        <v>11555</v>
      </c>
      <c r="K15" s="60">
        <f>'0. Database'!L42</f>
        <v>15287</v>
      </c>
      <c r="L15" s="60">
        <f>'0. Database'!M42</f>
        <v>13326</v>
      </c>
      <c r="M15" s="60">
        <f>'0. Database'!N42</f>
        <v>15311</v>
      </c>
      <c r="N15" s="60">
        <f>'0. Database'!O42</f>
        <v>21136</v>
      </c>
      <c r="O15" s="60">
        <f>'0. Database'!P42</f>
        <v>42874.7</v>
      </c>
      <c r="P15" s="60">
        <f>'0. Database'!Q42</f>
        <v>69582.72</v>
      </c>
      <c r="Q15" s="60">
        <f>'0. Database'!R42</f>
        <v>98340.16</v>
      </c>
      <c r="R15" s="60">
        <f>'0. Database'!S42</f>
        <v>127674.93</v>
      </c>
      <c r="S15" s="60">
        <f>'0. Database'!T42</f>
        <v>156155.17</v>
      </c>
    </row>
    <row r="16" customHeight="1" spans="1:19">
      <c r="A16" s="59" t="s">
        <v>48</v>
      </c>
      <c r="B16" s="60">
        <f>'0. Database'!C59</f>
        <v>1011</v>
      </c>
      <c r="C16" s="60">
        <f>'0. Database'!D59</f>
        <v>1243</v>
      </c>
      <c r="D16" s="60">
        <f>'0. Database'!E59</f>
        <v>1945</v>
      </c>
      <c r="E16" s="60">
        <f>'0. Database'!F59</f>
        <v>2342</v>
      </c>
      <c r="F16" s="60">
        <f>'0. Database'!G59</f>
        <v>3025</v>
      </c>
      <c r="G16" s="60">
        <f>'0. Database'!H59</f>
        <v>4315</v>
      </c>
      <c r="H16" s="60">
        <f>'0. Database'!I59</f>
        <v>5741</v>
      </c>
      <c r="I16" s="60">
        <f>'0. Database'!J59</f>
        <v>6862</v>
      </c>
      <c r="J16" s="60">
        <f>'0. Database'!K59</f>
        <v>7966</v>
      </c>
      <c r="K16" s="60">
        <f>'0. Database'!L59</f>
        <v>8686</v>
      </c>
      <c r="L16" s="60">
        <f>'0. Database'!M59</f>
        <v>11177</v>
      </c>
      <c r="M16" s="60">
        <f>'0. Database'!N59</f>
        <v>15498</v>
      </c>
      <c r="N16" s="60">
        <f>'0. Database'!O59</f>
        <v>18616</v>
      </c>
      <c r="O16" s="60">
        <f>'0. Database'!P59</f>
        <v>35955.99</v>
      </c>
      <c r="P16" s="60">
        <f>'0. Database'!Q59</f>
        <v>56602.9</v>
      </c>
      <c r="Q16" s="60">
        <f>'0. Database'!R59</f>
        <v>78641.85</v>
      </c>
      <c r="R16" s="60">
        <f>'0. Database'!S59</f>
        <v>100070.74</v>
      </c>
      <c r="S16" s="60">
        <f>'0. Database'!T59</f>
        <v>120937.09</v>
      </c>
    </row>
    <row r="17" customHeight="1" spans="1:19">
      <c r="A17" s="59" t="s">
        <v>55</v>
      </c>
      <c r="B17" s="60">
        <f>'0. Database'!C77</f>
        <v>546</v>
      </c>
      <c r="C17" s="60">
        <f>'0. Database'!D77</f>
        <v>608</v>
      </c>
      <c r="D17" s="60">
        <f>'0. Database'!E77</f>
        <v>712</v>
      </c>
      <c r="E17" s="60">
        <f>'0. Database'!F77</f>
        <v>871</v>
      </c>
      <c r="F17" s="60">
        <f>'0. Database'!G77</f>
        <v>1000</v>
      </c>
      <c r="G17" s="60">
        <f>'0. Database'!H77</f>
        <v>1165</v>
      </c>
      <c r="H17" s="60">
        <f>'0. Database'!I77</f>
        <v>1230</v>
      </c>
      <c r="I17" s="60">
        <f>'0. Database'!J77</f>
        <v>1382</v>
      </c>
      <c r="J17" s="60">
        <f>'0. Database'!K77</f>
        <v>1537</v>
      </c>
      <c r="K17" s="60">
        <f>'0. Database'!L77</f>
        <v>1972</v>
      </c>
      <c r="L17" s="60">
        <f>'0. Database'!M77</f>
        <v>2526</v>
      </c>
      <c r="M17" s="60">
        <f>'0. Database'!N77</f>
        <v>3129</v>
      </c>
      <c r="N17" s="60">
        <f>'0. Database'!O77</f>
        <v>3867</v>
      </c>
      <c r="O17" s="60">
        <f>'0. Database'!P77</f>
        <v>7501.53</v>
      </c>
      <c r="P17" s="60">
        <f>'0. Database'!Q77</f>
        <v>16868.58</v>
      </c>
      <c r="Q17" s="60">
        <f>'0. Database'!R77</f>
        <v>27597.91</v>
      </c>
      <c r="R17" s="60">
        <f>'0. Database'!S77</f>
        <v>39646.31</v>
      </c>
      <c r="S17" s="60">
        <f>'0. Database'!T77</f>
        <v>48244.32</v>
      </c>
    </row>
    <row r="19" customHeight="1" spans="1:19">
      <c r="A19" s="58" t="s">
        <v>87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customHeight="1" spans="1:19">
      <c r="A20" s="10" t="s">
        <v>76</v>
      </c>
      <c r="B20" s="10" t="s">
        <v>3</v>
      </c>
      <c r="C20" s="10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0" t="s">
        <v>9</v>
      </c>
      <c r="I20" s="10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17</v>
      </c>
      <c r="Q20" s="10" t="s">
        <v>18</v>
      </c>
      <c r="R20" s="10" t="s">
        <v>19</v>
      </c>
      <c r="S20" s="10" t="s">
        <v>20</v>
      </c>
    </row>
    <row r="21" customHeight="1" spans="1:19">
      <c r="A21" s="59" t="s">
        <v>22</v>
      </c>
      <c r="B21" s="60">
        <f>'0. Database'!C5</f>
        <v>77849</v>
      </c>
      <c r="C21" s="60">
        <f>'0. Database'!D5</f>
        <v>86833</v>
      </c>
      <c r="D21" s="60">
        <f>'0. Database'!E5</f>
        <v>93580</v>
      </c>
      <c r="E21" s="60">
        <f>'0. Database'!F5</f>
        <v>85320</v>
      </c>
      <c r="F21" s="60">
        <f>'0. Database'!G5</f>
        <v>96571</v>
      </c>
      <c r="G21" s="60">
        <f>'0. Database'!H5</f>
        <v>110360</v>
      </c>
      <c r="H21" s="60">
        <f>'0. Database'!I5</f>
        <v>125843</v>
      </c>
      <c r="I21" s="60">
        <f>'0. Database'!J5</f>
        <v>143015</v>
      </c>
      <c r="J21" s="60">
        <f>'0. Database'!K5</f>
        <v>168088</v>
      </c>
      <c r="K21" s="60">
        <f>'0. Database'!L5</f>
        <v>198270</v>
      </c>
      <c r="L21" s="60">
        <f>'0. Database'!M5</f>
        <v>211915</v>
      </c>
      <c r="M21" s="60">
        <f>'0. Database'!N5</f>
        <v>245122</v>
      </c>
      <c r="N21" s="60">
        <f>'0. Database'!O5</f>
        <v>281724</v>
      </c>
      <c r="O21" s="60">
        <f>'0. Database'!P5</f>
        <v>329440.24</v>
      </c>
      <c r="P21" s="60">
        <f>'0. Database'!Q5</f>
        <v>387103.71</v>
      </c>
      <c r="Q21" s="60">
        <f>'0. Database'!R5</f>
        <v>463474.17</v>
      </c>
      <c r="R21" s="60">
        <f>'0. Database'!S5</f>
        <v>553714.52</v>
      </c>
      <c r="S21" s="60">
        <f>'0. Database'!T5</f>
        <v>652772.62</v>
      </c>
    </row>
    <row r="22" customHeight="1" spans="1:19">
      <c r="A22" s="59" t="s">
        <v>38</v>
      </c>
      <c r="B22" s="60">
        <f>'0. Database'!C21</f>
        <v>74453</v>
      </c>
      <c r="C22" s="60">
        <f>'0. Database'!D21</f>
        <v>88988.4</v>
      </c>
      <c r="D22" s="60">
        <f>'0. Database'!E21</f>
        <v>107006.6</v>
      </c>
      <c r="E22" s="60">
        <f>'0. Database'!F21</f>
        <v>135987</v>
      </c>
      <c r="F22" s="60">
        <f>'0. Database'!G21</f>
        <v>177866</v>
      </c>
      <c r="G22" s="60">
        <f>'0. Database'!H21</f>
        <v>232887</v>
      </c>
      <c r="H22" s="60">
        <f>'0. Database'!I21</f>
        <v>280522</v>
      </c>
      <c r="I22" s="60">
        <f>'0. Database'!J21</f>
        <v>386064</v>
      </c>
      <c r="J22" s="60">
        <f>'0. Database'!K21</f>
        <v>469822</v>
      </c>
      <c r="K22" s="60">
        <f>'0. Database'!L21</f>
        <v>513983</v>
      </c>
      <c r="L22" s="60">
        <f>'0. Database'!M21</f>
        <v>574785</v>
      </c>
      <c r="M22" s="60">
        <f>'0. Database'!N21</f>
        <v>637959</v>
      </c>
      <c r="N22" s="60">
        <f>'0. Database'!O21</f>
        <v>716924</v>
      </c>
      <c r="O22" s="60">
        <f>'0. Database'!P21</f>
        <v>827599.51</v>
      </c>
      <c r="P22" s="60">
        <f>'0. Database'!Q21</f>
        <v>946630.91</v>
      </c>
      <c r="Q22" s="60">
        <f>'0. Database'!R21</f>
        <v>1063340.59</v>
      </c>
      <c r="R22" s="60">
        <f>'0. Database'!S21</f>
        <v>1183117.72</v>
      </c>
      <c r="S22" s="60">
        <f>'0. Database'!T21</f>
        <v>1305415.48</v>
      </c>
    </row>
    <row r="23" customHeight="1" spans="1:19">
      <c r="A23" s="59" t="s">
        <v>42</v>
      </c>
      <c r="B23" s="60">
        <f>'0. Database'!C36</f>
        <v>55519</v>
      </c>
      <c r="C23" s="60">
        <f>'0. Database'!D36</f>
        <v>66001</v>
      </c>
      <c r="D23" s="60">
        <f>'0. Database'!E36</f>
        <v>74989</v>
      </c>
      <c r="E23" s="60">
        <f>'0. Database'!F36</f>
        <v>90272</v>
      </c>
      <c r="F23" s="60">
        <f>'0. Database'!G36</f>
        <v>110855</v>
      </c>
      <c r="G23" s="60">
        <f>'0. Database'!H36</f>
        <v>136819</v>
      </c>
      <c r="H23" s="60">
        <f>'0. Database'!I36</f>
        <v>161857</v>
      </c>
      <c r="I23" s="60">
        <f>'0. Database'!J36</f>
        <v>182527</v>
      </c>
      <c r="J23" s="60">
        <f>'0. Database'!K36</f>
        <v>257637</v>
      </c>
      <c r="K23" s="60">
        <f>'0. Database'!L36</f>
        <v>282836</v>
      </c>
      <c r="L23" s="60">
        <f>'0. Database'!M36</f>
        <v>307394</v>
      </c>
      <c r="M23" s="60">
        <f>'0. Database'!N36</f>
        <v>350018</v>
      </c>
      <c r="N23" s="60">
        <f>'0. Database'!O36</f>
        <v>402836</v>
      </c>
      <c r="O23" s="60">
        <f>'0. Database'!P36</f>
        <v>488278.6</v>
      </c>
      <c r="P23" s="60">
        <f>'0. Database'!Q36</f>
        <v>591935.74</v>
      </c>
      <c r="Q23" s="60">
        <f>'0. Database'!R36</f>
        <v>701414.49</v>
      </c>
      <c r="R23" s="60">
        <f>'0. Database'!S36</f>
        <v>815276.88</v>
      </c>
      <c r="S23" s="60">
        <f>'0. Database'!T36</f>
        <v>921874.95</v>
      </c>
    </row>
    <row r="24" customHeight="1" spans="1:19">
      <c r="A24" s="59" t="s">
        <v>48</v>
      </c>
      <c r="B24" s="60">
        <f>'0. Database'!C53</f>
        <v>7872</v>
      </c>
      <c r="C24" s="60">
        <f>'0. Database'!D53</f>
        <v>12466</v>
      </c>
      <c r="D24" s="60">
        <f>'0. Database'!E53</f>
        <v>17927</v>
      </c>
      <c r="E24" s="60">
        <f>'0. Database'!F53</f>
        <v>27638</v>
      </c>
      <c r="F24" s="60">
        <f>'0. Database'!G53</f>
        <v>40653</v>
      </c>
      <c r="G24" s="60">
        <f>'0. Database'!H53</f>
        <v>55838</v>
      </c>
      <c r="H24" s="60">
        <f>'0. Database'!I53</f>
        <v>70696.5</v>
      </c>
      <c r="I24" s="60">
        <f>'0. Database'!J53</f>
        <v>85966</v>
      </c>
      <c r="J24" s="60">
        <f>'0. Database'!K53</f>
        <v>117929</v>
      </c>
      <c r="K24" s="60">
        <f>'0. Database'!L53</f>
        <v>116609</v>
      </c>
      <c r="L24" s="60">
        <f>'0. Database'!M53</f>
        <v>134901</v>
      </c>
      <c r="M24" s="60">
        <f>'0. Database'!N53</f>
        <v>164500</v>
      </c>
      <c r="N24" s="60">
        <f>'0. Database'!O53</f>
        <v>200965</v>
      </c>
      <c r="O24" s="60">
        <f>'0. Database'!P53</f>
        <v>255175.56</v>
      </c>
      <c r="P24" s="60">
        <f>'0. Database'!Q53</f>
        <v>306410.52</v>
      </c>
      <c r="Q24" s="60">
        <f>'0. Database'!R53</f>
        <v>357336.07</v>
      </c>
      <c r="R24" s="60">
        <f>'0. Database'!S53</f>
        <v>407351.97</v>
      </c>
      <c r="S24" s="60">
        <f>'0. Database'!T53</f>
        <v>456192.68</v>
      </c>
    </row>
    <row r="25" customHeight="1" spans="1:19">
      <c r="A25" s="59" t="s">
        <v>55</v>
      </c>
      <c r="B25" s="60">
        <f>'0. Database'!C71</f>
        <v>37253</v>
      </c>
      <c r="C25" s="60">
        <f>'0. Database'!D71</f>
        <v>38305</v>
      </c>
      <c r="D25" s="60">
        <f>'0. Database'!E71</f>
        <v>38253</v>
      </c>
      <c r="E25" s="60">
        <f>'0. Database'!F71</f>
        <v>37057</v>
      </c>
      <c r="F25" s="60">
        <f>'0. Database'!G71</f>
        <v>37899</v>
      </c>
      <c r="G25" s="60">
        <f>'0. Database'!H71</f>
        <v>39431</v>
      </c>
      <c r="H25" s="60">
        <f>'0. Database'!I71</f>
        <v>39525</v>
      </c>
      <c r="I25" s="60">
        <f>'0. Database'!J71</f>
        <v>39073</v>
      </c>
      <c r="J25" s="60">
        <f>'0. Database'!K71</f>
        <v>40481</v>
      </c>
      <c r="K25" s="60">
        <f>'0. Database'!L71</f>
        <v>42441</v>
      </c>
      <c r="L25" s="60">
        <f>'0. Database'!M71</f>
        <v>49955</v>
      </c>
      <c r="M25" s="60">
        <f>'0. Database'!N71</f>
        <v>52961</v>
      </c>
      <c r="N25" s="60">
        <f>'0. Database'!O71</f>
        <v>57399</v>
      </c>
      <c r="O25" s="60">
        <f>'0. Database'!P71</f>
        <v>67286.75</v>
      </c>
      <c r="P25" s="60">
        <f>'0. Database'!Q71</f>
        <v>88782.02</v>
      </c>
      <c r="Q25" s="60">
        <f>'0. Database'!R71</f>
        <v>125445.05</v>
      </c>
      <c r="R25" s="60">
        <f>'0. Database'!S71</f>
        <v>165192.96</v>
      </c>
      <c r="S25" s="60">
        <f>'0. Database'!T71</f>
        <v>185555.08</v>
      </c>
    </row>
    <row r="27" customHeight="1" spans="1:19">
      <c r="A27" s="58" t="s">
        <v>88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customHeight="1" spans="1:19">
      <c r="A28" s="10" t="s">
        <v>76</v>
      </c>
      <c r="B28" s="10" t="s">
        <v>3</v>
      </c>
      <c r="C28" s="10" t="s">
        <v>4</v>
      </c>
      <c r="D28" s="10" t="s">
        <v>5</v>
      </c>
      <c r="E28" s="10" t="s">
        <v>6</v>
      </c>
      <c r="F28" s="10" t="s">
        <v>7</v>
      </c>
      <c r="G28" s="10" t="s">
        <v>8</v>
      </c>
      <c r="H28" s="10" t="s">
        <v>9</v>
      </c>
      <c r="I28" s="10" t="s">
        <v>10</v>
      </c>
      <c r="J28" s="10" t="s">
        <v>11</v>
      </c>
      <c r="K28" s="10" t="s">
        <v>12</v>
      </c>
      <c r="L28" s="10" t="s">
        <v>13</v>
      </c>
      <c r="M28" s="10" t="s">
        <v>14</v>
      </c>
      <c r="N28" s="10" t="s">
        <v>15</v>
      </c>
      <c r="O28" s="10" t="s">
        <v>16</v>
      </c>
      <c r="P28" s="10" t="s">
        <v>17</v>
      </c>
      <c r="Q28" s="10" t="s">
        <v>18</v>
      </c>
      <c r="R28" s="10" t="s">
        <v>19</v>
      </c>
      <c r="S28" s="10" t="s">
        <v>20</v>
      </c>
    </row>
    <row r="29" customHeight="1" spans="1:19">
      <c r="A29" s="59" t="s">
        <v>22</v>
      </c>
      <c r="B29" s="61"/>
      <c r="C29" s="17">
        <f t="shared" ref="C29:S29" si="0">IFERROR(C5/B5-1,"")</f>
        <v>0.288466055907916</v>
      </c>
      <c r="D29" s="17">
        <f t="shared" si="0"/>
        <v>0.0836827711941659</v>
      </c>
      <c r="E29" s="17">
        <f t="shared" si="0"/>
        <v>0.502691790040377</v>
      </c>
      <c r="F29" s="17">
        <f t="shared" si="0"/>
        <v>0.141961486789073</v>
      </c>
      <c r="G29" s="17">
        <f t="shared" si="0"/>
        <v>0.333333333333333</v>
      </c>
      <c r="H29" s="17">
        <f t="shared" si="0"/>
        <v>0.242647058823529</v>
      </c>
      <c r="I29" s="17">
        <f t="shared" si="0"/>
        <v>0.124260355029586</v>
      </c>
      <c r="J29" s="17">
        <f t="shared" si="0"/>
        <v>0.273684210526316</v>
      </c>
      <c r="K29" s="17">
        <f t="shared" si="0"/>
        <v>0.206611570247934</v>
      </c>
      <c r="L29" s="17">
        <f t="shared" si="0"/>
        <v>0.0924657534246576</v>
      </c>
      <c r="M29" s="17">
        <f t="shared" si="0"/>
        <v>0.746081504702194</v>
      </c>
      <c r="N29" s="17">
        <f t="shared" si="0"/>
        <v>0.583482944344704</v>
      </c>
      <c r="O29" s="17">
        <f t="shared" si="0"/>
        <v>0.653869614512472</v>
      </c>
      <c r="P29" s="17">
        <f t="shared" si="0"/>
        <v>0.681368781933115</v>
      </c>
      <c r="Q29" s="17">
        <f t="shared" si="0"/>
        <v>0.169193167591828</v>
      </c>
      <c r="R29" s="17">
        <f t="shared" si="0"/>
        <v>0.0469052294014844</v>
      </c>
      <c r="S29" s="17">
        <f t="shared" si="0"/>
        <v>0.0146734507416804</v>
      </c>
    </row>
    <row r="30" customHeight="1" spans="1:19">
      <c r="A30" s="59" t="s">
        <v>38</v>
      </c>
      <c r="B30" s="61"/>
      <c r="C30" s="17">
        <f t="shared" ref="C30:S30" si="1">IFERROR(C6/B6-1,"")</f>
        <v>0.42085390647691</v>
      </c>
      <c r="D30" s="17">
        <f t="shared" si="1"/>
        <v>-0.0621422730989371</v>
      </c>
      <c r="E30" s="17">
        <f t="shared" si="1"/>
        <v>0.468177855274629</v>
      </c>
      <c r="F30" s="17">
        <f t="shared" si="1"/>
        <v>0.493022565320665</v>
      </c>
      <c r="G30" s="17">
        <f t="shared" si="1"/>
        <v>0.125783036690862</v>
      </c>
      <c r="H30" s="17">
        <f t="shared" si="1"/>
        <v>0.120826709062003</v>
      </c>
      <c r="I30" s="17">
        <f t="shared" si="1"/>
        <v>1.76170212765957</v>
      </c>
      <c r="J30" s="17">
        <f t="shared" si="1"/>
        <v>0.580665411173886</v>
      </c>
      <c r="K30" s="17">
        <f t="shared" si="1"/>
        <v>0.0528016463282548</v>
      </c>
      <c r="L30" s="17">
        <f t="shared" si="1"/>
        <v>-0.174688362682396</v>
      </c>
      <c r="M30" s="17">
        <f t="shared" si="1"/>
        <v>0.613404524962084</v>
      </c>
      <c r="N30" s="17">
        <f t="shared" si="1"/>
        <v>0.652373226196915</v>
      </c>
      <c r="O30" s="17">
        <f t="shared" si="1"/>
        <v>0.559421602244389</v>
      </c>
      <c r="P30" s="17">
        <f t="shared" si="1"/>
        <v>0.349999985007869</v>
      </c>
      <c r="Q30" s="17">
        <f t="shared" si="1"/>
        <v>0.050000014807043</v>
      </c>
      <c r="R30" s="17">
        <f t="shared" si="1"/>
        <v>0.0499999982372568</v>
      </c>
      <c r="S30" s="17">
        <f t="shared" si="1"/>
        <v>0.049999991605985</v>
      </c>
    </row>
    <row r="31" customHeight="1" spans="1:19">
      <c r="A31" s="59" t="s">
        <v>42</v>
      </c>
      <c r="B31" s="61"/>
      <c r="C31" s="17">
        <f t="shared" ref="C31:S31" si="2">IFERROR(C7/B7-1,"")</f>
        <v>0.489399293286219</v>
      </c>
      <c r="D31" s="17">
        <f t="shared" si="2"/>
        <v>-0.0952641664385436</v>
      </c>
      <c r="E31" s="17">
        <f t="shared" si="2"/>
        <v>0.027029752899647</v>
      </c>
      <c r="F31" s="17">
        <f t="shared" si="2"/>
        <v>0.294706864381813</v>
      </c>
      <c r="G31" s="17">
        <f t="shared" si="2"/>
        <v>0.906780946601942</v>
      </c>
      <c r="H31" s="17">
        <f t="shared" si="2"/>
        <v>-0.0632881180635666</v>
      </c>
      <c r="I31" s="17">
        <f t="shared" si="2"/>
        <v>-0.0538049940546967</v>
      </c>
      <c r="J31" s="17">
        <f t="shared" si="2"/>
        <v>0.105874960728872</v>
      </c>
      <c r="K31" s="17">
        <f t="shared" si="2"/>
        <v>0.277800324675325</v>
      </c>
      <c r="L31" s="17">
        <f t="shared" si="2"/>
        <v>0.0243290455772591</v>
      </c>
      <c r="M31" s="17">
        <f t="shared" si="2"/>
        <v>0.628941738240675</v>
      </c>
      <c r="N31" s="17">
        <f t="shared" si="2"/>
        <v>0.740687160940326</v>
      </c>
      <c r="O31" s="17">
        <f t="shared" si="2"/>
        <v>1.0255916541822</v>
      </c>
      <c r="P31" s="17">
        <f t="shared" si="2"/>
        <v>0.399999989202863</v>
      </c>
      <c r="Q31" s="17">
        <f t="shared" si="2"/>
        <v>0.100000003856121</v>
      </c>
      <c r="R31" s="17">
        <f t="shared" si="2"/>
        <v>0.0500000017527822</v>
      </c>
      <c r="S31" s="17">
        <f t="shared" si="2"/>
        <v>0.0499999949920513</v>
      </c>
    </row>
    <row r="32" customHeight="1" spans="1:19">
      <c r="A32" s="59" t="s">
        <v>48</v>
      </c>
      <c r="B32" s="61"/>
      <c r="C32" s="17">
        <f t="shared" ref="C32:S32" si="3">IFERROR(C8/B8-1,"")</f>
        <v>0.344346549192364</v>
      </c>
      <c r="D32" s="17">
        <f t="shared" si="3"/>
        <v>0.37793555434189</v>
      </c>
      <c r="E32" s="17">
        <f t="shared" si="3"/>
        <v>0.780023781212842</v>
      </c>
      <c r="F32" s="17">
        <f t="shared" si="3"/>
        <v>0.498997995991984</v>
      </c>
      <c r="G32" s="17">
        <f t="shared" si="3"/>
        <v>1.07664884135472</v>
      </c>
      <c r="H32" s="17">
        <f t="shared" si="3"/>
        <v>0.0802575107296137</v>
      </c>
      <c r="I32" s="17">
        <f t="shared" si="3"/>
        <v>0.000860813137332883</v>
      </c>
      <c r="J32" s="17">
        <f t="shared" si="3"/>
        <v>0.228382401587827</v>
      </c>
      <c r="K32" s="17">
        <f t="shared" si="3"/>
        <v>0.679646684978726</v>
      </c>
      <c r="L32" s="17">
        <f t="shared" si="3"/>
        <v>-0.132783941512217</v>
      </c>
      <c r="M32" s="17">
        <f t="shared" si="3"/>
        <v>0.377555925309669</v>
      </c>
      <c r="N32" s="17">
        <f t="shared" si="3"/>
        <v>0.870598024479279</v>
      </c>
      <c r="O32" s="17">
        <f t="shared" si="3"/>
        <v>0.945498127448307</v>
      </c>
      <c r="P32" s="17">
        <f t="shared" si="3"/>
        <v>0.22222972066482</v>
      </c>
      <c r="Q32" s="17">
        <f t="shared" si="3"/>
        <v>0.119999983103464</v>
      </c>
      <c r="R32" s="17">
        <f t="shared" si="3"/>
        <v>0.0599999989224147</v>
      </c>
      <c r="S32" s="17">
        <f t="shared" si="3"/>
        <v>0.0599999959336408</v>
      </c>
    </row>
    <row r="33" customHeight="1" spans="1:19">
      <c r="A33" s="59" t="s">
        <v>55</v>
      </c>
      <c r="B33" s="61"/>
      <c r="C33" s="17">
        <f t="shared" ref="C33:S33" si="4">IFERROR(C9/B9-1,"")</f>
        <v>-0.107692307692308</v>
      </c>
      <c r="D33" s="17">
        <f t="shared" si="4"/>
        <v>1.39827586206897</v>
      </c>
      <c r="E33" s="17">
        <f t="shared" si="4"/>
        <v>-0.145219266714594</v>
      </c>
      <c r="F33" s="17">
        <f t="shared" si="4"/>
        <v>0.699747687132044</v>
      </c>
      <c r="G33" s="17">
        <f t="shared" si="4"/>
        <v>-0.141019297377536</v>
      </c>
      <c r="H33" s="17">
        <f t="shared" si="4"/>
        <v>-0.0437788018433179</v>
      </c>
      <c r="I33" s="17">
        <f t="shared" si="4"/>
        <v>-0.0578313253012048</v>
      </c>
      <c r="J33" s="17">
        <f t="shared" si="4"/>
        <v>0.365089514066496</v>
      </c>
      <c r="K33" s="17">
        <f t="shared" si="4"/>
        <v>1.11288056206089</v>
      </c>
      <c r="L33" s="17">
        <f t="shared" si="4"/>
        <v>0.927510529816005</v>
      </c>
      <c r="M33" s="17">
        <f t="shared" si="4"/>
        <v>-0.210350776308223</v>
      </c>
      <c r="N33" s="17">
        <f t="shared" si="4"/>
        <v>2.08986309350422</v>
      </c>
      <c r="O33" s="17">
        <f t="shared" si="4"/>
        <v>1.44553382041009</v>
      </c>
      <c r="P33" s="17">
        <f t="shared" si="4"/>
        <v>0.00500000000000012</v>
      </c>
      <c r="Q33" s="17">
        <f t="shared" si="4"/>
        <v>0.340000011507169</v>
      </c>
      <c r="R33" s="17">
        <f t="shared" si="4"/>
        <v>0.160000022899838</v>
      </c>
      <c r="S33" s="17">
        <f t="shared" si="4"/>
        <v>-0.180000002467655</v>
      </c>
    </row>
    <row r="35" customHeight="1" spans="1:19">
      <c r="A35" s="58" t="s">
        <v>89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customHeight="1" spans="1:19">
      <c r="A36" s="10" t="s">
        <v>76</v>
      </c>
      <c r="B36" s="10" t="s">
        <v>3</v>
      </c>
      <c r="C36" s="10" t="s">
        <v>4</v>
      </c>
      <c r="D36" s="10" t="s">
        <v>5</v>
      </c>
      <c r="E36" s="10" t="s">
        <v>6</v>
      </c>
      <c r="F36" s="10" t="s">
        <v>7</v>
      </c>
      <c r="G36" s="10" t="s">
        <v>8</v>
      </c>
      <c r="H36" s="10" t="s">
        <v>9</v>
      </c>
      <c r="I36" s="10" t="s">
        <v>10</v>
      </c>
      <c r="J36" s="10" t="s">
        <v>11</v>
      </c>
      <c r="K36" s="10" t="s">
        <v>12</v>
      </c>
      <c r="L36" s="10" t="s">
        <v>13</v>
      </c>
      <c r="M36" s="10" t="s">
        <v>14</v>
      </c>
      <c r="N36" s="10" t="s">
        <v>15</v>
      </c>
      <c r="O36" s="10" t="s">
        <v>16</v>
      </c>
      <c r="P36" s="10" t="s">
        <v>17</v>
      </c>
      <c r="Q36" s="10" t="s">
        <v>18</v>
      </c>
      <c r="R36" s="10" t="s">
        <v>19</v>
      </c>
      <c r="S36" s="10" t="s">
        <v>20</v>
      </c>
    </row>
    <row r="37" customHeight="1" spans="1:19">
      <c r="A37" s="59" t="s">
        <v>22</v>
      </c>
      <c r="B37" s="17">
        <f t="shared" ref="B37:S37" si="5">IFERROR(B5/B21,"")</f>
        <v>0.0546827833369729</v>
      </c>
      <c r="C37" s="17">
        <f t="shared" si="5"/>
        <v>0.0631672290488639</v>
      </c>
      <c r="D37" s="17">
        <f t="shared" si="5"/>
        <v>0.0635178456935243</v>
      </c>
      <c r="E37" s="17">
        <f t="shared" si="5"/>
        <v>0.104688232536334</v>
      </c>
      <c r="F37" s="17">
        <f t="shared" si="5"/>
        <v>0.105621770510816</v>
      </c>
      <c r="G37" s="17">
        <f t="shared" si="5"/>
        <v>0.123233055454875</v>
      </c>
      <c r="H37" s="17">
        <f t="shared" si="5"/>
        <v>0.134294319111909</v>
      </c>
      <c r="I37" s="17">
        <f t="shared" si="5"/>
        <v>0.132853197217075</v>
      </c>
      <c r="J37" s="17">
        <f t="shared" si="5"/>
        <v>0.143972205035458</v>
      </c>
      <c r="K37" s="17">
        <f t="shared" si="5"/>
        <v>0.147273919402835</v>
      </c>
      <c r="L37" s="17">
        <f t="shared" si="5"/>
        <v>0.150532052945757</v>
      </c>
      <c r="M37" s="17">
        <f t="shared" si="5"/>
        <v>0.227233785625117</v>
      </c>
      <c r="N37" s="17">
        <f t="shared" si="5"/>
        <v>0.313072368701282</v>
      </c>
      <c r="O37" s="17">
        <f t="shared" si="5"/>
        <v>0.442785313658101</v>
      </c>
      <c r="P37" s="17">
        <f t="shared" si="5"/>
        <v>0.633585893558085</v>
      </c>
      <c r="Q37" s="17">
        <f t="shared" si="5"/>
        <v>0.618719161846711</v>
      </c>
      <c r="R37" s="17">
        <f t="shared" si="5"/>
        <v>0.542176336643655</v>
      </c>
      <c r="S37" s="17">
        <f t="shared" si="5"/>
        <v>0.466649535637693</v>
      </c>
    </row>
    <row r="38" customHeight="1" spans="1:19">
      <c r="A38" s="59" t="s">
        <v>38</v>
      </c>
      <c r="B38" s="17">
        <f t="shared" ref="B38:S38" si="6">IFERROR(B6/B22,"")</f>
        <v>0.0462439391293836</v>
      </c>
      <c r="C38" s="17">
        <f t="shared" si="6"/>
        <v>0.0549734572146482</v>
      </c>
      <c r="D38" s="17">
        <f t="shared" si="6"/>
        <v>0.0428758599936826</v>
      </c>
      <c r="E38" s="17">
        <f t="shared" si="6"/>
        <v>0.0495341466463706</v>
      </c>
      <c r="F38" s="17">
        <f t="shared" si="6"/>
        <v>0.0565425657517457</v>
      </c>
      <c r="G38" s="17">
        <f t="shared" si="6"/>
        <v>0.0486158523232297</v>
      </c>
      <c r="H38" s="17">
        <f t="shared" si="6"/>
        <v>0.0452370937038806</v>
      </c>
      <c r="I38" s="17">
        <f t="shared" si="6"/>
        <v>0.0907776948899664</v>
      </c>
      <c r="J38" s="17">
        <f t="shared" si="6"/>
        <v>0.117908484489871</v>
      </c>
      <c r="K38" s="17">
        <f t="shared" si="6"/>
        <v>0.113468733401688</v>
      </c>
      <c r="L38" s="17">
        <f t="shared" si="6"/>
        <v>0.0837408770235827</v>
      </c>
      <c r="M38" s="17">
        <f t="shared" si="6"/>
        <v>0.121728825833635</v>
      </c>
      <c r="N38" s="17">
        <f t="shared" si="6"/>
        <v>0.178986894008291</v>
      </c>
      <c r="O38" s="17">
        <f t="shared" si="6"/>
        <v>0.24178963083243</v>
      </c>
      <c r="P38" s="17">
        <f t="shared" si="6"/>
        <v>0.285371750643553</v>
      </c>
      <c r="Q38" s="17">
        <f t="shared" si="6"/>
        <v>0.266752546331369</v>
      </c>
      <c r="R38" s="17">
        <f t="shared" si="6"/>
        <v>0.251734248389078</v>
      </c>
      <c r="S38" s="17">
        <f t="shared" si="6"/>
        <v>0.2395580677502</v>
      </c>
    </row>
    <row r="39" customHeight="1" spans="1:19">
      <c r="A39" s="59" t="s">
        <v>42</v>
      </c>
      <c r="B39" s="17">
        <f t="shared" ref="B39:S39" si="7">IFERROR(B7/B23,"")</f>
        <v>0.132531205533241</v>
      </c>
      <c r="C39" s="17">
        <f t="shared" si="7"/>
        <v>0.166042938743352</v>
      </c>
      <c r="D39" s="17">
        <f t="shared" si="7"/>
        <v>0.132219392177519</v>
      </c>
      <c r="E39" s="17">
        <f t="shared" si="7"/>
        <v>0.112803527118043</v>
      </c>
      <c r="F39" s="17">
        <f t="shared" si="7"/>
        <v>0.118930133958775</v>
      </c>
      <c r="G39" s="17">
        <f t="shared" si="7"/>
        <v>0.183739100563518</v>
      </c>
      <c r="H39" s="17">
        <f t="shared" si="7"/>
        <v>0.145486447913899</v>
      </c>
      <c r="I39" s="17">
        <f t="shared" si="7"/>
        <v>0.122069611619103</v>
      </c>
      <c r="J39" s="17">
        <f t="shared" si="7"/>
        <v>0.0956384370257378</v>
      </c>
      <c r="K39" s="17">
        <f t="shared" si="7"/>
        <v>0.111318926869281</v>
      </c>
      <c r="L39" s="17">
        <f t="shared" si="7"/>
        <v>0.104917467484726</v>
      </c>
      <c r="M39" s="17">
        <f t="shared" si="7"/>
        <v>0.150092280968407</v>
      </c>
      <c r="N39" s="17">
        <f t="shared" si="7"/>
        <v>0.227008013186508</v>
      </c>
      <c r="O39" s="17">
        <f t="shared" si="7"/>
        <v>0.37936186431271</v>
      </c>
      <c r="P39" s="17">
        <f t="shared" si="7"/>
        <v>0.438101591905905</v>
      </c>
      <c r="Q39" s="17">
        <f t="shared" si="7"/>
        <v>0.406693608510996</v>
      </c>
      <c r="R39" s="17">
        <f t="shared" si="7"/>
        <v>0.36738908872284</v>
      </c>
      <c r="S39" s="17">
        <f t="shared" si="7"/>
        <v>0.341152582570988</v>
      </c>
    </row>
    <row r="40" customHeight="1" spans="1:19">
      <c r="A40" s="59" t="s">
        <v>48</v>
      </c>
      <c r="B40" s="17">
        <f t="shared" ref="B40:S40" si="8">IFERROR(B8/B24,"")</f>
        <v>0.173018292682927</v>
      </c>
      <c r="C40" s="17">
        <f t="shared" si="8"/>
        <v>0.146879512273384</v>
      </c>
      <c r="D40" s="17">
        <f t="shared" si="8"/>
        <v>0.140737435153679</v>
      </c>
      <c r="E40" s="17">
        <f t="shared" si="8"/>
        <v>0.162493668138071</v>
      </c>
      <c r="F40" s="17">
        <f t="shared" si="8"/>
        <v>0.165596634934691</v>
      </c>
      <c r="G40" s="17">
        <f t="shared" si="8"/>
        <v>0.25036713349332</v>
      </c>
      <c r="H40" s="17">
        <f t="shared" si="8"/>
        <v>0.213617364367402</v>
      </c>
      <c r="I40" s="17">
        <f t="shared" si="8"/>
        <v>0.17582532629179</v>
      </c>
      <c r="J40" s="17">
        <f t="shared" si="8"/>
        <v>0.157442189792163</v>
      </c>
      <c r="K40" s="17">
        <f t="shared" si="8"/>
        <v>0.267440763577425</v>
      </c>
      <c r="L40" s="17">
        <f t="shared" si="8"/>
        <v>0.200480352258323</v>
      </c>
      <c r="M40" s="17">
        <f t="shared" si="8"/>
        <v>0.226480243161094</v>
      </c>
      <c r="N40" s="17">
        <f t="shared" si="8"/>
        <v>0.346781777921529</v>
      </c>
      <c r="O40" s="17">
        <f t="shared" si="8"/>
        <v>0.531335014999085</v>
      </c>
      <c r="P40" s="17">
        <f t="shared" si="8"/>
        <v>0.540824903792468</v>
      </c>
      <c r="Q40" s="17">
        <f t="shared" si="8"/>
        <v>0.519399482957318</v>
      </c>
      <c r="R40" s="17">
        <f t="shared" si="8"/>
        <v>0.482963614978958</v>
      </c>
      <c r="S40" s="17">
        <f t="shared" si="8"/>
        <v>0.457132170555652</v>
      </c>
    </row>
    <row r="41" customHeight="1" spans="1:19">
      <c r="A41" s="59" t="s">
        <v>55</v>
      </c>
      <c r="B41" s="17">
        <f t="shared" ref="B41:S41" si="9">IFERROR(B9/B25,"")</f>
        <v>0.0174482592006013</v>
      </c>
      <c r="C41" s="17">
        <f t="shared" si="9"/>
        <v>0.0151416264195275</v>
      </c>
      <c r="D41" s="17">
        <f t="shared" si="9"/>
        <v>0.0363631610592633</v>
      </c>
      <c r="E41" s="17">
        <f t="shared" si="9"/>
        <v>0.0320857058045713</v>
      </c>
      <c r="F41" s="17">
        <f t="shared" si="9"/>
        <v>0.0533259452756009</v>
      </c>
      <c r="G41" s="17">
        <f t="shared" si="9"/>
        <v>0.0440262737440085</v>
      </c>
      <c r="H41" s="17">
        <f t="shared" si="9"/>
        <v>0.0419987349778621</v>
      </c>
      <c r="I41" s="17">
        <f t="shared" si="9"/>
        <v>0.0400276405702147</v>
      </c>
      <c r="J41" s="17">
        <f t="shared" si="9"/>
        <v>0.0527407919764828</v>
      </c>
      <c r="K41" s="17">
        <f t="shared" si="9"/>
        <v>0.106288730237271</v>
      </c>
      <c r="L41" s="17">
        <f t="shared" si="9"/>
        <v>0.174056650985887</v>
      </c>
      <c r="M41" s="17">
        <f t="shared" si="9"/>
        <v>0.12964256717207</v>
      </c>
      <c r="N41" s="17">
        <f t="shared" si="9"/>
        <v>0.369605742260318</v>
      </c>
      <c r="O41" s="17">
        <f t="shared" si="9"/>
        <v>0.77105819496409</v>
      </c>
      <c r="P41" s="17">
        <f t="shared" si="9"/>
        <v>0.587296954946508</v>
      </c>
      <c r="Q41" s="17">
        <f t="shared" si="9"/>
        <v>0.556972873780193</v>
      </c>
      <c r="R41" s="17">
        <f t="shared" si="9"/>
        <v>0.490629927570763</v>
      </c>
      <c r="S41" s="17">
        <f t="shared" si="9"/>
        <v>0.358167828118745</v>
      </c>
    </row>
    <row r="43" customHeight="1" spans="1:19">
      <c r="A43" s="58" t="s">
        <v>90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customHeight="1" spans="1:19">
      <c r="A44" s="10" t="s">
        <v>76</v>
      </c>
      <c r="B44" s="10" t="s">
        <v>3</v>
      </c>
      <c r="C44" s="10" t="s">
        <v>4</v>
      </c>
      <c r="D44" s="10" t="s">
        <v>5</v>
      </c>
      <c r="E44" s="10" t="s">
        <v>6</v>
      </c>
      <c r="F44" s="10" t="s">
        <v>7</v>
      </c>
      <c r="G44" s="10" t="s">
        <v>8</v>
      </c>
      <c r="H44" s="10" t="s">
        <v>9</v>
      </c>
      <c r="I44" s="10" t="s">
        <v>10</v>
      </c>
      <c r="J44" s="10" t="s">
        <v>11</v>
      </c>
      <c r="K44" s="10" t="s">
        <v>12</v>
      </c>
      <c r="L44" s="10" t="s">
        <v>13</v>
      </c>
      <c r="M44" s="10" t="s">
        <v>14</v>
      </c>
      <c r="N44" s="10" t="s">
        <v>15</v>
      </c>
      <c r="O44" s="10" t="s">
        <v>16</v>
      </c>
      <c r="P44" s="10" t="s">
        <v>17</v>
      </c>
      <c r="Q44" s="10" t="s">
        <v>18</v>
      </c>
      <c r="R44" s="10" t="s">
        <v>19</v>
      </c>
      <c r="S44" s="10" t="s">
        <v>20</v>
      </c>
    </row>
    <row r="45" customHeight="1" spans="1:19">
      <c r="A45" s="59" t="s">
        <v>22</v>
      </c>
      <c r="B45" s="17">
        <f t="shared" ref="B45:S45" si="10">IFERROR(B13/B21,"")</f>
        <v>0.0428907243509872</v>
      </c>
      <c r="C45" s="17">
        <f t="shared" si="10"/>
        <v>0.0488869439038154</v>
      </c>
      <c r="D45" s="17">
        <f t="shared" si="10"/>
        <v>0.0577046377431075</v>
      </c>
      <c r="E45" s="17">
        <f t="shared" si="10"/>
        <v>0.0688935771214252</v>
      </c>
      <c r="F45" s="17">
        <f t="shared" si="10"/>
        <v>0.0807695892141533</v>
      </c>
      <c r="G45" s="17">
        <f t="shared" si="10"/>
        <v>0.0897064153678869</v>
      </c>
      <c r="H45" s="17">
        <f t="shared" si="10"/>
        <v>0.0921783492129081</v>
      </c>
      <c r="I45" s="17">
        <f t="shared" si="10"/>
        <v>0.0860049645142118</v>
      </c>
      <c r="J45" s="17">
        <f t="shared" si="10"/>
        <v>0.0648469849126648</v>
      </c>
      <c r="K45" s="17">
        <f t="shared" si="10"/>
        <v>0.0736369597014173</v>
      </c>
      <c r="L45" s="17">
        <f t="shared" si="10"/>
        <v>0.0637047872967935</v>
      </c>
      <c r="M45" s="17">
        <f t="shared" si="10"/>
        <v>0.0815920235637764</v>
      </c>
      <c r="N45" s="17">
        <f t="shared" si="10"/>
        <v>0.0993880535559626</v>
      </c>
      <c r="O45" s="17">
        <f t="shared" si="10"/>
        <v>0.120322156151902</v>
      </c>
      <c r="P45" s="17">
        <f t="shared" si="10"/>
        <v>0.161305506475254</v>
      </c>
      <c r="Q45" s="17">
        <f t="shared" si="10"/>
        <v>0.204963806289356</v>
      </c>
      <c r="R45" s="17">
        <f t="shared" si="10"/>
        <v>0.23749503625081</v>
      </c>
      <c r="S45" s="17">
        <f t="shared" si="10"/>
        <v>0.256198827702056</v>
      </c>
    </row>
    <row r="46" customHeight="1" spans="1:19">
      <c r="A46" s="59" t="s">
        <v>38</v>
      </c>
      <c r="B46" s="17">
        <f t="shared" ref="B46:S46" si="11">IFERROR(B14/B22,"")</f>
        <v>0.0436919936067049</v>
      </c>
      <c r="C46" s="17">
        <f t="shared" si="11"/>
        <v>0.0533215565174787</v>
      </c>
      <c r="D46" s="17">
        <f t="shared" si="11"/>
        <v>0.0586973139974544</v>
      </c>
      <c r="E46" s="17">
        <f t="shared" si="11"/>
        <v>0.0596895291461684</v>
      </c>
      <c r="F46" s="17">
        <f t="shared" si="11"/>
        <v>0.0645317261309075</v>
      </c>
      <c r="G46" s="17">
        <f t="shared" si="11"/>
        <v>0.0658731487803098</v>
      </c>
      <c r="H46" s="17">
        <f t="shared" si="11"/>
        <v>0.0776730523809184</v>
      </c>
      <c r="I46" s="17">
        <f t="shared" si="11"/>
        <v>0.0654062538853662</v>
      </c>
      <c r="J46" s="17">
        <f t="shared" si="11"/>
        <v>0.0729978587635317</v>
      </c>
      <c r="K46" s="17">
        <f t="shared" si="11"/>
        <v>0.080666092069193</v>
      </c>
      <c r="L46" s="17">
        <f t="shared" si="11"/>
        <v>0.0846629609332185</v>
      </c>
      <c r="M46" s="17">
        <f t="shared" si="11"/>
        <v>0.0827561018811554</v>
      </c>
      <c r="N46" s="17">
        <f t="shared" si="11"/>
        <v>0.0917196243953334</v>
      </c>
      <c r="O46" s="17">
        <f t="shared" si="11"/>
        <v>0.0980858724771357</v>
      </c>
      <c r="P46" s="17">
        <f t="shared" si="11"/>
        <v>0.0958313626162915</v>
      </c>
      <c r="Q46" s="17">
        <f t="shared" si="11"/>
        <v>0.113353361221732</v>
      </c>
      <c r="R46" s="17">
        <f t="shared" si="11"/>
        <v>0.127377899470562</v>
      </c>
      <c r="S46" s="17">
        <f t="shared" si="11"/>
        <v>0.13440275735048</v>
      </c>
    </row>
    <row r="47" customHeight="1" spans="1:19">
      <c r="A47" s="59" t="s">
        <v>42</v>
      </c>
      <c r="B47" s="17">
        <f t="shared" ref="B47:S47" si="12">IFERROR(B15/B23,"")</f>
        <v>0.0500909598515823</v>
      </c>
      <c r="C47" s="17">
        <f t="shared" si="12"/>
        <v>0.0533779791215285</v>
      </c>
      <c r="D47" s="17">
        <f t="shared" si="12"/>
        <v>0.0551014148741815</v>
      </c>
      <c r="E47" s="17">
        <f t="shared" si="12"/>
        <v>0.0583458879829848</v>
      </c>
      <c r="F47" s="17">
        <f t="shared" si="12"/>
        <v>0.055053899237743</v>
      </c>
      <c r="G47" s="17">
        <f t="shared" si="12"/>
        <v>0.059670075062674</v>
      </c>
      <c r="H47" s="17">
        <f t="shared" si="12"/>
        <v>0.0670715508133723</v>
      </c>
      <c r="I47" s="17">
        <f t="shared" si="12"/>
        <v>0.0707018687646211</v>
      </c>
      <c r="J47" s="17">
        <f t="shared" si="12"/>
        <v>0.0448499245061851</v>
      </c>
      <c r="K47" s="17">
        <f t="shared" si="12"/>
        <v>0.0540489895204288</v>
      </c>
      <c r="L47" s="17">
        <f t="shared" si="12"/>
        <v>0.0433515293076638</v>
      </c>
      <c r="M47" s="17">
        <f t="shared" si="12"/>
        <v>0.0437434646218194</v>
      </c>
      <c r="N47" s="17">
        <f t="shared" si="12"/>
        <v>0.0524680018667646</v>
      </c>
      <c r="O47" s="17">
        <f t="shared" si="12"/>
        <v>0.0878078621508295</v>
      </c>
      <c r="P47" s="17">
        <f t="shared" si="12"/>
        <v>0.117551138236728</v>
      </c>
      <c r="Q47" s="17">
        <f t="shared" si="12"/>
        <v>0.140202635391807</v>
      </c>
      <c r="R47" s="17">
        <f t="shared" si="12"/>
        <v>0.156603153029435</v>
      </c>
      <c r="S47" s="17">
        <f t="shared" si="12"/>
        <v>0.169388668170233</v>
      </c>
    </row>
    <row r="48" customHeight="1" spans="1:19">
      <c r="A48" s="59" t="s">
        <v>48</v>
      </c>
      <c r="B48" s="17">
        <f t="shared" ref="B48:S48" si="13">IFERROR(B16/B24,"")</f>
        <v>0.12842987804878</v>
      </c>
      <c r="C48" s="17">
        <f t="shared" si="13"/>
        <v>0.0997112145034494</v>
      </c>
      <c r="D48" s="17">
        <f t="shared" si="13"/>
        <v>0.108495565348357</v>
      </c>
      <c r="E48" s="17">
        <f t="shared" si="13"/>
        <v>0.0847384036471525</v>
      </c>
      <c r="F48" s="17">
        <f t="shared" si="13"/>
        <v>0.0744102526258825</v>
      </c>
      <c r="G48" s="17">
        <f t="shared" si="13"/>
        <v>0.0772771231061284</v>
      </c>
      <c r="H48" s="17">
        <f t="shared" si="13"/>
        <v>0.0812062831964807</v>
      </c>
      <c r="I48" s="17">
        <f t="shared" si="13"/>
        <v>0.0798222553102389</v>
      </c>
      <c r="J48" s="17">
        <f t="shared" si="13"/>
        <v>0.0675491185374251</v>
      </c>
      <c r="K48" s="17">
        <f t="shared" si="13"/>
        <v>0.0744882470478265</v>
      </c>
      <c r="L48" s="17">
        <f t="shared" si="13"/>
        <v>0.0828533517171852</v>
      </c>
      <c r="M48" s="17">
        <f t="shared" si="13"/>
        <v>0.0942127659574468</v>
      </c>
      <c r="N48" s="17">
        <f t="shared" si="13"/>
        <v>0.0926330455551962</v>
      </c>
      <c r="O48" s="17">
        <f t="shared" si="13"/>
        <v>0.140906872115809</v>
      </c>
      <c r="P48" s="17">
        <f t="shared" si="13"/>
        <v>0.184728970793823</v>
      </c>
      <c r="Q48" s="17">
        <f t="shared" si="13"/>
        <v>0.22007811861814</v>
      </c>
      <c r="R48" s="17">
        <f t="shared" si="13"/>
        <v>0.245661608068325</v>
      </c>
      <c r="S48" s="17">
        <f t="shared" si="13"/>
        <v>0.265100899909223</v>
      </c>
    </row>
    <row r="49" customHeight="1" spans="1:19">
      <c r="A49" s="59" t="s">
        <v>55</v>
      </c>
      <c r="B49" s="17">
        <f t="shared" ref="B49:S49" si="14">IFERROR(B17/B25,"")</f>
        <v>0.0146565377285051</v>
      </c>
      <c r="C49" s="17">
        <f t="shared" si="14"/>
        <v>0.0158726014880564</v>
      </c>
      <c r="D49" s="17">
        <f t="shared" si="14"/>
        <v>0.0186129192481635</v>
      </c>
      <c r="E49" s="17">
        <f t="shared" si="14"/>
        <v>0.0235043311655018</v>
      </c>
      <c r="F49" s="17">
        <f t="shared" si="14"/>
        <v>0.0263859204728357</v>
      </c>
      <c r="G49" s="17">
        <f t="shared" si="14"/>
        <v>0.0295452816312039</v>
      </c>
      <c r="H49" s="17">
        <f t="shared" si="14"/>
        <v>0.0311195445920304</v>
      </c>
      <c r="I49" s="17">
        <f t="shared" si="14"/>
        <v>0.035369692626622</v>
      </c>
      <c r="J49" s="17">
        <f t="shared" si="14"/>
        <v>0.0379684296336553</v>
      </c>
      <c r="K49" s="17">
        <f t="shared" si="14"/>
        <v>0.0464645036639099</v>
      </c>
      <c r="L49" s="17">
        <f t="shared" si="14"/>
        <v>0.0505655089580623</v>
      </c>
      <c r="M49" s="17">
        <f t="shared" si="14"/>
        <v>0.0590812107022148</v>
      </c>
      <c r="N49" s="17">
        <f t="shared" si="14"/>
        <v>0.0673705116813882</v>
      </c>
      <c r="O49" s="17">
        <f t="shared" si="14"/>
        <v>0.111485990926891</v>
      </c>
      <c r="P49" s="17">
        <f t="shared" si="14"/>
        <v>0.189999957198541</v>
      </c>
      <c r="Q49" s="17">
        <f t="shared" si="14"/>
        <v>0.219999992028382</v>
      </c>
      <c r="R49" s="17">
        <f t="shared" si="14"/>
        <v>0.239999997578589</v>
      </c>
      <c r="S49" s="17">
        <f t="shared" si="14"/>
        <v>0.259999995688612</v>
      </c>
    </row>
    <row r="51" customHeight="1" spans="1:19">
      <c r="A51" s="58" t="s">
        <v>91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customHeight="1" spans="1:19">
      <c r="A52" s="10" t="s">
        <v>76</v>
      </c>
      <c r="B52" s="10" t="s">
        <v>3</v>
      </c>
      <c r="C52" s="10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0" t="s">
        <v>9</v>
      </c>
      <c r="I52" s="10" t="s">
        <v>10</v>
      </c>
      <c r="J52" s="10" t="s">
        <v>11</v>
      </c>
      <c r="K52" s="10" t="s">
        <v>12</v>
      </c>
      <c r="L52" s="10" t="s">
        <v>13</v>
      </c>
      <c r="M52" s="10" t="s">
        <v>14</v>
      </c>
      <c r="N52" s="10" t="s">
        <v>15</v>
      </c>
      <c r="O52" s="10" t="s">
        <v>16</v>
      </c>
      <c r="P52" s="10" t="s">
        <v>17</v>
      </c>
      <c r="Q52" s="10" t="s">
        <v>18</v>
      </c>
      <c r="R52" s="10" t="s">
        <v>19</v>
      </c>
      <c r="S52" s="10" t="s">
        <v>20</v>
      </c>
    </row>
    <row r="53" customHeight="1" spans="1:19">
      <c r="A53" s="59" t="s">
        <v>22</v>
      </c>
      <c r="B53" s="61"/>
      <c r="C53" s="17">
        <f t="shared" ref="C53:S53" si="15">IFERROR(C13/B13-1,"")</f>
        <v>0.271338724168913</v>
      </c>
      <c r="D53" s="17">
        <f t="shared" si="15"/>
        <v>0.27208480565371</v>
      </c>
      <c r="E53" s="17">
        <f t="shared" si="15"/>
        <v>0.0885185185185184</v>
      </c>
      <c r="F53" s="17">
        <f t="shared" si="15"/>
        <v>0.326981966655325</v>
      </c>
      <c r="G53" s="17">
        <f t="shared" si="15"/>
        <v>0.269230769230769</v>
      </c>
      <c r="H53" s="17">
        <f t="shared" si="15"/>
        <v>0.171717171717172</v>
      </c>
      <c r="I53" s="17">
        <f t="shared" si="15"/>
        <v>0.0603448275862069</v>
      </c>
      <c r="J53" s="17">
        <f t="shared" si="15"/>
        <v>-0.113821138211382</v>
      </c>
      <c r="K53" s="17">
        <f t="shared" si="15"/>
        <v>0.339449541284404</v>
      </c>
      <c r="L53" s="17">
        <f t="shared" si="15"/>
        <v>-0.0753424657534246</v>
      </c>
      <c r="M53" s="17">
        <f t="shared" si="15"/>
        <v>0.481481481481481</v>
      </c>
      <c r="N53" s="17">
        <f t="shared" si="15"/>
        <v>0.4</v>
      </c>
      <c r="O53" s="17">
        <f t="shared" si="15"/>
        <v>0.415677142857143</v>
      </c>
      <c r="P53" s="17">
        <f t="shared" si="15"/>
        <v>0.575267363220427</v>
      </c>
      <c r="Q53" s="17">
        <f t="shared" si="15"/>
        <v>0.521339656858945</v>
      </c>
      <c r="R53" s="17">
        <f t="shared" si="15"/>
        <v>0.384323961689526</v>
      </c>
      <c r="S53" s="17">
        <f t="shared" si="15"/>
        <v>0.271740842230054</v>
      </c>
    </row>
    <row r="54" customHeight="1" spans="1:19">
      <c r="A54" s="59" t="s">
        <v>38</v>
      </c>
      <c r="B54" s="61"/>
      <c r="C54" s="17">
        <f t="shared" ref="C54:S54" si="16">IFERROR(C14/B14-1,"")</f>
        <v>0.458653550568706</v>
      </c>
      <c r="D54" s="17">
        <f t="shared" si="16"/>
        <v>0.323709167544784</v>
      </c>
      <c r="E54" s="17">
        <f t="shared" si="16"/>
        <v>0.292310141697182</v>
      </c>
      <c r="F54" s="17">
        <f t="shared" si="16"/>
        <v>0.414069237402981</v>
      </c>
      <c r="G54" s="17">
        <f t="shared" si="16"/>
        <v>0.336556891444503</v>
      </c>
      <c r="H54" s="17">
        <f t="shared" si="16"/>
        <v>0.420311583338765</v>
      </c>
      <c r="I54" s="17">
        <f t="shared" si="16"/>
        <v>0.158887512047363</v>
      </c>
      <c r="J54" s="17">
        <f t="shared" si="16"/>
        <v>0.358203635499584</v>
      </c>
      <c r="K54" s="17">
        <f t="shared" si="16"/>
        <v>0.208916491719151</v>
      </c>
      <c r="L54" s="17">
        <f t="shared" si="16"/>
        <v>0.173705409903283</v>
      </c>
      <c r="M54" s="17">
        <f t="shared" si="16"/>
        <v>0.0849105069560034</v>
      </c>
      <c r="N54" s="17">
        <f t="shared" si="16"/>
        <v>0.245496732645137</v>
      </c>
      <c r="O54" s="17">
        <f t="shared" si="16"/>
        <v>0.234500577894033</v>
      </c>
      <c r="P54" s="17">
        <f t="shared" si="16"/>
        <v>0.117536355037744</v>
      </c>
      <c r="Q54" s="17">
        <f t="shared" si="16"/>
        <v>0.328674041328339</v>
      </c>
      <c r="R54" s="17">
        <f t="shared" si="16"/>
        <v>0.25030292476191</v>
      </c>
      <c r="S54" s="17">
        <f t="shared" si="16"/>
        <v>0.164219569544213</v>
      </c>
    </row>
    <row r="55" customHeight="1" spans="1:19">
      <c r="A55" s="59" t="s">
        <v>42</v>
      </c>
      <c r="B55" s="61"/>
      <c r="C55" s="17">
        <f t="shared" ref="C55:S55" si="17">IFERROR(C15/B15-1,"")</f>
        <v>0.266810499820209</v>
      </c>
      <c r="D55" s="17">
        <f t="shared" si="17"/>
        <v>0.172864036332671</v>
      </c>
      <c r="E55" s="17">
        <f t="shared" si="17"/>
        <v>0.274685382381413</v>
      </c>
      <c r="F55" s="17">
        <f t="shared" si="17"/>
        <v>0.15872413138409</v>
      </c>
      <c r="G55" s="17">
        <f t="shared" si="17"/>
        <v>0.337702769129936</v>
      </c>
      <c r="H55" s="17">
        <f t="shared" si="17"/>
        <v>0.329740323370897</v>
      </c>
      <c r="I55" s="17">
        <f t="shared" si="17"/>
        <v>0.188743551952837</v>
      </c>
      <c r="J55" s="17">
        <f t="shared" si="17"/>
        <v>-0.104610616040294</v>
      </c>
      <c r="K55" s="17">
        <f t="shared" si="17"/>
        <v>0.322977066205106</v>
      </c>
      <c r="L55" s="17">
        <f t="shared" si="17"/>
        <v>-0.128278929809642</v>
      </c>
      <c r="M55" s="17">
        <f t="shared" si="17"/>
        <v>0.14895692630947</v>
      </c>
      <c r="N55" s="17">
        <f t="shared" si="17"/>
        <v>0.380445431389197</v>
      </c>
      <c r="O55" s="17">
        <f t="shared" si="17"/>
        <v>1.02851532929599</v>
      </c>
      <c r="P55" s="17">
        <f t="shared" si="17"/>
        <v>0.622931938882371</v>
      </c>
      <c r="Q55" s="17">
        <f t="shared" si="17"/>
        <v>0.413284217690829</v>
      </c>
      <c r="R55" s="17">
        <f t="shared" si="17"/>
        <v>0.298298985887353</v>
      </c>
      <c r="S55" s="17">
        <f t="shared" si="17"/>
        <v>0.223068381553058</v>
      </c>
    </row>
    <row r="56" customHeight="1" spans="1:19">
      <c r="A56" s="59" t="s">
        <v>48</v>
      </c>
      <c r="B56" s="61"/>
      <c r="C56" s="17">
        <f t="shared" ref="C56:S56" si="18">IFERROR(C16/B16-1,"")</f>
        <v>0.229475766567755</v>
      </c>
      <c r="D56" s="17">
        <f t="shared" si="18"/>
        <v>0.564762670957361</v>
      </c>
      <c r="E56" s="17">
        <f t="shared" si="18"/>
        <v>0.204113110539846</v>
      </c>
      <c r="F56" s="17">
        <f t="shared" si="18"/>
        <v>0.291631084543126</v>
      </c>
      <c r="G56" s="17">
        <f t="shared" si="18"/>
        <v>0.426446280991736</v>
      </c>
      <c r="H56" s="17">
        <f t="shared" si="18"/>
        <v>0.330475086906141</v>
      </c>
      <c r="I56" s="17">
        <f t="shared" si="18"/>
        <v>0.195262149451315</v>
      </c>
      <c r="J56" s="17">
        <f t="shared" si="18"/>
        <v>0.160886039055669</v>
      </c>
      <c r="K56" s="17">
        <f t="shared" si="18"/>
        <v>0.0903841325633945</v>
      </c>
      <c r="L56" s="17">
        <f t="shared" si="18"/>
        <v>0.28678332949574</v>
      </c>
      <c r="M56" s="17">
        <f t="shared" si="18"/>
        <v>0.386597476961618</v>
      </c>
      <c r="N56" s="17">
        <f t="shared" si="18"/>
        <v>0.201187249967738</v>
      </c>
      <c r="O56" s="17">
        <f t="shared" si="18"/>
        <v>0.931456274172755</v>
      </c>
      <c r="P56" s="17">
        <f t="shared" si="18"/>
        <v>0.574227270616106</v>
      </c>
      <c r="Q56" s="17">
        <f t="shared" si="18"/>
        <v>0.389360792468231</v>
      </c>
      <c r="R56" s="17">
        <f t="shared" si="18"/>
        <v>0.272487104512419</v>
      </c>
      <c r="S56" s="17">
        <f t="shared" si="18"/>
        <v>0.208515995784582</v>
      </c>
    </row>
    <row r="57" customHeight="1" spans="1:19">
      <c r="A57" s="59" t="s">
        <v>55</v>
      </c>
      <c r="B57" s="61"/>
      <c r="C57" s="17">
        <f t="shared" ref="C57:S57" si="19">IFERROR(C17/B17-1,"")</f>
        <v>0.113553113553114</v>
      </c>
      <c r="D57" s="17">
        <f t="shared" si="19"/>
        <v>0.171052631578947</v>
      </c>
      <c r="E57" s="17">
        <f t="shared" si="19"/>
        <v>0.223314606741573</v>
      </c>
      <c r="F57" s="17">
        <f t="shared" si="19"/>
        <v>0.148105625717566</v>
      </c>
      <c r="G57" s="17">
        <f t="shared" si="19"/>
        <v>0.165</v>
      </c>
      <c r="H57" s="17">
        <f t="shared" si="19"/>
        <v>0.055793991416309</v>
      </c>
      <c r="I57" s="17">
        <f t="shared" si="19"/>
        <v>0.123577235772358</v>
      </c>
      <c r="J57" s="17">
        <f t="shared" si="19"/>
        <v>0.112156295224313</v>
      </c>
      <c r="K57" s="17">
        <f t="shared" si="19"/>
        <v>0.283018867924528</v>
      </c>
      <c r="L57" s="17">
        <f t="shared" si="19"/>
        <v>0.280933062880325</v>
      </c>
      <c r="M57" s="17">
        <f t="shared" si="19"/>
        <v>0.238717339667458</v>
      </c>
      <c r="N57" s="17">
        <f t="shared" si="19"/>
        <v>0.235858101629914</v>
      </c>
      <c r="O57" s="17">
        <f t="shared" si="19"/>
        <v>0.93988363072149</v>
      </c>
      <c r="P57" s="17">
        <f t="shared" si="19"/>
        <v>1.24868526820529</v>
      </c>
      <c r="Q57" s="17">
        <f t="shared" si="19"/>
        <v>0.636054131408808</v>
      </c>
      <c r="R57" s="17">
        <f t="shared" si="19"/>
        <v>0.436569290935437</v>
      </c>
      <c r="S57" s="17">
        <f t="shared" si="19"/>
        <v>0.216867849744403</v>
      </c>
    </row>
  </sheetData>
  <mergeCells count="8">
    <mergeCell ref="A1:S1"/>
    <mergeCell ref="A3:S3"/>
    <mergeCell ref="A11:S11"/>
    <mergeCell ref="A19:S19"/>
    <mergeCell ref="A27:S27"/>
    <mergeCell ref="A35:S35"/>
    <mergeCell ref="A43:S43"/>
    <mergeCell ref="A51:S51"/>
  </mergeCells>
  <conditionalFormatting sqref="B37:S41">
    <cfRule type="colorScale" priority="2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conditionalFormatting sqref="B45:S49">
    <cfRule type="colorScale" priority="3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showGridLines="0" workbookViewId="0">
      <selection activeCell="A1" sqref="A1:S1"/>
    </sheetView>
  </sheetViews>
  <sheetFormatPr defaultColWidth="8.67619047619048" defaultRowHeight="15"/>
  <cols>
    <col min="1" max="1" width="28" style="1" customWidth="1"/>
    <col min="2" max="20" width="10" style="1" customWidth="1"/>
  </cols>
  <sheetData>
    <row r="1" ht="25.5" customHeight="1" spans="1:19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customHeight="1" spans="1:19">
      <c r="A3" s="58" t="s">
        <v>93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customHeight="1" spans="1:19">
      <c r="A4" s="10" t="s">
        <v>76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</row>
    <row r="5" customHeight="1" spans="1:19">
      <c r="A5" s="59" t="s">
        <v>22</v>
      </c>
      <c r="B5" s="60">
        <f>'0. Database'!C13</f>
        <v>28833</v>
      </c>
      <c r="C5" s="60">
        <f>'0. Database'!D13</f>
        <v>32231</v>
      </c>
      <c r="D5" s="60">
        <f>'0. Database'!E13</f>
        <v>29080</v>
      </c>
      <c r="E5" s="60">
        <f>'0. Database'!F13</f>
        <v>33325</v>
      </c>
      <c r="F5" s="60">
        <f>'0. Database'!G13</f>
        <v>39507</v>
      </c>
      <c r="G5" s="60">
        <f>'0. Database'!H13</f>
        <v>43884</v>
      </c>
      <c r="H5" s="60">
        <f>'0. Database'!I13</f>
        <v>52185</v>
      </c>
      <c r="I5" s="60">
        <f>'0. Database'!J13</f>
        <v>60675</v>
      </c>
      <c r="J5" s="60">
        <f>'0. Database'!K13</f>
        <v>76740</v>
      </c>
      <c r="K5" s="60">
        <f>'0. Database'!L13</f>
        <v>89035</v>
      </c>
      <c r="L5" s="60">
        <f>'0. Database'!M13</f>
        <v>87582</v>
      </c>
      <c r="M5" s="60">
        <f>'0. Database'!N13</f>
        <v>118548</v>
      </c>
      <c r="N5" s="60">
        <f>'0. Database'!O13</f>
        <v>136162</v>
      </c>
      <c r="O5" s="60">
        <f>'0. Database'!P13</f>
        <v>174558.18</v>
      </c>
      <c r="P5" s="60">
        <f>'0. Database'!Q13</f>
        <v>232097.78</v>
      </c>
      <c r="Q5" s="60">
        <f>'0. Database'!R13</f>
        <v>294570.35</v>
      </c>
      <c r="R5" s="60">
        <f>'0. Database'!S13</f>
        <v>359672.36</v>
      </c>
      <c r="S5" s="60">
        <f>'0. Database'!T13</f>
        <v>438548.9</v>
      </c>
    </row>
    <row r="6" customHeight="1" spans="1:19">
      <c r="A6" s="59" t="s">
        <v>38</v>
      </c>
      <c r="B6" s="60">
        <f>'0. Database'!C29</f>
        <v>5474</v>
      </c>
      <c r="C6" s="60">
        <f>'0. Database'!D29</f>
        <v>6841.4</v>
      </c>
      <c r="D6" s="60">
        <f>'0. Database'!E29</f>
        <v>11920.1</v>
      </c>
      <c r="E6" s="60">
        <f>'0. Database'!F29</f>
        <v>17271</v>
      </c>
      <c r="F6" s="60">
        <f>'0. Database'!G29</f>
        <v>18434</v>
      </c>
      <c r="G6" s="60">
        <f>'0. Database'!H29</f>
        <v>30724</v>
      </c>
      <c r="H6" s="60">
        <f>'0. Database'!I29</f>
        <v>38515</v>
      </c>
      <c r="I6" s="60">
        <f>'0. Database'!J29</f>
        <v>66064</v>
      </c>
      <c r="J6" s="60">
        <f>'0. Database'!K29</f>
        <v>46327</v>
      </c>
      <c r="K6" s="60">
        <f>'0. Database'!L29</f>
        <v>46752</v>
      </c>
      <c r="L6" s="60">
        <f>'0. Database'!M29</f>
        <v>84946</v>
      </c>
      <c r="M6" s="60">
        <f>'0. Database'!N29</f>
        <v>115877</v>
      </c>
      <c r="N6" s="60">
        <f>'0. Database'!O29</f>
        <v>139514</v>
      </c>
      <c r="O6" s="60">
        <f>'0. Database'!P29</f>
        <v>181004.31</v>
      </c>
      <c r="P6" s="60">
        <f>'0. Database'!Q29</f>
        <v>224443.7</v>
      </c>
      <c r="Q6" s="60">
        <f>'0. Database'!R29</f>
        <v>281471.71</v>
      </c>
      <c r="R6" s="60">
        <f>'0. Database'!S29</f>
        <v>342814.42</v>
      </c>
      <c r="S6" s="60">
        <f>'0. Database'!T29</f>
        <v>401080.41</v>
      </c>
    </row>
    <row r="7" customHeight="1" spans="1:19">
      <c r="A7" s="59" t="s">
        <v>42</v>
      </c>
      <c r="B7" s="60">
        <f>'0. Database'!C44</f>
        <v>18584</v>
      </c>
      <c r="C7" s="60">
        <f>'0. Database'!D44</f>
        <v>22272</v>
      </c>
      <c r="D7" s="60">
        <f>'0. Database'!E44</f>
        <v>25829</v>
      </c>
      <c r="E7" s="60">
        <f>'0. Database'!F44</f>
        <v>36036</v>
      </c>
      <c r="F7" s="60">
        <f>'0. Database'!G44</f>
        <v>37091</v>
      </c>
      <c r="G7" s="60">
        <f>'0. Database'!H44</f>
        <v>47971</v>
      </c>
      <c r="H7" s="60">
        <f>'0. Database'!I44</f>
        <v>54520</v>
      </c>
      <c r="I7" s="60">
        <f>'0. Database'!J44</f>
        <v>65124</v>
      </c>
      <c r="J7" s="60">
        <f>'0. Database'!K44</f>
        <v>91652</v>
      </c>
      <c r="K7" s="60">
        <f>'0. Database'!L44</f>
        <v>91495</v>
      </c>
      <c r="L7" s="60">
        <f>'0. Database'!M44</f>
        <v>101746</v>
      </c>
      <c r="M7" s="60">
        <f>'0. Database'!N44</f>
        <v>125299</v>
      </c>
      <c r="N7" s="60">
        <f>'0. Database'!O44</f>
        <v>164713</v>
      </c>
      <c r="O7" s="60">
        <f>'0. Database'!P44</f>
        <v>211985.47</v>
      </c>
      <c r="P7" s="60">
        <f>'0. Database'!Q44</f>
        <v>282346.21</v>
      </c>
      <c r="Q7" s="60">
        <f>'0. Database'!R44</f>
        <v>352943.8</v>
      </c>
      <c r="R7" s="60">
        <f>'0. Database'!S44</f>
        <v>424226.82</v>
      </c>
      <c r="S7" s="60">
        <f>'0. Database'!T44</f>
        <v>490867.35</v>
      </c>
    </row>
    <row r="8" customHeight="1" spans="1:19">
      <c r="A8" s="59" t="s">
        <v>48</v>
      </c>
      <c r="B8" s="60">
        <f>'0. Database'!C61</f>
        <v>4222</v>
      </c>
      <c r="C8" s="60">
        <f>'0. Database'!D61</f>
        <v>5507.8</v>
      </c>
      <c r="D8" s="60">
        <f>'0. Database'!E61</f>
        <v>8607</v>
      </c>
      <c r="E8" s="60">
        <f>'0. Database'!F61</f>
        <v>16061</v>
      </c>
      <c r="F8" s="60">
        <f>'0. Database'!G61</f>
        <v>24216</v>
      </c>
      <c r="G8" s="60">
        <f>'0. Database'!H61</f>
        <v>29339</v>
      </c>
      <c r="H8" s="60">
        <f>'0. Database'!I61</f>
        <v>36312.5</v>
      </c>
      <c r="I8" s="60">
        <f>'0. Database'!J61</f>
        <v>38747</v>
      </c>
      <c r="J8" s="60">
        <f>'0. Database'!K61</f>
        <v>57683</v>
      </c>
      <c r="K8" s="60">
        <f>'0. Database'!L61</f>
        <v>50475</v>
      </c>
      <c r="L8" s="60">
        <f>'0. Database'!M61</f>
        <v>71113</v>
      </c>
      <c r="M8" s="60">
        <f>'0. Database'!N61</f>
        <v>91328</v>
      </c>
      <c r="N8" s="60">
        <f>'0. Database'!O61</f>
        <v>115800</v>
      </c>
      <c r="O8" s="60">
        <f>'0. Database'!P61</f>
        <v>180250.64</v>
      </c>
      <c r="P8" s="60">
        <f>'0. Database'!Q61</f>
        <v>206102.96</v>
      </c>
      <c r="Q8" s="60">
        <f>'0. Database'!R61</f>
        <v>243250.01</v>
      </c>
      <c r="R8" s="60">
        <f>'0. Database'!S61</f>
        <v>279015.98</v>
      </c>
      <c r="S8" s="60">
        <f>'0. Database'!T61</f>
        <v>314478.51</v>
      </c>
    </row>
    <row r="9" customHeight="1" spans="1:19">
      <c r="A9" s="59" t="s">
        <v>55</v>
      </c>
      <c r="B9" s="60">
        <f>'0. Database'!C79</f>
        <v>14225</v>
      </c>
      <c r="C9" s="60">
        <f>'0. Database'!D79</f>
        <v>14921</v>
      </c>
      <c r="D9" s="60">
        <f>'0. Database'!E79</f>
        <v>14336</v>
      </c>
      <c r="E9" s="60">
        <f>'0. Database'!F79</f>
        <v>13560</v>
      </c>
      <c r="F9" s="60">
        <f>'0. Database'!G79</f>
        <v>14125</v>
      </c>
      <c r="G9" s="60">
        <f>'0. Database'!H79</f>
        <v>15386</v>
      </c>
      <c r="H9" s="60">
        <f>'0. Database'!I79</f>
        <v>14551</v>
      </c>
      <c r="I9" s="60">
        <f>'0. Database'!J79</f>
        <v>13139</v>
      </c>
      <c r="J9" s="60">
        <f>'0. Database'!K79</f>
        <v>15888</v>
      </c>
      <c r="K9" s="60">
        <f>'0. Database'!L79</f>
        <v>9540</v>
      </c>
      <c r="L9" s="60">
        <f>'0. Database'!M79</f>
        <v>17166</v>
      </c>
      <c r="M9" s="60">
        <f>'0. Database'!N79</f>
        <v>18673</v>
      </c>
      <c r="N9" s="60">
        <f>'0. Database'!O79</f>
        <v>20821</v>
      </c>
      <c r="O9" s="60">
        <f>'0. Database'!P79</f>
        <v>25457.17</v>
      </c>
      <c r="P9" s="60">
        <f>'0. Database'!Q79</f>
        <v>33694.38</v>
      </c>
      <c r="Q9" s="60">
        <f>'0. Database'!R79</f>
        <v>50132.95</v>
      </c>
      <c r="R9" s="60">
        <f>'0. Database'!S79</f>
        <v>66529.01</v>
      </c>
      <c r="S9" s="60">
        <f>'0. Database'!T79</f>
        <v>84964.12</v>
      </c>
    </row>
    <row r="11" customHeight="1" spans="1:19">
      <c r="A11" s="58" t="s">
        <v>94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customHeight="1" spans="1:19">
      <c r="A12" s="10" t="s">
        <v>76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</row>
    <row r="13" customHeight="1" spans="1:19">
      <c r="A13" s="59" t="s">
        <v>22</v>
      </c>
      <c r="B13" s="60">
        <f>'0. Database'!C14</f>
        <v>24576</v>
      </c>
      <c r="C13" s="60">
        <f>'0. Database'!D14</f>
        <v>26746</v>
      </c>
      <c r="D13" s="60">
        <f>'0. Database'!E14</f>
        <v>23136</v>
      </c>
      <c r="E13" s="60">
        <f>'0. Database'!F14</f>
        <v>24393</v>
      </c>
      <c r="F13" s="60">
        <f>'0. Database'!G14</f>
        <v>29307</v>
      </c>
      <c r="G13" s="60">
        <f>'0. Database'!H14</f>
        <v>30284</v>
      </c>
      <c r="H13" s="60">
        <f>'0. Database'!I14</f>
        <v>35285</v>
      </c>
      <c r="I13" s="60">
        <f>'0. Database'!J14</f>
        <v>41675</v>
      </c>
      <c r="J13" s="60">
        <f>'0. Database'!K14</f>
        <v>52540</v>
      </c>
      <c r="K13" s="60">
        <f>'0. Database'!L14</f>
        <v>59835</v>
      </c>
      <c r="L13" s="60">
        <f>'0. Database'!M14</f>
        <v>55682</v>
      </c>
      <c r="M13" s="60">
        <f>'0. Database'!N14</f>
        <v>62848</v>
      </c>
      <c r="N13" s="60">
        <f>'0. Database'!O14</f>
        <v>47962</v>
      </c>
      <c r="O13" s="60">
        <f>'0. Database'!P14</f>
        <v>28686.88</v>
      </c>
      <c r="P13" s="60">
        <f>'0. Database'!Q14</f>
        <v>-13165.67</v>
      </c>
      <c r="Q13" s="60">
        <f>'0. Database'!R14</f>
        <v>7810</v>
      </c>
      <c r="R13" s="60">
        <f>'0. Database'!S14</f>
        <v>59461.45</v>
      </c>
      <c r="S13" s="60">
        <f>'0. Database'!T14</f>
        <v>133932.86</v>
      </c>
    </row>
    <row r="14" customHeight="1" spans="1:19">
      <c r="A14" s="59" t="s">
        <v>38</v>
      </c>
      <c r="B14" s="60">
        <f>'0. Database'!C30</f>
        <v>2031</v>
      </c>
      <c r="C14" s="60">
        <f>'0. Database'!D30</f>
        <v>1949.4</v>
      </c>
      <c r="D14" s="60">
        <f>'0. Database'!E30</f>
        <v>7332.1</v>
      </c>
      <c r="E14" s="60">
        <f>'0. Database'!F30</f>
        <v>10535</v>
      </c>
      <c r="F14" s="60">
        <f>'0. Database'!G30</f>
        <v>8377</v>
      </c>
      <c r="G14" s="60">
        <f>'0. Database'!H30</f>
        <v>19402</v>
      </c>
      <c r="H14" s="60">
        <f>'0. Database'!I30</f>
        <v>25825</v>
      </c>
      <c r="I14" s="60">
        <f>'0. Database'!J30</f>
        <v>31018</v>
      </c>
      <c r="J14" s="60">
        <f>'0. Database'!K30</f>
        <v>-9069</v>
      </c>
      <c r="K14" s="60">
        <f>'0. Database'!L30</f>
        <v>-11569</v>
      </c>
      <c r="L14" s="60">
        <f>'0. Database'!M30</f>
        <v>36813</v>
      </c>
      <c r="M14" s="60">
        <f>'0. Database'!N30</f>
        <v>38219</v>
      </c>
      <c r="N14" s="60">
        <f>'0. Database'!O30</f>
        <v>11194</v>
      </c>
      <c r="O14" s="60">
        <f>'0. Database'!P30</f>
        <v>-19100.67</v>
      </c>
      <c r="P14" s="60">
        <f>'0. Database'!Q30</f>
        <v>-45698.02</v>
      </c>
      <c r="Q14" s="60">
        <f>'0. Database'!R30</f>
        <v>-2177.1</v>
      </c>
      <c r="R14" s="60">
        <f>'0. Database'!S30</f>
        <v>44983.17</v>
      </c>
      <c r="S14" s="60">
        <f>'0. Database'!T30</f>
        <v>88357.6</v>
      </c>
    </row>
    <row r="15" customHeight="1" spans="1:19">
      <c r="A15" s="59" t="s">
        <v>42</v>
      </c>
      <c r="B15" s="60">
        <f>'0. Database'!C45</f>
        <v>11226</v>
      </c>
      <c r="C15" s="60">
        <f>'0. Database'!D45</f>
        <v>11313</v>
      </c>
      <c r="D15" s="60">
        <f>'0. Database'!E45</f>
        <v>15914</v>
      </c>
      <c r="E15" s="60">
        <f>'0. Database'!F45</f>
        <v>25853</v>
      </c>
      <c r="F15" s="60">
        <f>'0. Database'!G45</f>
        <v>23907</v>
      </c>
      <c r="G15" s="60">
        <f>'0. Database'!H45</f>
        <v>22832</v>
      </c>
      <c r="H15" s="60">
        <f>'0. Database'!I45</f>
        <v>30972</v>
      </c>
      <c r="I15" s="60">
        <f>'0. Database'!J45</f>
        <v>42843</v>
      </c>
      <c r="J15" s="60">
        <f>'0. Database'!K45</f>
        <v>67012</v>
      </c>
      <c r="K15" s="60">
        <f>'0. Database'!L45</f>
        <v>60010</v>
      </c>
      <c r="L15" s="60">
        <f>'0. Database'!M45</f>
        <v>69495</v>
      </c>
      <c r="M15" s="60">
        <f>'0. Database'!N45</f>
        <v>72764</v>
      </c>
      <c r="N15" s="60">
        <f>'0. Database'!O45</f>
        <v>73266</v>
      </c>
      <c r="O15" s="60">
        <f>'0. Database'!P45</f>
        <v>26751.19</v>
      </c>
      <c r="P15" s="60">
        <f>'0. Database'!Q45</f>
        <v>23018.22</v>
      </c>
      <c r="Q15" s="60">
        <f>'0. Database'!R45</f>
        <v>67683.01</v>
      </c>
      <c r="R15" s="60">
        <f>'0. Database'!S45</f>
        <v>124702.99</v>
      </c>
      <c r="S15" s="60">
        <f>'0. Database'!T45</f>
        <v>176367.33</v>
      </c>
    </row>
    <row r="16" customHeight="1" spans="1:19">
      <c r="A16" s="59" t="s">
        <v>48</v>
      </c>
      <c r="B16" s="60">
        <f>'0. Database'!C62</f>
        <v>2860</v>
      </c>
      <c r="C16" s="60">
        <f>'0. Database'!D62</f>
        <v>3676.8</v>
      </c>
      <c r="D16" s="60">
        <f>'0. Database'!E62</f>
        <v>6084</v>
      </c>
      <c r="E16" s="60">
        <f>'0. Database'!F62</f>
        <v>11570</v>
      </c>
      <c r="F16" s="60">
        <f>'0. Database'!G62</f>
        <v>17484</v>
      </c>
      <c r="G16" s="60">
        <f>'0. Database'!H62</f>
        <v>15359</v>
      </c>
      <c r="H16" s="60">
        <f>'0. Database'!I62</f>
        <v>21210.5</v>
      </c>
      <c r="I16" s="60">
        <f>'0. Database'!J62</f>
        <v>23632</v>
      </c>
      <c r="J16" s="60">
        <f>'0. Database'!K62</f>
        <v>39116</v>
      </c>
      <c r="K16" s="60">
        <f>'0. Database'!L62</f>
        <v>19289</v>
      </c>
      <c r="L16" s="60">
        <f>'0. Database'!M62</f>
        <v>44068</v>
      </c>
      <c r="M16" s="60">
        <f>'0. Database'!N62</f>
        <v>54072</v>
      </c>
      <c r="N16" s="60">
        <f>'0. Database'!O62</f>
        <v>46109</v>
      </c>
      <c r="O16" s="60">
        <f>'0. Database'!P62</f>
        <v>44666.93</v>
      </c>
      <c r="P16" s="60">
        <f>'0. Database'!Q62</f>
        <v>40388.52</v>
      </c>
      <c r="Q16" s="60">
        <f>'0. Database'!R62</f>
        <v>57649.84</v>
      </c>
      <c r="R16" s="60">
        <f>'0. Database'!S62</f>
        <v>82279.8</v>
      </c>
      <c r="S16" s="60">
        <f>'0. Database'!T62</f>
        <v>105938.16</v>
      </c>
    </row>
    <row r="17" customHeight="1" spans="1:19">
      <c r="A17" s="59" t="s">
        <v>55</v>
      </c>
      <c r="B17" s="60">
        <f>'0. Database'!C80</f>
        <v>13575</v>
      </c>
      <c r="C17" s="60">
        <f>'0. Database'!D80</f>
        <v>14341</v>
      </c>
      <c r="D17" s="60">
        <f>'0. Database'!E80</f>
        <v>12945</v>
      </c>
      <c r="E17" s="60">
        <f>'0. Database'!F80</f>
        <v>12371</v>
      </c>
      <c r="F17" s="60">
        <f>'0. Database'!G80</f>
        <v>12104</v>
      </c>
      <c r="G17" s="60">
        <f>'0. Database'!H80</f>
        <v>13650</v>
      </c>
      <c r="H17" s="60">
        <f>'0. Database'!I80</f>
        <v>12891</v>
      </c>
      <c r="I17" s="60">
        <f>'0. Database'!J80</f>
        <v>11575</v>
      </c>
      <c r="J17" s="60">
        <f>'0. Database'!K80</f>
        <v>13753</v>
      </c>
      <c r="K17" s="60">
        <f>'0. Database'!L80</f>
        <v>5029</v>
      </c>
      <c r="L17" s="60">
        <f>'0. Database'!M80</f>
        <v>8471</v>
      </c>
      <c r="M17" s="60">
        <f>'0. Database'!N80</f>
        <v>11807</v>
      </c>
      <c r="N17" s="60">
        <f>'0. Database'!O80</f>
        <v>-394</v>
      </c>
      <c r="O17" s="60">
        <f>'0. Database'!P80</f>
        <v>-26424.83</v>
      </c>
      <c r="P17" s="60">
        <f>'0. Database'!Q80</f>
        <v>-18447.03</v>
      </c>
      <c r="Q17" s="60">
        <f>'0. Database'!R80</f>
        <v>-19736.54</v>
      </c>
      <c r="R17" s="60">
        <f>'0. Database'!S80</f>
        <v>-14519.6</v>
      </c>
      <c r="S17" s="60">
        <f>'0. Database'!T80</f>
        <v>18504.26</v>
      </c>
    </row>
    <row r="19" customHeight="1" spans="1:19">
      <c r="A19" s="58" t="s">
        <v>95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customHeight="1" spans="1:19">
      <c r="A20" s="10" t="s">
        <v>76</v>
      </c>
      <c r="B20" s="10" t="s">
        <v>3</v>
      </c>
      <c r="C20" s="10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0" t="s">
        <v>9</v>
      </c>
      <c r="I20" s="10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17</v>
      </c>
      <c r="Q20" s="10" t="s">
        <v>18</v>
      </c>
      <c r="R20" s="10" t="s">
        <v>19</v>
      </c>
      <c r="S20" s="10" t="s">
        <v>20</v>
      </c>
    </row>
    <row r="21" customHeight="1" spans="1:19">
      <c r="A21" s="59" t="s">
        <v>22</v>
      </c>
      <c r="B21" s="60">
        <f>'0. Database'!C15</f>
        <v>5360</v>
      </c>
      <c r="C21" s="60">
        <f>'0. Database'!D15</f>
        <v>7316</v>
      </c>
      <c r="D21" s="60">
        <f>'0. Database'!E15</f>
        <v>14443</v>
      </c>
      <c r="E21" s="60">
        <f>'0. Database'!F15</f>
        <v>15969</v>
      </c>
      <c r="F21" s="60">
        <f>'0. Database'!G15</f>
        <v>11788</v>
      </c>
      <c r="G21" s="60">
        <f>'0. Database'!H15</f>
        <v>10721</v>
      </c>
      <c r="H21" s="60">
        <f>'0. Database'!I15</f>
        <v>19543</v>
      </c>
      <c r="I21" s="60">
        <f>'0. Database'!J15</f>
        <v>22968</v>
      </c>
      <c r="J21" s="60">
        <f>'0. Database'!K15</f>
        <v>27385</v>
      </c>
      <c r="K21" s="60">
        <f>'0. Database'!L15</f>
        <v>32696</v>
      </c>
      <c r="L21" s="60">
        <f>'0. Database'!M15</f>
        <v>22245</v>
      </c>
      <c r="M21" s="60">
        <f>'0. Database'!N15</f>
        <v>17254</v>
      </c>
      <c r="N21" s="60">
        <f>'0. Database'!O15</f>
        <v>18420</v>
      </c>
      <c r="O21" s="60">
        <f>'0. Database'!P15</f>
        <v>22499.7</v>
      </c>
      <c r="P21" s="60">
        <f>'0. Database'!Q15</f>
        <v>19070.28</v>
      </c>
      <c r="Q21" s="60">
        <f>'0. Database'!R15</f>
        <v>19500.41</v>
      </c>
      <c r="R21" s="60">
        <f>'0. Database'!S15</f>
        <v>20126.95</v>
      </c>
      <c r="S21" s="60">
        <f>'0. Database'!T15</f>
        <v>21047.23</v>
      </c>
    </row>
    <row r="22" customHeight="1" spans="1:19">
      <c r="A22" s="59" t="s">
        <v>38</v>
      </c>
      <c r="B22" s="60">
        <f>'0. Database'!C31</f>
        <v>0</v>
      </c>
      <c r="C22" s="60">
        <f>'0. Database'!D31</f>
        <v>0</v>
      </c>
      <c r="D22" s="60">
        <f>'0. Database'!E31</f>
        <v>0</v>
      </c>
      <c r="E22" s="60">
        <f>'0. Database'!F31</f>
        <v>0</v>
      </c>
      <c r="F22" s="60">
        <f>'0. Database'!G31</f>
        <v>0</v>
      </c>
      <c r="G22" s="60">
        <f>'0. Database'!H31</f>
        <v>0</v>
      </c>
      <c r="H22" s="60">
        <f>'0. Database'!I31</f>
        <v>0</v>
      </c>
      <c r="I22" s="60">
        <f>'0. Database'!J31</f>
        <v>0</v>
      </c>
      <c r="J22" s="60">
        <f>'0. Database'!K31</f>
        <v>0</v>
      </c>
      <c r="K22" s="60">
        <f>'0. Database'!L31</f>
        <v>6000</v>
      </c>
      <c r="L22" s="60">
        <f>'0. Database'!M31</f>
        <v>0</v>
      </c>
      <c r="M22" s="60">
        <f>'0. Database'!N31</f>
        <v>0</v>
      </c>
      <c r="N22" s="60">
        <f>'0. Database'!O31</f>
        <v>0</v>
      </c>
      <c r="O22" s="60">
        <f>'0. Database'!P31</f>
        <v>0</v>
      </c>
      <c r="P22" s="60">
        <f>'0. Database'!Q31</f>
        <v>0</v>
      </c>
      <c r="Q22" s="60">
        <f>'0. Database'!R31</f>
        <v>0</v>
      </c>
      <c r="R22" s="60">
        <f>'0. Database'!S31</f>
        <v>0</v>
      </c>
      <c r="S22" s="60">
        <f>'0. Database'!T31</f>
        <v>0</v>
      </c>
    </row>
    <row r="23" customHeight="1" spans="1:19">
      <c r="A23" s="59" t="s">
        <v>42</v>
      </c>
      <c r="B23" s="60">
        <f>'0. Database'!C46</f>
        <v>0</v>
      </c>
      <c r="C23" s="60">
        <f>'0. Database'!D46</f>
        <v>0</v>
      </c>
      <c r="D23" s="60">
        <f>'0. Database'!E46</f>
        <v>1827</v>
      </c>
      <c r="E23" s="60">
        <f>'0. Database'!F46</f>
        <v>3693</v>
      </c>
      <c r="F23" s="60">
        <f>'0. Database'!G46</f>
        <v>4846</v>
      </c>
      <c r="G23" s="60">
        <f>'0. Database'!H46</f>
        <v>9075</v>
      </c>
      <c r="H23" s="60">
        <f>'0. Database'!I46</f>
        <v>18396</v>
      </c>
      <c r="I23" s="60">
        <f>'0. Database'!J46</f>
        <v>31149</v>
      </c>
      <c r="J23" s="60">
        <f>'0. Database'!K46</f>
        <v>50274</v>
      </c>
      <c r="K23" s="60">
        <f>'0. Database'!L46</f>
        <v>59296</v>
      </c>
      <c r="L23" s="60">
        <f>'0. Database'!M46</f>
        <v>61504</v>
      </c>
      <c r="M23" s="60">
        <f>'0. Database'!N46</f>
        <v>62222</v>
      </c>
      <c r="N23" s="60">
        <f>'0. Database'!O46</f>
        <v>45709</v>
      </c>
      <c r="O23" s="60">
        <f>'0. Database'!P46</f>
        <v>0</v>
      </c>
      <c r="P23" s="60">
        <f>'0. Database'!Q46</f>
        <v>20000</v>
      </c>
      <c r="Q23" s="60">
        <f>'0. Database'!R46</f>
        <v>20000</v>
      </c>
      <c r="R23" s="60">
        <f>'0. Database'!S46</f>
        <v>20000</v>
      </c>
      <c r="S23" s="60">
        <f>'0. Database'!T46</f>
        <v>15000</v>
      </c>
    </row>
    <row r="24" customHeight="1" spans="1:19">
      <c r="A24" s="59" t="s">
        <v>48</v>
      </c>
      <c r="B24" s="60">
        <f>'0. Database'!C63</f>
        <v>0</v>
      </c>
      <c r="C24" s="60">
        <f>'0. Database'!D63</f>
        <v>0</v>
      </c>
      <c r="D24" s="60">
        <f>'0. Database'!E63</f>
        <v>0</v>
      </c>
      <c r="E24" s="60">
        <f>'0. Database'!F63</f>
        <v>0</v>
      </c>
      <c r="F24" s="60">
        <f>'0. Database'!G63</f>
        <v>1976</v>
      </c>
      <c r="G24" s="60">
        <f>'0. Database'!H63</f>
        <v>12879</v>
      </c>
      <c r="H24" s="60">
        <f>'0. Database'!I63</f>
        <v>4201</v>
      </c>
      <c r="I24" s="60">
        <f>'0. Database'!J63</f>
        <v>6272</v>
      </c>
      <c r="J24" s="60">
        <f>'0. Database'!K63</f>
        <v>44538</v>
      </c>
      <c r="K24" s="60">
        <f>'0. Database'!L63</f>
        <v>27956</v>
      </c>
      <c r="L24" s="60">
        <f>'0. Database'!M63</f>
        <v>19775</v>
      </c>
      <c r="M24" s="60">
        <f>'0. Database'!N63</f>
        <v>30125</v>
      </c>
      <c r="N24" s="60">
        <f>'0. Database'!O63</f>
        <v>26248</v>
      </c>
      <c r="O24" s="60">
        <f>'0. Database'!P63</f>
        <v>0</v>
      </c>
      <c r="P24" s="60">
        <f>'0. Database'!Q63</f>
        <v>6000</v>
      </c>
      <c r="Q24" s="60">
        <f>'0. Database'!R63</f>
        <v>6000</v>
      </c>
      <c r="R24" s="60">
        <f>'0. Database'!S63</f>
        <v>6000</v>
      </c>
      <c r="S24" s="60">
        <f>'0. Database'!T63</f>
        <v>6000</v>
      </c>
    </row>
    <row r="25" customHeight="1" spans="1:19">
      <c r="A25" s="59" t="s">
        <v>55</v>
      </c>
      <c r="B25" s="60">
        <f>'0. Database'!C81</f>
        <v>11021</v>
      </c>
      <c r="C25" s="60">
        <f>'0. Database'!D81</f>
        <v>9813</v>
      </c>
      <c r="D25" s="60">
        <f>'0. Database'!E81</f>
        <v>8087</v>
      </c>
      <c r="E25" s="60">
        <f>'0. Database'!F81</f>
        <v>10440</v>
      </c>
      <c r="F25" s="60">
        <f>'0. Database'!G81</f>
        <v>3561</v>
      </c>
      <c r="G25" s="60">
        <f>'0. Database'!H81</f>
        <v>11347</v>
      </c>
      <c r="H25" s="60">
        <f>'0. Database'!I81</f>
        <v>36140</v>
      </c>
      <c r="I25" s="60">
        <f>'0. Database'!J81</f>
        <v>19240</v>
      </c>
      <c r="J25" s="60">
        <f>'0. Database'!K81</f>
        <v>20934</v>
      </c>
      <c r="K25" s="60">
        <f>'0. Database'!L81</f>
        <v>16248</v>
      </c>
      <c r="L25" s="60">
        <f>'0. Database'!M81</f>
        <v>1300</v>
      </c>
      <c r="M25" s="60">
        <f>'0. Database'!N81</f>
        <v>1202</v>
      </c>
      <c r="N25" s="60">
        <f>'0. Database'!O81</f>
        <v>600</v>
      </c>
      <c r="O25" s="60">
        <f>'0. Database'!P81</f>
        <v>95</v>
      </c>
      <c r="P25" s="60">
        <f>'0. Database'!Q81</f>
        <v>0</v>
      </c>
      <c r="Q25" s="60">
        <f>'0. Database'!R81</f>
        <v>0</v>
      </c>
      <c r="R25" s="60">
        <f>'0. Database'!S81</f>
        <v>0</v>
      </c>
      <c r="S25" s="60">
        <f>'0. Database'!T81</f>
        <v>0</v>
      </c>
    </row>
    <row r="27" customHeight="1" spans="1:19">
      <c r="A27" s="58" t="s">
        <v>96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customHeight="1" spans="1:19">
      <c r="A28" s="10" t="s">
        <v>76</v>
      </c>
      <c r="B28" s="10" t="s">
        <v>3</v>
      </c>
      <c r="C28" s="10" t="s">
        <v>4</v>
      </c>
      <c r="D28" s="10" t="s">
        <v>5</v>
      </c>
      <c r="E28" s="10" t="s">
        <v>6</v>
      </c>
      <c r="F28" s="10" t="s">
        <v>7</v>
      </c>
      <c r="G28" s="10" t="s">
        <v>8</v>
      </c>
      <c r="H28" s="10" t="s">
        <v>9</v>
      </c>
      <c r="I28" s="10" t="s">
        <v>10</v>
      </c>
      <c r="J28" s="10" t="s">
        <v>11</v>
      </c>
      <c r="K28" s="10" t="s">
        <v>12</v>
      </c>
      <c r="L28" s="10" t="s">
        <v>13</v>
      </c>
      <c r="M28" s="10" t="s">
        <v>14</v>
      </c>
      <c r="N28" s="10" t="s">
        <v>15</v>
      </c>
      <c r="O28" s="10" t="s">
        <v>16</v>
      </c>
      <c r="P28" s="10" t="s">
        <v>17</v>
      </c>
      <c r="Q28" s="10" t="s">
        <v>18</v>
      </c>
      <c r="R28" s="10" t="s">
        <v>19</v>
      </c>
      <c r="S28" s="10" t="s">
        <v>20</v>
      </c>
    </row>
    <row r="29" customHeight="1" spans="1:19">
      <c r="A29" s="59" t="s">
        <v>22</v>
      </c>
      <c r="B29" s="60">
        <f>'0. Database'!C5</f>
        <v>77849</v>
      </c>
      <c r="C29" s="60">
        <f>'0. Database'!D5</f>
        <v>86833</v>
      </c>
      <c r="D29" s="60">
        <f>'0. Database'!E5</f>
        <v>93580</v>
      </c>
      <c r="E29" s="60">
        <f>'0. Database'!F5</f>
        <v>85320</v>
      </c>
      <c r="F29" s="60">
        <f>'0. Database'!G5</f>
        <v>96571</v>
      </c>
      <c r="G29" s="60">
        <f>'0. Database'!H5</f>
        <v>110360</v>
      </c>
      <c r="H29" s="60">
        <f>'0. Database'!I5</f>
        <v>125843</v>
      </c>
      <c r="I29" s="60">
        <f>'0. Database'!J5</f>
        <v>143015</v>
      </c>
      <c r="J29" s="60">
        <f>'0. Database'!K5</f>
        <v>168088</v>
      </c>
      <c r="K29" s="60">
        <f>'0. Database'!L5</f>
        <v>198270</v>
      </c>
      <c r="L29" s="60">
        <f>'0. Database'!M5</f>
        <v>211915</v>
      </c>
      <c r="M29" s="60">
        <f>'0. Database'!N5</f>
        <v>245122</v>
      </c>
      <c r="N29" s="60">
        <f>'0. Database'!O5</f>
        <v>281724</v>
      </c>
      <c r="O29" s="60">
        <f>'0. Database'!P5</f>
        <v>329440.24</v>
      </c>
      <c r="P29" s="60">
        <f>'0. Database'!Q5</f>
        <v>387103.71</v>
      </c>
      <c r="Q29" s="60">
        <f>'0. Database'!R5</f>
        <v>463474.17</v>
      </c>
      <c r="R29" s="60">
        <f>'0. Database'!S5</f>
        <v>553714.52</v>
      </c>
      <c r="S29" s="60">
        <f>'0. Database'!T5</f>
        <v>652772.62</v>
      </c>
    </row>
    <row r="30" customHeight="1" spans="1:19">
      <c r="A30" s="59" t="s">
        <v>38</v>
      </c>
      <c r="B30" s="60">
        <f>'0. Database'!C21</f>
        <v>74453</v>
      </c>
      <c r="C30" s="60">
        <f>'0. Database'!D21</f>
        <v>88988.4</v>
      </c>
      <c r="D30" s="60">
        <f>'0. Database'!E21</f>
        <v>107006.6</v>
      </c>
      <c r="E30" s="60">
        <f>'0. Database'!F21</f>
        <v>135987</v>
      </c>
      <c r="F30" s="60">
        <f>'0. Database'!G21</f>
        <v>177866</v>
      </c>
      <c r="G30" s="60">
        <f>'0. Database'!H21</f>
        <v>232887</v>
      </c>
      <c r="H30" s="60">
        <f>'0. Database'!I21</f>
        <v>280522</v>
      </c>
      <c r="I30" s="60">
        <f>'0. Database'!J21</f>
        <v>386064</v>
      </c>
      <c r="J30" s="60">
        <f>'0. Database'!K21</f>
        <v>469822</v>
      </c>
      <c r="K30" s="60">
        <f>'0. Database'!L21</f>
        <v>513983</v>
      </c>
      <c r="L30" s="60">
        <f>'0. Database'!M21</f>
        <v>574785</v>
      </c>
      <c r="M30" s="60">
        <f>'0. Database'!N21</f>
        <v>637959</v>
      </c>
      <c r="N30" s="60">
        <f>'0. Database'!O21</f>
        <v>716924</v>
      </c>
      <c r="O30" s="60">
        <f>'0. Database'!P21</f>
        <v>827599.51</v>
      </c>
      <c r="P30" s="60">
        <f>'0. Database'!Q21</f>
        <v>946630.91</v>
      </c>
      <c r="Q30" s="60">
        <f>'0. Database'!R21</f>
        <v>1063340.59</v>
      </c>
      <c r="R30" s="60">
        <f>'0. Database'!S21</f>
        <v>1183117.72</v>
      </c>
      <c r="S30" s="60">
        <f>'0. Database'!T21</f>
        <v>1305415.48</v>
      </c>
    </row>
    <row r="31" customHeight="1" spans="1:19">
      <c r="A31" s="59" t="s">
        <v>42</v>
      </c>
      <c r="B31" s="60">
        <f>'0. Database'!C36</f>
        <v>55519</v>
      </c>
      <c r="C31" s="60">
        <f>'0. Database'!D36</f>
        <v>66001</v>
      </c>
      <c r="D31" s="60">
        <f>'0. Database'!E36</f>
        <v>74989</v>
      </c>
      <c r="E31" s="60">
        <f>'0. Database'!F36</f>
        <v>90272</v>
      </c>
      <c r="F31" s="60">
        <f>'0. Database'!G36</f>
        <v>110855</v>
      </c>
      <c r="G31" s="60">
        <f>'0. Database'!H36</f>
        <v>136819</v>
      </c>
      <c r="H31" s="60">
        <f>'0. Database'!I36</f>
        <v>161857</v>
      </c>
      <c r="I31" s="60">
        <f>'0. Database'!J36</f>
        <v>182527</v>
      </c>
      <c r="J31" s="60">
        <f>'0. Database'!K36</f>
        <v>257637</v>
      </c>
      <c r="K31" s="60">
        <f>'0. Database'!L36</f>
        <v>282836</v>
      </c>
      <c r="L31" s="60">
        <f>'0. Database'!M36</f>
        <v>307394</v>
      </c>
      <c r="M31" s="60">
        <f>'0. Database'!N36</f>
        <v>350018</v>
      </c>
      <c r="N31" s="60">
        <f>'0. Database'!O36</f>
        <v>402836</v>
      </c>
      <c r="O31" s="60">
        <f>'0. Database'!P36</f>
        <v>488278.6</v>
      </c>
      <c r="P31" s="60">
        <f>'0. Database'!Q36</f>
        <v>591935.74</v>
      </c>
      <c r="Q31" s="60">
        <f>'0. Database'!R36</f>
        <v>701414.49</v>
      </c>
      <c r="R31" s="60">
        <f>'0. Database'!S36</f>
        <v>815276.88</v>
      </c>
      <c r="S31" s="60">
        <f>'0. Database'!T36</f>
        <v>921874.95</v>
      </c>
    </row>
    <row r="32" customHeight="1" spans="1:19">
      <c r="A32" s="59" t="s">
        <v>48</v>
      </c>
      <c r="B32" s="60">
        <f>'0. Database'!C53</f>
        <v>7872</v>
      </c>
      <c r="C32" s="60">
        <f>'0. Database'!D53</f>
        <v>12466</v>
      </c>
      <c r="D32" s="60">
        <f>'0. Database'!E53</f>
        <v>17927</v>
      </c>
      <c r="E32" s="60">
        <f>'0. Database'!F53</f>
        <v>27638</v>
      </c>
      <c r="F32" s="60">
        <f>'0. Database'!G53</f>
        <v>40653</v>
      </c>
      <c r="G32" s="60">
        <f>'0. Database'!H53</f>
        <v>55838</v>
      </c>
      <c r="H32" s="60">
        <f>'0. Database'!I53</f>
        <v>70696.5</v>
      </c>
      <c r="I32" s="60">
        <f>'0. Database'!J53</f>
        <v>85966</v>
      </c>
      <c r="J32" s="60">
        <f>'0. Database'!K53</f>
        <v>117929</v>
      </c>
      <c r="K32" s="60">
        <f>'0. Database'!L53</f>
        <v>116609</v>
      </c>
      <c r="L32" s="60">
        <f>'0. Database'!M53</f>
        <v>134901</v>
      </c>
      <c r="M32" s="60">
        <f>'0. Database'!N53</f>
        <v>164500</v>
      </c>
      <c r="N32" s="60">
        <f>'0. Database'!O53</f>
        <v>200965</v>
      </c>
      <c r="O32" s="60">
        <f>'0. Database'!P53</f>
        <v>255175.56</v>
      </c>
      <c r="P32" s="60">
        <f>'0. Database'!Q53</f>
        <v>306410.52</v>
      </c>
      <c r="Q32" s="60">
        <f>'0. Database'!R53</f>
        <v>357336.07</v>
      </c>
      <c r="R32" s="60">
        <f>'0. Database'!S53</f>
        <v>407351.97</v>
      </c>
      <c r="S32" s="60">
        <f>'0. Database'!T53</f>
        <v>456192.68</v>
      </c>
    </row>
    <row r="33" customHeight="1" spans="1:19">
      <c r="A33" s="59" t="s">
        <v>55</v>
      </c>
      <c r="B33" s="60">
        <f>'0. Database'!C71</f>
        <v>37253</v>
      </c>
      <c r="C33" s="60">
        <f>'0. Database'!D71</f>
        <v>38305</v>
      </c>
      <c r="D33" s="60">
        <f>'0. Database'!E71</f>
        <v>38253</v>
      </c>
      <c r="E33" s="60">
        <f>'0. Database'!F71</f>
        <v>37057</v>
      </c>
      <c r="F33" s="60">
        <f>'0. Database'!G71</f>
        <v>37899</v>
      </c>
      <c r="G33" s="60">
        <f>'0. Database'!H71</f>
        <v>39431</v>
      </c>
      <c r="H33" s="60">
        <f>'0. Database'!I71</f>
        <v>39525</v>
      </c>
      <c r="I33" s="60">
        <f>'0. Database'!J71</f>
        <v>39073</v>
      </c>
      <c r="J33" s="60">
        <f>'0. Database'!K71</f>
        <v>40481</v>
      </c>
      <c r="K33" s="60">
        <f>'0. Database'!L71</f>
        <v>42441</v>
      </c>
      <c r="L33" s="60">
        <f>'0. Database'!M71</f>
        <v>49955</v>
      </c>
      <c r="M33" s="60">
        <f>'0. Database'!N71</f>
        <v>52961</v>
      </c>
      <c r="N33" s="60">
        <f>'0. Database'!O71</f>
        <v>57399</v>
      </c>
      <c r="O33" s="60">
        <f>'0. Database'!P71</f>
        <v>67286.75</v>
      </c>
      <c r="P33" s="60">
        <f>'0. Database'!Q71</f>
        <v>88782.02</v>
      </c>
      <c r="Q33" s="60">
        <f>'0. Database'!R71</f>
        <v>125445.05</v>
      </c>
      <c r="R33" s="60">
        <f>'0. Database'!S71</f>
        <v>165192.96</v>
      </c>
      <c r="S33" s="60">
        <f>'0. Database'!T71</f>
        <v>185555.08</v>
      </c>
    </row>
    <row r="35" customHeight="1" spans="1:19">
      <c r="A35" s="58" t="s">
        <v>97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customHeight="1" spans="1:19">
      <c r="A36" s="10" t="s">
        <v>76</v>
      </c>
      <c r="B36" s="10" t="s">
        <v>3</v>
      </c>
      <c r="C36" s="10" t="s">
        <v>4</v>
      </c>
      <c r="D36" s="10" t="s">
        <v>5</v>
      </c>
      <c r="E36" s="10" t="s">
        <v>6</v>
      </c>
      <c r="F36" s="10" t="s">
        <v>7</v>
      </c>
      <c r="G36" s="10" t="s">
        <v>8</v>
      </c>
      <c r="H36" s="10" t="s">
        <v>9</v>
      </c>
      <c r="I36" s="10" t="s">
        <v>10</v>
      </c>
      <c r="J36" s="10" t="s">
        <v>11</v>
      </c>
      <c r="K36" s="10" t="s">
        <v>12</v>
      </c>
      <c r="L36" s="10" t="s">
        <v>13</v>
      </c>
      <c r="M36" s="10" t="s">
        <v>14</v>
      </c>
      <c r="N36" s="10" t="s">
        <v>15</v>
      </c>
      <c r="O36" s="10" t="s">
        <v>16</v>
      </c>
      <c r="P36" s="10" t="s">
        <v>17</v>
      </c>
      <c r="Q36" s="10" t="s">
        <v>18</v>
      </c>
      <c r="R36" s="10" t="s">
        <v>19</v>
      </c>
      <c r="S36" s="10" t="s">
        <v>20</v>
      </c>
    </row>
    <row r="37" customHeight="1" spans="1:19">
      <c r="A37" s="59" t="s">
        <v>22</v>
      </c>
      <c r="B37" s="60">
        <f>'0. Database'!C7</f>
        <v>21863</v>
      </c>
      <c r="C37" s="60">
        <f>'0. Database'!D7</f>
        <v>22074</v>
      </c>
      <c r="D37" s="60">
        <f>'0. Database'!E7</f>
        <v>12193</v>
      </c>
      <c r="E37" s="60">
        <f>'0. Database'!F7</f>
        <v>16798</v>
      </c>
      <c r="F37" s="60">
        <f>'0. Database'!G7</f>
        <v>25489</v>
      </c>
      <c r="G37" s="60">
        <f>'0. Database'!H7</f>
        <v>16571</v>
      </c>
      <c r="H37" s="60">
        <f>'0. Database'!I7</f>
        <v>39240</v>
      </c>
      <c r="I37" s="60">
        <f>'0. Database'!J7</f>
        <v>44281</v>
      </c>
      <c r="J37" s="60">
        <f>'0. Database'!K7</f>
        <v>61271</v>
      </c>
      <c r="K37" s="60">
        <f>'0. Database'!L7</f>
        <v>72738</v>
      </c>
      <c r="L37" s="60">
        <f>'0. Database'!M7</f>
        <v>72361</v>
      </c>
      <c r="M37" s="60">
        <f>'0. Database'!N7</f>
        <v>88136</v>
      </c>
      <c r="N37" s="60">
        <f>'0. Database'!O7</f>
        <v>101832</v>
      </c>
      <c r="O37" s="60">
        <f>'0. Database'!P7</f>
        <v>129372.86</v>
      </c>
      <c r="P37" s="60">
        <f>'0. Database'!Q7</f>
        <v>144971.56</v>
      </c>
      <c r="Q37" s="60">
        <f>'0. Database'!R7</f>
        <v>175683.92</v>
      </c>
      <c r="R37" s="60">
        <f>'0. Database'!S7</f>
        <v>215472.22</v>
      </c>
      <c r="S37" s="60">
        <f>'0. Database'!T7</f>
        <v>258948.36</v>
      </c>
    </row>
    <row r="38" customHeight="1" spans="1:19">
      <c r="A38" s="59" t="s">
        <v>38</v>
      </c>
      <c r="B38" s="60">
        <f>'0. Database'!C23</f>
        <v>273</v>
      </c>
      <c r="C38" s="60">
        <f>'0. Database'!D23</f>
        <v>-240.6</v>
      </c>
      <c r="D38" s="60">
        <f>'0. Database'!E23</f>
        <v>596.1</v>
      </c>
      <c r="E38" s="60">
        <f>'0. Database'!F23</f>
        <v>2371</v>
      </c>
      <c r="F38" s="60">
        <f>'0. Database'!G23</f>
        <v>3033</v>
      </c>
      <c r="G38" s="60">
        <f>'0. Database'!H23</f>
        <v>10073</v>
      </c>
      <c r="H38" s="60">
        <f>'0. Database'!I23</f>
        <v>11588</v>
      </c>
      <c r="I38" s="60">
        <f>'0. Database'!J23</f>
        <v>21331</v>
      </c>
      <c r="J38" s="60">
        <f>'0. Database'!K23</f>
        <v>33364</v>
      </c>
      <c r="K38" s="60">
        <f>'0. Database'!L23</f>
        <v>-2722</v>
      </c>
      <c r="L38" s="60">
        <f>'0. Database'!M23</f>
        <v>30425</v>
      </c>
      <c r="M38" s="60">
        <f>'0. Database'!N23</f>
        <v>59248</v>
      </c>
      <c r="N38" s="60">
        <f>'0. Database'!O23</f>
        <v>77670</v>
      </c>
      <c r="O38" s="60">
        <f>'0. Database'!P23</f>
        <v>98333.72</v>
      </c>
      <c r="P38" s="60">
        <f>'0. Database'!Q23</f>
        <v>116218.4</v>
      </c>
      <c r="Q38" s="60">
        <f>'0. Database'!R23</f>
        <v>145016.4</v>
      </c>
      <c r="R38" s="60">
        <f>'0. Database'!S23</f>
        <v>177176.2</v>
      </c>
      <c r="S38" s="60">
        <f>'0. Database'!T23</f>
        <v>211925.99</v>
      </c>
    </row>
    <row r="39" customHeight="1" spans="1:19">
      <c r="A39" s="59" t="s">
        <v>42</v>
      </c>
      <c r="B39" s="60">
        <f>'0. Database'!C38</f>
        <v>12720</v>
      </c>
      <c r="C39" s="60">
        <f>'0. Database'!D38</f>
        <v>14136</v>
      </c>
      <c r="D39" s="60">
        <f>'0. Database'!E38</f>
        <v>16348</v>
      </c>
      <c r="E39" s="60">
        <f>'0. Database'!F38</f>
        <v>19478</v>
      </c>
      <c r="F39" s="60">
        <f>'0. Database'!G38</f>
        <v>12662</v>
      </c>
      <c r="G39" s="60">
        <f>'0. Database'!H38</f>
        <v>30736</v>
      </c>
      <c r="H39" s="60">
        <f>'0. Database'!I38</f>
        <v>34343</v>
      </c>
      <c r="I39" s="60">
        <f>'0. Database'!J38</f>
        <v>40269</v>
      </c>
      <c r="J39" s="60">
        <f>'0. Database'!K38</f>
        <v>76033</v>
      </c>
      <c r="K39" s="60">
        <f>'0. Database'!L38</f>
        <v>59972</v>
      </c>
      <c r="L39" s="60">
        <f>'0. Database'!M38</f>
        <v>73795</v>
      </c>
      <c r="M39" s="60">
        <f>'0. Database'!N38</f>
        <v>100118</v>
      </c>
      <c r="N39" s="60">
        <f>'0. Database'!O38</f>
        <v>132170</v>
      </c>
      <c r="O39" s="60">
        <f>'0. Database'!P38</f>
        <v>168543.28</v>
      </c>
      <c r="P39" s="60">
        <f>'0. Database'!Q38</f>
        <v>174626.97</v>
      </c>
      <c r="Q39" s="60">
        <f>'0. Database'!R38</f>
        <v>210753.44</v>
      </c>
      <c r="R39" s="60">
        <f>'0. Database'!S38</f>
        <v>249488.6</v>
      </c>
      <c r="S39" s="60">
        <f>'0. Database'!T38</f>
        <v>285975.76</v>
      </c>
    </row>
    <row r="40" customHeight="1" spans="1:19">
      <c r="A40" s="59" t="s">
        <v>48</v>
      </c>
      <c r="B40" s="60">
        <f>'0. Database'!C55</f>
        <v>1491</v>
      </c>
      <c r="C40" s="60">
        <f>'0. Database'!D55</f>
        <v>2924.8</v>
      </c>
      <c r="D40" s="60">
        <f>'0. Database'!E55</f>
        <v>3669</v>
      </c>
      <c r="E40" s="60">
        <f>'0. Database'!F55</f>
        <v>10187.2</v>
      </c>
      <c r="F40" s="60">
        <f>'0. Database'!G55</f>
        <v>15919</v>
      </c>
      <c r="G40" s="60">
        <f>'0. Database'!H55</f>
        <v>22112</v>
      </c>
      <c r="H40" s="60">
        <f>'0. Database'!I55</f>
        <v>18484.5</v>
      </c>
      <c r="I40" s="60">
        <f>'0. Database'!J55</f>
        <v>29145</v>
      </c>
      <c r="J40" s="60">
        <f>'0. Database'!K55</f>
        <v>39370</v>
      </c>
      <c r="K40" s="60">
        <f>'0. Database'!L55</f>
        <v>23199</v>
      </c>
      <c r="L40" s="60">
        <f>'0. Database'!M55</f>
        <v>39097</v>
      </c>
      <c r="M40" s="60">
        <f>'0. Database'!N55</f>
        <v>62360</v>
      </c>
      <c r="N40" s="60">
        <f>'0. Database'!O55</f>
        <v>60458</v>
      </c>
      <c r="O40" s="60">
        <f>'0. Database'!P55</f>
        <v>85782.86</v>
      </c>
      <c r="P40" s="60">
        <f>'0. Database'!Q55</f>
        <v>91160.94</v>
      </c>
      <c r="Q40" s="60">
        <f>'0. Database'!R55</f>
        <v>103452.71</v>
      </c>
      <c r="R40" s="60">
        <f>'0. Database'!S55</f>
        <v>115846.5</v>
      </c>
      <c r="S40" s="60">
        <f>'0. Database'!T55</f>
        <v>127804.37</v>
      </c>
    </row>
    <row r="41" customHeight="1" spans="1:19">
      <c r="A41" s="59" t="s">
        <v>55</v>
      </c>
      <c r="B41" s="60">
        <f>'0. Database'!C73</f>
        <v>10926</v>
      </c>
      <c r="C41" s="60">
        <f>'0. Database'!D73</f>
        <v>10955</v>
      </c>
      <c r="D41" s="60">
        <f>'0. Database'!E73</f>
        <v>9938</v>
      </c>
      <c r="E41" s="60">
        <f>'0. Database'!F73</f>
        <v>8900</v>
      </c>
      <c r="F41" s="60">
        <f>'0. Database'!G73</f>
        <v>9334</v>
      </c>
      <c r="G41" s="60">
        <f>'0. Database'!H73</f>
        <v>3587</v>
      </c>
      <c r="H41" s="60">
        <f>'0. Database'!I73</f>
        <v>11083</v>
      </c>
      <c r="I41" s="60">
        <f>'0. Database'!J73</f>
        <v>10135</v>
      </c>
      <c r="J41" s="60">
        <f>'0. Database'!K73</f>
        <v>13747</v>
      </c>
      <c r="K41" s="60">
        <f>'0. Database'!L73</f>
        <v>6718</v>
      </c>
      <c r="L41" s="60">
        <f>'0. Database'!M73</f>
        <v>8504</v>
      </c>
      <c r="M41" s="60">
        <f>'0. Database'!N73</f>
        <v>10467</v>
      </c>
      <c r="N41" s="60">
        <f>'0. Database'!O73</f>
        <v>12443</v>
      </c>
      <c r="O41" s="60">
        <f>'0. Database'!P73</f>
        <v>15820.55</v>
      </c>
      <c r="P41" s="60">
        <f>'0. Database'!Q73</f>
        <v>13363.1</v>
      </c>
      <c r="Q41" s="60">
        <f>'0. Database'!R73</f>
        <v>26776.66</v>
      </c>
      <c r="R41" s="60">
        <f>'0. Database'!S73</f>
        <v>39834.82</v>
      </c>
      <c r="S41" s="60">
        <f>'0. Database'!T73</f>
        <v>44104.48</v>
      </c>
    </row>
    <row r="43" customHeight="1" spans="1:19">
      <c r="A43" s="58" t="s">
        <v>98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customHeight="1" spans="1:19">
      <c r="A44" s="10" t="s">
        <v>76</v>
      </c>
      <c r="B44" s="10" t="s">
        <v>3</v>
      </c>
      <c r="C44" s="10" t="s">
        <v>4</v>
      </c>
      <c r="D44" s="10" t="s">
        <v>5</v>
      </c>
      <c r="E44" s="10" t="s">
        <v>6</v>
      </c>
      <c r="F44" s="10" t="s">
        <v>7</v>
      </c>
      <c r="G44" s="10" t="s">
        <v>8</v>
      </c>
      <c r="H44" s="10" t="s">
        <v>9</v>
      </c>
      <c r="I44" s="10" t="s">
        <v>10</v>
      </c>
      <c r="J44" s="10" t="s">
        <v>11</v>
      </c>
      <c r="K44" s="10" t="s">
        <v>12</v>
      </c>
      <c r="L44" s="10" t="s">
        <v>13</v>
      </c>
      <c r="M44" s="10" t="s">
        <v>14</v>
      </c>
      <c r="N44" s="10" t="s">
        <v>15</v>
      </c>
      <c r="O44" s="10" t="s">
        <v>16</v>
      </c>
      <c r="P44" s="10" t="s">
        <v>17</v>
      </c>
      <c r="Q44" s="10" t="s">
        <v>18</v>
      </c>
      <c r="R44" s="10" t="s">
        <v>19</v>
      </c>
      <c r="S44" s="10" t="s">
        <v>20</v>
      </c>
    </row>
    <row r="45" customHeight="1" spans="1:19">
      <c r="A45" s="59" t="s">
        <v>22</v>
      </c>
      <c r="B45" s="60">
        <f>'0. Database'!C12</f>
        <v>4257</v>
      </c>
      <c r="C45" s="60">
        <f>'0. Database'!D12</f>
        <v>5485</v>
      </c>
      <c r="D45" s="60">
        <f>'0. Database'!E12</f>
        <v>5944</v>
      </c>
      <c r="E45" s="60">
        <f>'0. Database'!F12</f>
        <v>8932</v>
      </c>
      <c r="F45" s="60">
        <f>'0. Database'!G12</f>
        <v>10200</v>
      </c>
      <c r="G45" s="60">
        <f>'0. Database'!H12</f>
        <v>13600</v>
      </c>
      <c r="H45" s="60">
        <f>'0. Database'!I12</f>
        <v>16900</v>
      </c>
      <c r="I45" s="60">
        <f>'0. Database'!J12</f>
        <v>19000</v>
      </c>
      <c r="J45" s="60">
        <f>'0. Database'!K12</f>
        <v>24200</v>
      </c>
      <c r="K45" s="60">
        <f>'0. Database'!L12</f>
        <v>29200</v>
      </c>
      <c r="L45" s="60">
        <f>'0. Database'!M12</f>
        <v>31900</v>
      </c>
      <c r="M45" s="60">
        <f>'0. Database'!N12</f>
        <v>55700</v>
      </c>
      <c r="N45" s="60">
        <f>'0. Database'!O12</f>
        <v>88200</v>
      </c>
      <c r="O45" s="60">
        <f>'0. Database'!P12</f>
        <v>145871.3</v>
      </c>
      <c r="P45" s="60">
        <f>'0. Database'!Q12</f>
        <v>245263.45</v>
      </c>
      <c r="Q45" s="60">
        <f>'0. Database'!R12</f>
        <v>286760.35</v>
      </c>
      <c r="R45" s="60">
        <f>'0. Database'!S12</f>
        <v>300210.91</v>
      </c>
      <c r="S45" s="60">
        <f>'0. Database'!T12</f>
        <v>304616.04</v>
      </c>
    </row>
    <row r="46" customHeight="1" spans="1:19">
      <c r="A46" s="59" t="s">
        <v>38</v>
      </c>
      <c r="B46" s="60">
        <f>'0. Database'!C28</f>
        <v>3443</v>
      </c>
      <c r="C46" s="60">
        <f>'0. Database'!D28</f>
        <v>4892</v>
      </c>
      <c r="D46" s="60">
        <f>'0. Database'!E28</f>
        <v>4588</v>
      </c>
      <c r="E46" s="60">
        <f>'0. Database'!F28</f>
        <v>6736</v>
      </c>
      <c r="F46" s="60">
        <f>'0. Database'!G28</f>
        <v>10057</v>
      </c>
      <c r="G46" s="60">
        <f>'0. Database'!H28</f>
        <v>11322</v>
      </c>
      <c r="H46" s="60">
        <f>'0. Database'!I28</f>
        <v>12690</v>
      </c>
      <c r="I46" s="60">
        <f>'0. Database'!J28</f>
        <v>35046</v>
      </c>
      <c r="J46" s="60">
        <f>'0. Database'!K28</f>
        <v>55396</v>
      </c>
      <c r="K46" s="60">
        <f>'0. Database'!L28</f>
        <v>58321</v>
      </c>
      <c r="L46" s="60">
        <f>'0. Database'!M28</f>
        <v>48133</v>
      </c>
      <c r="M46" s="60">
        <f>'0. Database'!N28</f>
        <v>77658</v>
      </c>
      <c r="N46" s="60">
        <f>'0. Database'!O28</f>
        <v>128320</v>
      </c>
      <c r="O46" s="60">
        <f>'0. Database'!P28</f>
        <v>200104.98</v>
      </c>
      <c r="P46" s="60">
        <f>'0. Database'!Q28</f>
        <v>270141.72</v>
      </c>
      <c r="Q46" s="60">
        <f>'0. Database'!R28</f>
        <v>283648.81</v>
      </c>
      <c r="R46" s="60">
        <f>'0. Database'!S28</f>
        <v>297831.25</v>
      </c>
      <c r="S46" s="60">
        <f>'0. Database'!T28</f>
        <v>312722.81</v>
      </c>
    </row>
    <row r="47" customHeight="1" spans="1:19">
      <c r="A47" s="59" t="s">
        <v>42</v>
      </c>
      <c r="B47" s="60">
        <f>'0. Database'!C43</f>
        <v>7358</v>
      </c>
      <c r="C47" s="60">
        <f>'0. Database'!D43</f>
        <v>10959</v>
      </c>
      <c r="D47" s="60">
        <f>'0. Database'!E43</f>
        <v>9915</v>
      </c>
      <c r="E47" s="60">
        <f>'0. Database'!F43</f>
        <v>10183</v>
      </c>
      <c r="F47" s="60">
        <f>'0. Database'!G43</f>
        <v>13184</v>
      </c>
      <c r="G47" s="60">
        <f>'0. Database'!H43</f>
        <v>25139</v>
      </c>
      <c r="H47" s="60">
        <f>'0. Database'!I43</f>
        <v>23548</v>
      </c>
      <c r="I47" s="60">
        <f>'0. Database'!J43</f>
        <v>22281</v>
      </c>
      <c r="J47" s="60">
        <f>'0. Database'!K43</f>
        <v>24640</v>
      </c>
      <c r="K47" s="60">
        <f>'0. Database'!L43</f>
        <v>31485</v>
      </c>
      <c r="L47" s="60">
        <f>'0. Database'!M43</f>
        <v>32251</v>
      </c>
      <c r="M47" s="60">
        <f>'0. Database'!N43</f>
        <v>52535</v>
      </c>
      <c r="N47" s="60">
        <f>'0. Database'!O43</f>
        <v>91447</v>
      </c>
      <c r="O47" s="60">
        <f>'0. Database'!P43</f>
        <v>185234.28</v>
      </c>
      <c r="P47" s="60">
        <f>'0. Database'!Q43</f>
        <v>259327.99</v>
      </c>
      <c r="Q47" s="60">
        <f>'0. Database'!R43</f>
        <v>285260.79</v>
      </c>
      <c r="R47" s="60">
        <f>'0. Database'!S43</f>
        <v>299523.83</v>
      </c>
      <c r="S47" s="60">
        <f>'0. Database'!T43</f>
        <v>314500.02</v>
      </c>
    </row>
    <row r="48" customHeight="1" spans="1:19">
      <c r="A48" s="59" t="s">
        <v>48</v>
      </c>
      <c r="B48" s="60">
        <f>'0. Database'!C60</f>
        <v>1362</v>
      </c>
      <c r="C48" s="60">
        <f>'0. Database'!D60</f>
        <v>1831</v>
      </c>
      <c r="D48" s="60">
        <f>'0. Database'!E60</f>
        <v>2523</v>
      </c>
      <c r="E48" s="60">
        <f>'0. Database'!F60</f>
        <v>4491</v>
      </c>
      <c r="F48" s="60">
        <f>'0. Database'!G60</f>
        <v>6732</v>
      </c>
      <c r="G48" s="60">
        <f>'0. Database'!H60</f>
        <v>13980</v>
      </c>
      <c r="H48" s="60">
        <f>'0. Database'!I60</f>
        <v>15102</v>
      </c>
      <c r="I48" s="60">
        <f>'0. Database'!J60</f>
        <v>15115</v>
      </c>
      <c r="J48" s="60">
        <f>'0. Database'!K60</f>
        <v>18567</v>
      </c>
      <c r="K48" s="60">
        <f>'0. Database'!L60</f>
        <v>31186</v>
      </c>
      <c r="L48" s="60">
        <f>'0. Database'!M60</f>
        <v>27045</v>
      </c>
      <c r="M48" s="60">
        <f>'0. Database'!N60</f>
        <v>37256</v>
      </c>
      <c r="N48" s="60">
        <f>'0. Database'!O60</f>
        <v>69691</v>
      </c>
      <c r="O48" s="60">
        <f>'0. Database'!P60</f>
        <v>135583.71</v>
      </c>
      <c r="P48" s="60">
        <f>'0. Database'!Q60</f>
        <v>165714.44</v>
      </c>
      <c r="Q48" s="60">
        <f>'0. Database'!R60</f>
        <v>185600.17</v>
      </c>
      <c r="R48" s="60">
        <f>'0. Database'!S60</f>
        <v>196736.18</v>
      </c>
      <c r="S48" s="60">
        <f>'0. Database'!T60</f>
        <v>208540.35</v>
      </c>
    </row>
    <row r="49" customHeight="1" spans="1:19">
      <c r="A49" s="59" t="s">
        <v>55</v>
      </c>
      <c r="B49" s="60">
        <f>'0. Database'!C78</f>
        <v>650</v>
      </c>
      <c r="C49" s="60">
        <f>'0. Database'!D78</f>
        <v>580</v>
      </c>
      <c r="D49" s="60">
        <f>'0. Database'!E78</f>
        <v>1391</v>
      </c>
      <c r="E49" s="60">
        <f>'0. Database'!F78</f>
        <v>1189</v>
      </c>
      <c r="F49" s="60">
        <f>'0. Database'!G78</f>
        <v>2021</v>
      </c>
      <c r="G49" s="60">
        <f>'0. Database'!H78</f>
        <v>1736</v>
      </c>
      <c r="H49" s="60">
        <f>'0. Database'!I78</f>
        <v>1660</v>
      </c>
      <c r="I49" s="60">
        <f>'0. Database'!J78</f>
        <v>1564</v>
      </c>
      <c r="J49" s="60">
        <f>'0. Database'!K78</f>
        <v>2135</v>
      </c>
      <c r="K49" s="60">
        <f>'0. Database'!L78</f>
        <v>4511</v>
      </c>
      <c r="L49" s="60">
        <f>'0. Database'!M78</f>
        <v>8695</v>
      </c>
      <c r="M49" s="60">
        <f>'0. Database'!N78</f>
        <v>6866</v>
      </c>
      <c r="N49" s="60">
        <f>'0. Database'!O78</f>
        <v>21215</v>
      </c>
      <c r="O49" s="60">
        <f>'0. Database'!P78</f>
        <v>51882</v>
      </c>
      <c r="P49" s="60">
        <f>'0. Database'!Q78</f>
        <v>52141.41</v>
      </c>
      <c r="Q49" s="60">
        <f>'0. Database'!R78</f>
        <v>69869.49</v>
      </c>
      <c r="R49" s="60">
        <f>'0. Database'!S78</f>
        <v>81048.61</v>
      </c>
      <c r="S49" s="60">
        <f>'0. Database'!T78</f>
        <v>66459.86</v>
      </c>
    </row>
    <row r="51" customHeight="1" spans="1:19">
      <c r="A51" s="58" t="s">
        <v>99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customHeight="1" spans="1:19">
      <c r="A52" s="10" t="s">
        <v>76</v>
      </c>
      <c r="B52" s="10" t="s">
        <v>3</v>
      </c>
      <c r="C52" s="10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0" t="s">
        <v>9</v>
      </c>
      <c r="I52" s="10" t="s">
        <v>10</v>
      </c>
      <c r="J52" s="10" t="s">
        <v>11</v>
      </c>
      <c r="K52" s="10" t="s">
        <v>12</v>
      </c>
      <c r="L52" s="10" t="s">
        <v>13</v>
      </c>
      <c r="M52" s="10" t="s">
        <v>14</v>
      </c>
      <c r="N52" s="10" t="s">
        <v>15</v>
      </c>
      <c r="O52" s="10" t="s">
        <v>16</v>
      </c>
      <c r="P52" s="10" t="s">
        <v>17</v>
      </c>
      <c r="Q52" s="10" t="s">
        <v>18</v>
      </c>
      <c r="R52" s="10" t="s">
        <v>19</v>
      </c>
      <c r="S52" s="10" t="s">
        <v>20</v>
      </c>
    </row>
    <row r="53" customHeight="1" spans="1:19">
      <c r="A53" s="59" t="s">
        <v>22</v>
      </c>
      <c r="B53" s="17">
        <f t="shared" ref="B53:S53" si="0">IFERROR(B13/B29,"")</f>
        <v>0.315688062788218</v>
      </c>
      <c r="C53" s="17">
        <f t="shared" si="0"/>
        <v>0.308016537491507</v>
      </c>
      <c r="D53" s="17">
        <f t="shared" si="0"/>
        <v>0.247232314597136</v>
      </c>
      <c r="E53" s="17">
        <f t="shared" si="0"/>
        <v>0.285900140646976</v>
      </c>
      <c r="F53" s="17">
        <f t="shared" si="0"/>
        <v>0.303476198858871</v>
      </c>
      <c r="G53" s="17">
        <f t="shared" si="0"/>
        <v>0.274411018484958</v>
      </c>
      <c r="H53" s="17">
        <f t="shared" si="0"/>
        <v>0.280389056204954</v>
      </c>
      <c r="I53" s="17">
        <f t="shared" si="0"/>
        <v>0.291402999685348</v>
      </c>
      <c r="J53" s="17">
        <f t="shared" si="0"/>
        <v>0.312574365808386</v>
      </c>
      <c r="K53" s="17">
        <f t="shared" si="0"/>
        <v>0.301785444091391</v>
      </c>
      <c r="L53" s="17">
        <f t="shared" si="0"/>
        <v>0.262756293797041</v>
      </c>
      <c r="M53" s="17">
        <f t="shared" si="0"/>
        <v>0.256394774846811</v>
      </c>
      <c r="N53" s="17">
        <f t="shared" si="0"/>
        <v>0.170244636594681</v>
      </c>
      <c r="O53" s="17">
        <f t="shared" si="0"/>
        <v>0.0870776441882145</v>
      </c>
      <c r="P53" s="17">
        <f t="shared" si="0"/>
        <v>-0.0340107047798638</v>
      </c>
      <c r="Q53" s="17">
        <f t="shared" si="0"/>
        <v>0.0168509930121888</v>
      </c>
      <c r="R53" s="17">
        <f t="shared" si="0"/>
        <v>0.107386474170842</v>
      </c>
      <c r="S53" s="17">
        <f t="shared" si="0"/>
        <v>0.205175364126026</v>
      </c>
    </row>
    <row r="54" customHeight="1" spans="1:19">
      <c r="A54" s="59" t="s">
        <v>38</v>
      </c>
      <c r="B54" s="17">
        <f t="shared" ref="B54:S54" si="1">IFERROR(B14/B30,"")</f>
        <v>0.0272789545082132</v>
      </c>
      <c r="C54" s="17">
        <f t="shared" si="1"/>
        <v>0.0219062259800154</v>
      </c>
      <c r="D54" s="17">
        <f t="shared" si="1"/>
        <v>0.0685200725936531</v>
      </c>
      <c r="E54" s="17">
        <f t="shared" si="1"/>
        <v>0.0774706405759374</v>
      </c>
      <c r="F54" s="17">
        <f t="shared" si="1"/>
        <v>0.0470972529882046</v>
      </c>
      <c r="G54" s="17">
        <f t="shared" si="1"/>
        <v>0.0833107902115618</v>
      </c>
      <c r="H54" s="17">
        <f t="shared" si="1"/>
        <v>0.0920605157527752</v>
      </c>
      <c r="I54" s="17">
        <f t="shared" si="1"/>
        <v>0.0803441916366198</v>
      </c>
      <c r="J54" s="17">
        <f t="shared" si="1"/>
        <v>-0.0193030551996288</v>
      </c>
      <c r="K54" s="17">
        <f t="shared" si="1"/>
        <v>-0.0225085265465978</v>
      </c>
      <c r="L54" s="17">
        <f t="shared" si="1"/>
        <v>0.0640465565385318</v>
      </c>
      <c r="M54" s="17">
        <f t="shared" si="1"/>
        <v>0.0599082386172152</v>
      </c>
      <c r="N54" s="17">
        <f t="shared" si="1"/>
        <v>0.0156139283940836</v>
      </c>
      <c r="O54" s="17">
        <f t="shared" si="1"/>
        <v>-0.023079605254962</v>
      </c>
      <c r="P54" s="17">
        <f t="shared" si="1"/>
        <v>-0.0482743797157437</v>
      </c>
      <c r="Q54" s="17">
        <f t="shared" si="1"/>
        <v>-0.00204741549459708</v>
      </c>
      <c r="R54" s="17">
        <f t="shared" si="1"/>
        <v>0.0380208742034563</v>
      </c>
      <c r="S54" s="17">
        <f t="shared" si="1"/>
        <v>0.0676854238008576</v>
      </c>
    </row>
    <row r="55" customHeight="1" spans="1:19">
      <c r="A55" s="59" t="s">
        <v>42</v>
      </c>
      <c r="B55" s="17">
        <f t="shared" ref="B55:S55" si="2">IFERROR(B15/B31,"")</f>
        <v>0.202201048289775</v>
      </c>
      <c r="C55" s="17">
        <f t="shared" si="2"/>
        <v>0.171406493841002</v>
      </c>
      <c r="D55" s="17">
        <f t="shared" si="2"/>
        <v>0.212217791942818</v>
      </c>
      <c r="E55" s="17">
        <f t="shared" si="2"/>
        <v>0.286390021269054</v>
      </c>
      <c r="F55" s="17">
        <f t="shared" si="2"/>
        <v>0.215660096522484</v>
      </c>
      <c r="G55" s="17">
        <f t="shared" si="2"/>
        <v>0.16687740737763</v>
      </c>
      <c r="H55" s="17">
        <f t="shared" si="2"/>
        <v>0.191354096517296</v>
      </c>
      <c r="I55" s="17">
        <f t="shared" si="2"/>
        <v>0.234721438472116</v>
      </c>
      <c r="J55" s="17">
        <f t="shared" si="2"/>
        <v>0.260102392125355</v>
      </c>
      <c r="K55" s="17">
        <f t="shared" si="2"/>
        <v>0.212172425009546</v>
      </c>
      <c r="L55" s="17">
        <f t="shared" si="2"/>
        <v>0.226077932555613</v>
      </c>
      <c r="M55" s="17">
        <f t="shared" si="2"/>
        <v>0.20788645155392</v>
      </c>
      <c r="N55" s="17">
        <f t="shared" si="2"/>
        <v>0.181875502685957</v>
      </c>
      <c r="O55" s="17">
        <f t="shared" si="2"/>
        <v>0.0547867344585653</v>
      </c>
      <c r="P55" s="17">
        <f t="shared" si="2"/>
        <v>0.038886349386506</v>
      </c>
      <c r="Q55" s="17">
        <f t="shared" si="2"/>
        <v>0.0964950267850896</v>
      </c>
      <c r="R55" s="17">
        <f t="shared" si="2"/>
        <v>0.152957839304851</v>
      </c>
      <c r="S55" s="17">
        <f t="shared" si="2"/>
        <v>0.191313724274643</v>
      </c>
    </row>
    <row r="56" customHeight="1" spans="1:19">
      <c r="A56" s="59" t="s">
        <v>48</v>
      </c>
      <c r="B56" s="17">
        <f t="shared" ref="B56:S56" si="3">IFERROR(B16/B32,"")</f>
        <v>0.363313008130081</v>
      </c>
      <c r="C56" s="17">
        <f t="shared" si="3"/>
        <v>0.294946253810364</v>
      </c>
      <c r="D56" s="17">
        <f t="shared" si="3"/>
        <v>0.339376359680928</v>
      </c>
      <c r="E56" s="17">
        <f t="shared" si="3"/>
        <v>0.41862652869238</v>
      </c>
      <c r="F56" s="17">
        <f t="shared" si="3"/>
        <v>0.430078960962291</v>
      </c>
      <c r="G56" s="17">
        <f t="shared" si="3"/>
        <v>0.275063576775673</v>
      </c>
      <c r="H56" s="17">
        <f t="shared" si="3"/>
        <v>0.300021924706315</v>
      </c>
      <c r="I56" s="17">
        <f t="shared" si="3"/>
        <v>0.274899378824186</v>
      </c>
      <c r="J56" s="17">
        <f t="shared" si="3"/>
        <v>0.331691102273402</v>
      </c>
      <c r="K56" s="17">
        <f t="shared" si="3"/>
        <v>0.165416048503975</v>
      </c>
      <c r="L56" s="17">
        <f t="shared" si="3"/>
        <v>0.326669187033454</v>
      </c>
      <c r="M56" s="17">
        <f t="shared" si="3"/>
        <v>0.328705167173252</v>
      </c>
      <c r="N56" s="17">
        <f t="shared" si="3"/>
        <v>0.22943796183415</v>
      </c>
      <c r="O56" s="17">
        <f t="shared" si="3"/>
        <v>0.175043918782818</v>
      </c>
      <c r="P56" s="17">
        <f t="shared" si="3"/>
        <v>0.131811792884918</v>
      </c>
      <c r="Q56" s="17">
        <f t="shared" si="3"/>
        <v>0.161332271886239</v>
      </c>
      <c r="R56" s="17">
        <f t="shared" si="3"/>
        <v>0.201986994195707</v>
      </c>
      <c r="S56" s="17">
        <f t="shared" si="3"/>
        <v>0.232222402165681</v>
      </c>
    </row>
    <row r="57" customHeight="1" spans="1:19">
      <c r="A57" s="59" t="s">
        <v>55</v>
      </c>
      <c r="B57" s="17">
        <f t="shared" ref="B57:S57" si="4">IFERROR(B17/B33,"")</f>
        <v>0.364400182535635</v>
      </c>
      <c r="C57" s="17">
        <f t="shared" si="4"/>
        <v>0.374389766349041</v>
      </c>
      <c r="D57" s="17">
        <f t="shared" si="4"/>
        <v>0.338404830993648</v>
      </c>
      <c r="E57" s="17">
        <f t="shared" si="4"/>
        <v>0.333837061823677</v>
      </c>
      <c r="F57" s="17">
        <f t="shared" si="4"/>
        <v>0.319375181403203</v>
      </c>
      <c r="G57" s="17">
        <f t="shared" si="4"/>
        <v>0.346174329842002</v>
      </c>
      <c r="H57" s="17">
        <f t="shared" si="4"/>
        <v>0.326148007590133</v>
      </c>
      <c r="I57" s="17">
        <f t="shared" si="4"/>
        <v>0.296240370588386</v>
      </c>
      <c r="J57" s="17">
        <f t="shared" si="4"/>
        <v>0.339739630937971</v>
      </c>
      <c r="K57" s="17">
        <f t="shared" si="4"/>
        <v>0.118493909191584</v>
      </c>
      <c r="L57" s="17">
        <f t="shared" si="4"/>
        <v>0.169572615353818</v>
      </c>
      <c r="M57" s="17">
        <f t="shared" si="4"/>
        <v>0.222937633352845</v>
      </c>
      <c r="N57" s="17">
        <f t="shared" si="4"/>
        <v>-0.00686423108416523</v>
      </c>
      <c r="O57" s="17">
        <f t="shared" si="4"/>
        <v>-0.392719666204713</v>
      </c>
      <c r="P57" s="17">
        <f t="shared" si="4"/>
        <v>-0.207778894870831</v>
      </c>
      <c r="Q57" s="17">
        <f t="shared" si="4"/>
        <v>-0.157332154596774</v>
      </c>
      <c r="R57" s="17">
        <f t="shared" si="4"/>
        <v>-0.0878947867996312</v>
      </c>
      <c r="S57" s="17">
        <f t="shared" si="4"/>
        <v>0.0997238124658188</v>
      </c>
    </row>
    <row r="59" customHeight="1" spans="1:19">
      <c r="A59" s="58" t="s">
        <v>100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customHeight="1" spans="1:19">
      <c r="A60" s="10" t="s">
        <v>76</v>
      </c>
      <c r="B60" s="10" t="s">
        <v>3</v>
      </c>
      <c r="C60" s="10" t="s">
        <v>4</v>
      </c>
      <c r="D60" s="10" t="s">
        <v>5</v>
      </c>
      <c r="E60" s="10" t="s">
        <v>6</v>
      </c>
      <c r="F60" s="10" t="s">
        <v>7</v>
      </c>
      <c r="G60" s="10" t="s">
        <v>8</v>
      </c>
      <c r="H60" s="10" t="s">
        <v>9</v>
      </c>
      <c r="I60" s="10" t="s">
        <v>10</v>
      </c>
      <c r="J60" s="10" t="s">
        <v>11</v>
      </c>
      <c r="K60" s="10" t="s">
        <v>12</v>
      </c>
      <c r="L60" s="10" t="s">
        <v>13</v>
      </c>
      <c r="M60" s="10" t="s">
        <v>14</v>
      </c>
      <c r="N60" s="10" t="s">
        <v>15</v>
      </c>
      <c r="O60" s="10" t="s">
        <v>16</v>
      </c>
      <c r="P60" s="10" t="s">
        <v>17</v>
      </c>
      <c r="Q60" s="10" t="s">
        <v>18</v>
      </c>
      <c r="R60" s="10" t="s">
        <v>19</v>
      </c>
      <c r="S60" s="10" t="s">
        <v>20</v>
      </c>
    </row>
    <row r="61" customHeight="1" spans="1:19">
      <c r="A61" s="59" t="s">
        <v>22</v>
      </c>
      <c r="B61" s="17">
        <f t="shared" ref="B61:S61" si="5">IFERROR(B13/B37,"")</f>
        <v>1.12409092988153</v>
      </c>
      <c r="C61" s="17">
        <f t="shared" si="5"/>
        <v>1.21165171695207</v>
      </c>
      <c r="D61" s="17">
        <f t="shared" si="5"/>
        <v>1.89748216189617</v>
      </c>
      <c r="E61" s="17">
        <f t="shared" si="5"/>
        <v>1.45213715918562</v>
      </c>
      <c r="F61" s="17">
        <f t="shared" si="5"/>
        <v>1.14979010553572</v>
      </c>
      <c r="G61" s="17">
        <f t="shared" si="5"/>
        <v>1.82753002232816</v>
      </c>
      <c r="H61" s="17">
        <f t="shared" si="5"/>
        <v>0.89920998980632</v>
      </c>
      <c r="I61" s="17">
        <f t="shared" si="5"/>
        <v>0.941148573880445</v>
      </c>
      <c r="J61" s="17">
        <f t="shared" si="5"/>
        <v>0.857501917709846</v>
      </c>
      <c r="K61" s="17">
        <f t="shared" si="5"/>
        <v>0.822609915037532</v>
      </c>
      <c r="L61" s="17">
        <f t="shared" si="5"/>
        <v>0.76950290902558</v>
      </c>
      <c r="M61" s="17">
        <f t="shared" si="5"/>
        <v>0.713079785785604</v>
      </c>
      <c r="N61" s="17">
        <f t="shared" si="5"/>
        <v>0.470991436876424</v>
      </c>
      <c r="O61" s="17">
        <f t="shared" si="5"/>
        <v>0.221738005946533</v>
      </c>
      <c r="P61" s="17">
        <f t="shared" si="5"/>
        <v>-0.0908155365093678</v>
      </c>
      <c r="Q61" s="17">
        <f t="shared" si="5"/>
        <v>0.0444548368456259</v>
      </c>
      <c r="R61" s="17">
        <f t="shared" si="5"/>
        <v>0.275958775567449</v>
      </c>
      <c r="S61" s="17">
        <f t="shared" si="5"/>
        <v>0.517218413740871</v>
      </c>
    </row>
    <row r="62" customHeight="1" spans="1:19">
      <c r="A62" s="59" t="s">
        <v>38</v>
      </c>
      <c r="B62" s="17">
        <f t="shared" ref="B62:S62" si="6">IFERROR(B14/B38,"")</f>
        <v>7.43956043956044</v>
      </c>
      <c r="C62" s="17">
        <f t="shared" si="6"/>
        <v>-8.10224438902743</v>
      </c>
      <c r="D62" s="17">
        <f t="shared" si="6"/>
        <v>12.3001174299614</v>
      </c>
      <c r="E62" s="17">
        <f t="shared" si="6"/>
        <v>4.44327288064108</v>
      </c>
      <c r="F62" s="17">
        <f t="shared" si="6"/>
        <v>2.76195186284207</v>
      </c>
      <c r="G62" s="17">
        <f t="shared" si="6"/>
        <v>1.92613918395711</v>
      </c>
      <c r="H62" s="17">
        <f t="shared" si="6"/>
        <v>2.22859855022437</v>
      </c>
      <c r="I62" s="17">
        <f t="shared" si="6"/>
        <v>1.4541277952276</v>
      </c>
      <c r="J62" s="17">
        <f t="shared" si="6"/>
        <v>-0.271819925668385</v>
      </c>
      <c r="K62" s="17">
        <f t="shared" si="6"/>
        <v>4.25018368846436</v>
      </c>
      <c r="L62" s="17">
        <f t="shared" si="6"/>
        <v>1.20995891536565</v>
      </c>
      <c r="M62" s="17">
        <f t="shared" si="6"/>
        <v>0.645068187955712</v>
      </c>
      <c r="N62" s="17">
        <f t="shared" si="6"/>
        <v>0.144122569846788</v>
      </c>
      <c r="O62" s="17">
        <f t="shared" si="6"/>
        <v>-0.194243337890604</v>
      </c>
      <c r="P62" s="17">
        <f t="shared" si="6"/>
        <v>-0.393208132275096</v>
      </c>
      <c r="Q62" s="17">
        <f t="shared" si="6"/>
        <v>-0.015012784760896</v>
      </c>
      <c r="R62" s="17">
        <f t="shared" si="6"/>
        <v>0.253889461451369</v>
      </c>
      <c r="S62" s="17">
        <f t="shared" si="6"/>
        <v>0.416926682753729</v>
      </c>
    </row>
    <row r="63" customHeight="1" spans="1:19">
      <c r="A63" s="59" t="s">
        <v>42</v>
      </c>
      <c r="B63" s="17">
        <f t="shared" ref="B63:S63" si="7">IFERROR(B15/B39,"")</f>
        <v>0.882547169811321</v>
      </c>
      <c r="C63" s="17">
        <f t="shared" si="7"/>
        <v>0.800297113752122</v>
      </c>
      <c r="D63" s="17">
        <f t="shared" si="7"/>
        <v>0.973452410080744</v>
      </c>
      <c r="E63" s="17">
        <f t="shared" si="7"/>
        <v>1.32729232980799</v>
      </c>
      <c r="F63" s="17">
        <f t="shared" si="7"/>
        <v>1.88809034907598</v>
      </c>
      <c r="G63" s="17">
        <f t="shared" si="7"/>
        <v>0.742842269651223</v>
      </c>
      <c r="H63" s="17">
        <f t="shared" si="7"/>
        <v>0.901843170369508</v>
      </c>
      <c r="I63" s="17">
        <f t="shared" si="7"/>
        <v>1.06392013707815</v>
      </c>
      <c r="J63" s="17">
        <f t="shared" si="7"/>
        <v>0.881354148856418</v>
      </c>
      <c r="K63" s="17">
        <f t="shared" si="7"/>
        <v>1.00063362902688</v>
      </c>
      <c r="L63" s="17">
        <f t="shared" si="7"/>
        <v>0.941730469544007</v>
      </c>
      <c r="M63" s="17">
        <f t="shared" si="7"/>
        <v>0.726782396771809</v>
      </c>
      <c r="N63" s="17">
        <f t="shared" si="7"/>
        <v>0.554331542710146</v>
      </c>
      <c r="O63" s="17">
        <f t="shared" si="7"/>
        <v>0.158720003550423</v>
      </c>
      <c r="P63" s="17">
        <f t="shared" si="7"/>
        <v>0.131813659711326</v>
      </c>
      <c r="Q63" s="17">
        <f t="shared" si="7"/>
        <v>0.321147830374679</v>
      </c>
      <c r="R63" s="17">
        <f t="shared" si="7"/>
        <v>0.499834421292195</v>
      </c>
      <c r="S63" s="17">
        <f t="shared" si="7"/>
        <v>0.616721256375016</v>
      </c>
    </row>
    <row r="64" customHeight="1" spans="1:19">
      <c r="A64" s="59" t="s">
        <v>48</v>
      </c>
      <c r="B64" s="17">
        <f t="shared" ref="B64:S64" si="8">IFERROR(B16/B40,"")</f>
        <v>1.91817572099262</v>
      </c>
      <c r="C64" s="17">
        <f t="shared" si="8"/>
        <v>1.25711159737418</v>
      </c>
      <c r="D64" s="17">
        <f t="shared" si="8"/>
        <v>1.65821749795585</v>
      </c>
      <c r="E64" s="17">
        <f t="shared" si="8"/>
        <v>1.13573896654625</v>
      </c>
      <c r="F64" s="17">
        <f t="shared" si="8"/>
        <v>1.09831019536403</v>
      </c>
      <c r="G64" s="17">
        <f t="shared" si="8"/>
        <v>0.6946002170767</v>
      </c>
      <c r="H64" s="17">
        <f t="shared" si="8"/>
        <v>1.14747491141226</v>
      </c>
      <c r="I64" s="17">
        <f t="shared" si="8"/>
        <v>0.810842340024018</v>
      </c>
      <c r="J64" s="17">
        <f t="shared" si="8"/>
        <v>0.993548387096774</v>
      </c>
      <c r="K64" s="17">
        <f t="shared" si="8"/>
        <v>0.831458252510884</v>
      </c>
      <c r="L64" s="17">
        <f t="shared" si="8"/>
        <v>1.12714530526639</v>
      </c>
      <c r="M64" s="17">
        <f t="shared" si="8"/>
        <v>0.867094291212316</v>
      </c>
      <c r="N64" s="17">
        <f t="shared" si="8"/>
        <v>0.762661682490324</v>
      </c>
      <c r="O64" s="17">
        <f t="shared" si="8"/>
        <v>0.520697607890434</v>
      </c>
      <c r="P64" s="17">
        <f t="shared" si="8"/>
        <v>0.443046331027302</v>
      </c>
      <c r="Q64" s="17">
        <f t="shared" si="8"/>
        <v>0.557257900735515</v>
      </c>
      <c r="R64" s="17">
        <f t="shared" si="8"/>
        <v>0.710248475353161</v>
      </c>
      <c r="S64" s="17">
        <f t="shared" si="8"/>
        <v>0.828908745452131</v>
      </c>
    </row>
    <row r="65" customHeight="1" spans="1:19">
      <c r="A65" s="59" t="s">
        <v>55</v>
      </c>
      <c r="B65" s="17">
        <f t="shared" ref="B65:S65" si="9">IFERROR(B17/B41,"")</f>
        <v>1.24244920373421</v>
      </c>
      <c r="C65" s="17">
        <f t="shared" si="9"/>
        <v>1.30908261068005</v>
      </c>
      <c r="D65" s="17">
        <f t="shared" si="9"/>
        <v>1.30257597102033</v>
      </c>
      <c r="E65" s="17">
        <f t="shared" si="9"/>
        <v>1.39</v>
      </c>
      <c r="F65" s="17">
        <f t="shared" si="9"/>
        <v>1.29676451682023</v>
      </c>
      <c r="G65" s="17">
        <f t="shared" si="9"/>
        <v>3.80540841929189</v>
      </c>
      <c r="H65" s="17">
        <f t="shared" si="9"/>
        <v>1.16313272579626</v>
      </c>
      <c r="I65" s="17">
        <f t="shared" si="9"/>
        <v>1.14208189442526</v>
      </c>
      <c r="J65" s="17">
        <f t="shared" si="9"/>
        <v>1.00043645886375</v>
      </c>
      <c r="K65" s="17">
        <f t="shared" si="9"/>
        <v>0.748585888657338</v>
      </c>
      <c r="L65" s="17">
        <f t="shared" si="9"/>
        <v>0.996119473189087</v>
      </c>
      <c r="M65" s="17">
        <f t="shared" si="9"/>
        <v>1.12802140059234</v>
      </c>
      <c r="N65" s="17">
        <f t="shared" si="9"/>
        <v>-0.0316643896166519</v>
      </c>
      <c r="O65" s="17">
        <f t="shared" si="9"/>
        <v>-1.670285167077</v>
      </c>
      <c r="P65" s="17">
        <f t="shared" si="9"/>
        <v>-1.38044540563193</v>
      </c>
      <c r="Q65" s="17">
        <f t="shared" si="9"/>
        <v>-0.737079979355155</v>
      </c>
      <c r="R65" s="17">
        <f t="shared" si="9"/>
        <v>-0.364495182857611</v>
      </c>
      <c r="S65" s="17">
        <f t="shared" si="9"/>
        <v>0.419555110954715</v>
      </c>
    </row>
    <row r="67" customHeight="1" spans="1:19">
      <c r="A67" s="58" t="s">
        <v>101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customHeight="1" spans="1:19">
      <c r="A68" s="10" t="s">
        <v>76</v>
      </c>
      <c r="B68" s="10" t="s">
        <v>3</v>
      </c>
      <c r="C68" s="10" t="s">
        <v>4</v>
      </c>
      <c r="D68" s="10" t="s">
        <v>5</v>
      </c>
      <c r="E68" s="10" t="s">
        <v>6</v>
      </c>
      <c r="F68" s="10" t="s">
        <v>7</v>
      </c>
      <c r="G68" s="10" t="s">
        <v>8</v>
      </c>
      <c r="H68" s="10" t="s">
        <v>9</v>
      </c>
      <c r="I68" s="10" t="s">
        <v>10</v>
      </c>
      <c r="J68" s="10" t="s">
        <v>11</v>
      </c>
      <c r="K68" s="10" t="s">
        <v>12</v>
      </c>
      <c r="L68" s="10" t="s">
        <v>13</v>
      </c>
      <c r="M68" s="10" t="s">
        <v>14</v>
      </c>
      <c r="N68" s="10" t="s">
        <v>15</v>
      </c>
      <c r="O68" s="10" t="s">
        <v>16</v>
      </c>
      <c r="P68" s="10" t="s">
        <v>17</v>
      </c>
      <c r="Q68" s="10" t="s">
        <v>18</v>
      </c>
      <c r="R68" s="10" t="s">
        <v>19</v>
      </c>
      <c r="S68" s="10" t="s">
        <v>20</v>
      </c>
    </row>
    <row r="69" customHeight="1" spans="1:19">
      <c r="A69" s="59" t="s">
        <v>22</v>
      </c>
      <c r="B69" s="62">
        <f t="shared" ref="B69:S69" si="10">IFERROR(B45/B5,"")</f>
        <v>0.147643325356363</v>
      </c>
      <c r="C69" s="62">
        <f t="shared" si="10"/>
        <v>0.170177779156712</v>
      </c>
      <c r="D69" s="62">
        <f t="shared" si="10"/>
        <v>0.204401650618982</v>
      </c>
      <c r="E69" s="62">
        <f t="shared" si="10"/>
        <v>0.268027006751688</v>
      </c>
      <c r="F69" s="62">
        <f t="shared" si="10"/>
        <v>0.2581820943124</v>
      </c>
      <c r="G69" s="62">
        <f t="shared" si="10"/>
        <v>0.309907939112205</v>
      </c>
      <c r="H69" s="62">
        <f t="shared" si="10"/>
        <v>0.323847848998754</v>
      </c>
      <c r="I69" s="62">
        <f t="shared" si="10"/>
        <v>0.313143798928719</v>
      </c>
      <c r="J69" s="62">
        <f t="shared" si="10"/>
        <v>0.315350534271566</v>
      </c>
      <c r="K69" s="62">
        <f t="shared" si="10"/>
        <v>0.327960914247206</v>
      </c>
      <c r="L69" s="62">
        <f t="shared" si="10"/>
        <v>0.364230092941472</v>
      </c>
      <c r="M69" s="62">
        <f t="shared" si="10"/>
        <v>0.469851874346256</v>
      </c>
      <c r="N69" s="62">
        <f t="shared" si="10"/>
        <v>0.647757817893392</v>
      </c>
      <c r="O69" s="62">
        <f t="shared" si="10"/>
        <v>0.835660064741738</v>
      </c>
      <c r="P69" s="62">
        <f t="shared" si="10"/>
        <v>1.05672467009379</v>
      </c>
      <c r="Q69" s="62">
        <f t="shared" si="10"/>
        <v>0.973486808838704</v>
      </c>
      <c r="R69" s="62">
        <f t="shared" si="10"/>
        <v>0.83467884493543</v>
      </c>
      <c r="S69" s="62">
        <f t="shared" si="10"/>
        <v>0.694599940850382</v>
      </c>
    </row>
    <row r="70" customHeight="1" spans="1:19">
      <c r="A70" s="59" t="s">
        <v>38</v>
      </c>
      <c r="B70" s="62">
        <f t="shared" ref="B70:S70" si="11">IFERROR(B46/B6,"")</f>
        <v>0.62897332846182</v>
      </c>
      <c r="C70" s="62">
        <f t="shared" si="11"/>
        <v>0.715058321396206</v>
      </c>
      <c r="D70" s="62">
        <f t="shared" si="11"/>
        <v>0.384896099864934</v>
      </c>
      <c r="E70" s="62">
        <f t="shared" si="11"/>
        <v>0.390017949163337</v>
      </c>
      <c r="F70" s="62">
        <f t="shared" si="11"/>
        <v>0.545567972225236</v>
      </c>
      <c r="G70" s="62">
        <f t="shared" si="11"/>
        <v>0.368506704856139</v>
      </c>
      <c r="H70" s="62">
        <f t="shared" si="11"/>
        <v>0.329482019992211</v>
      </c>
      <c r="I70" s="62">
        <f t="shared" si="11"/>
        <v>0.53048558973117</v>
      </c>
      <c r="J70" s="62">
        <f t="shared" si="11"/>
        <v>1.19576057158892</v>
      </c>
      <c r="K70" s="62">
        <f t="shared" si="11"/>
        <v>1.24745465434634</v>
      </c>
      <c r="L70" s="62">
        <f t="shared" si="11"/>
        <v>0.566630565300308</v>
      </c>
      <c r="M70" s="62">
        <f t="shared" si="11"/>
        <v>0.67017613503974</v>
      </c>
      <c r="N70" s="62">
        <f t="shared" si="11"/>
        <v>0.919764324727268</v>
      </c>
      <c r="O70" s="62">
        <f t="shared" si="11"/>
        <v>1.10552605073327</v>
      </c>
      <c r="P70" s="62">
        <f t="shared" si="11"/>
        <v>1.20360571492985</v>
      </c>
      <c r="Q70" s="62">
        <f t="shared" si="11"/>
        <v>1.00773470271666</v>
      </c>
      <c r="R70" s="62">
        <f t="shared" si="11"/>
        <v>0.86878273673552</v>
      </c>
      <c r="S70" s="62">
        <f t="shared" si="11"/>
        <v>0.779701033017295</v>
      </c>
    </row>
    <row r="71" customHeight="1" spans="1:19">
      <c r="A71" s="59" t="s">
        <v>42</v>
      </c>
      <c r="B71" s="62">
        <f t="shared" ref="B71:S71" si="12">IFERROR(B47/B7,"")</f>
        <v>0.395931984502798</v>
      </c>
      <c r="C71" s="62">
        <f t="shared" si="12"/>
        <v>0.492052801724138</v>
      </c>
      <c r="D71" s="62">
        <f t="shared" si="12"/>
        <v>0.383870842851059</v>
      </c>
      <c r="E71" s="62">
        <f t="shared" si="12"/>
        <v>0.282578532578533</v>
      </c>
      <c r="F71" s="62">
        <f t="shared" si="12"/>
        <v>0.355450109190909</v>
      </c>
      <c r="G71" s="62">
        <f t="shared" si="12"/>
        <v>0.524045777657335</v>
      </c>
      <c r="H71" s="62">
        <f t="shared" si="12"/>
        <v>0.431914893617021</v>
      </c>
      <c r="I71" s="62">
        <f t="shared" si="12"/>
        <v>0.342131932927953</v>
      </c>
      <c r="J71" s="62">
        <f t="shared" si="12"/>
        <v>0.268843014882381</v>
      </c>
      <c r="K71" s="62">
        <f t="shared" si="12"/>
        <v>0.344117164872397</v>
      </c>
      <c r="L71" s="62">
        <f t="shared" si="12"/>
        <v>0.316975605920626</v>
      </c>
      <c r="M71" s="62">
        <f t="shared" si="12"/>
        <v>0.419277089202627</v>
      </c>
      <c r="N71" s="62">
        <f t="shared" si="12"/>
        <v>0.55518993643489</v>
      </c>
      <c r="O71" s="62">
        <f t="shared" si="12"/>
        <v>0.87380649249215</v>
      </c>
      <c r="P71" s="62">
        <f t="shared" si="12"/>
        <v>0.918475193982593</v>
      </c>
      <c r="Q71" s="62">
        <f t="shared" si="12"/>
        <v>0.808232897135465</v>
      </c>
      <c r="R71" s="62">
        <f t="shared" si="12"/>
        <v>0.706046425824751</v>
      </c>
      <c r="S71" s="62">
        <f t="shared" si="12"/>
        <v>0.64070266641283</v>
      </c>
    </row>
    <row r="72" customHeight="1" spans="1:19">
      <c r="A72" s="59" t="s">
        <v>48</v>
      </c>
      <c r="B72" s="62">
        <f t="shared" ref="B72:S72" si="13">IFERROR(B48/B8,"")</f>
        <v>0.322595926101374</v>
      </c>
      <c r="C72" s="62">
        <f t="shared" si="13"/>
        <v>0.332437633901013</v>
      </c>
      <c r="D72" s="62">
        <f t="shared" si="13"/>
        <v>0.293133495991635</v>
      </c>
      <c r="E72" s="62">
        <f t="shared" si="13"/>
        <v>0.279621443247618</v>
      </c>
      <c r="F72" s="62">
        <f t="shared" si="13"/>
        <v>0.277998017839445</v>
      </c>
      <c r="G72" s="62">
        <f t="shared" si="13"/>
        <v>0.476498858175125</v>
      </c>
      <c r="H72" s="62">
        <f t="shared" si="13"/>
        <v>0.415889845094664</v>
      </c>
      <c r="I72" s="62">
        <f t="shared" si="13"/>
        <v>0.390094717010349</v>
      </c>
      <c r="J72" s="62">
        <f t="shared" si="13"/>
        <v>0.321879929962034</v>
      </c>
      <c r="K72" s="62">
        <f t="shared" si="13"/>
        <v>0.617850421000495</v>
      </c>
      <c r="L72" s="62">
        <f t="shared" si="13"/>
        <v>0.380310210510033</v>
      </c>
      <c r="M72" s="62">
        <f t="shared" si="13"/>
        <v>0.407936229852838</v>
      </c>
      <c r="N72" s="62">
        <f t="shared" si="13"/>
        <v>0.601822107081174</v>
      </c>
      <c r="O72" s="62">
        <f t="shared" si="13"/>
        <v>0.752195442967637</v>
      </c>
      <c r="P72" s="62">
        <f t="shared" si="13"/>
        <v>0.804037166666602</v>
      </c>
      <c r="Q72" s="62">
        <f t="shared" si="13"/>
        <v>0.763001695251729</v>
      </c>
      <c r="R72" s="62">
        <f t="shared" si="13"/>
        <v>0.705107212855694</v>
      </c>
      <c r="S72" s="62">
        <f t="shared" si="13"/>
        <v>0.663130685781995</v>
      </c>
    </row>
    <row r="73" customHeight="1" spans="1:19">
      <c r="A73" s="59" t="s">
        <v>55</v>
      </c>
      <c r="B73" s="62">
        <f t="shared" ref="B73:S73" si="14">IFERROR(B49/B9,"")</f>
        <v>0.0456942003514939</v>
      </c>
      <c r="C73" s="62">
        <f t="shared" si="14"/>
        <v>0.0388713893170699</v>
      </c>
      <c r="D73" s="62">
        <f t="shared" si="14"/>
        <v>0.0970284598214286</v>
      </c>
      <c r="E73" s="62">
        <f t="shared" si="14"/>
        <v>0.0876843657817109</v>
      </c>
      <c r="F73" s="62">
        <f t="shared" si="14"/>
        <v>0.143079646017699</v>
      </c>
      <c r="G73" s="62">
        <f t="shared" si="14"/>
        <v>0.112829845313922</v>
      </c>
      <c r="H73" s="62">
        <f t="shared" si="14"/>
        <v>0.114081506425675</v>
      </c>
      <c r="I73" s="62">
        <f t="shared" si="14"/>
        <v>0.119034934165462</v>
      </c>
      <c r="J73" s="62">
        <f t="shared" si="14"/>
        <v>0.134378147029204</v>
      </c>
      <c r="K73" s="62">
        <f t="shared" si="14"/>
        <v>0.472851153039832</v>
      </c>
      <c r="L73" s="62">
        <f t="shared" si="14"/>
        <v>0.506524525224281</v>
      </c>
      <c r="M73" s="62">
        <f t="shared" si="14"/>
        <v>0.367696674342634</v>
      </c>
      <c r="N73" s="62">
        <f t="shared" si="14"/>
        <v>1.0189232025359</v>
      </c>
      <c r="O73" s="62">
        <f t="shared" si="14"/>
        <v>2.03801129504969</v>
      </c>
      <c r="P73" s="62">
        <f t="shared" si="14"/>
        <v>1.54748091521494</v>
      </c>
      <c r="Q73" s="62">
        <f t="shared" si="14"/>
        <v>1.39368399425926</v>
      </c>
      <c r="R73" s="62">
        <f t="shared" si="14"/>
        <v>1.21824464244996</v>
      </c>
      <c r="S73" s="62">
        <f t="shared" si="14"/>
        <v>0.782210890903125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showGridLines="0" workbookViewId="0">
      <selection activeCell="A1" sqref="A1:S1"/>
    </sheetView>
  </sheetViews>
  <sheetFormatPr defaultColWidth="8.67619047619048" defaultRowHeight="15"/>
  <cols>
    <col min="1" max="1" width="28" style="1" customWidth="1"/>
    <col min="2" max="20" width="10" style="1" customWidth="1"/>
  </cols>
  <sheetData>
    <row r="1" ht="25.5" customHeight="1" spans="1:19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customHeight="1" spans="1:19">
      <c r="A3" s="58" t="s">
        <v>103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customHeight="1" spans="1:19">
      <c r="A4" s="10" t="s">
        <v>76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</row>
    <row r="5" customHeight="1" spans="1:19">
      <c r="A5" s="59" t="s">
        <v>22</v>
      </c>
      <c r="B5" s="60">
        <f>'0. Database'!C6</f>
        <v>26764</v>
      </c>
      <c r="C5" s="60">
        <f>'0. Database'!D6</f>
        <v>27759</v>
      </c>
      <c r="D5" s="60">
        <f>'0. Database'!E6</f>
        <v>18161</v>
      </c>
      <c r="E5" s="60">
        <f>'0. Database'!F6</f>
        <v>20182</v>
      </c>
      <c r="F5" s="60">
        <f>'0. Database'!G6</f>
        <v>29025</v>
      </c>
      <c r="G5" s="60">
        <f>'0. Database'!H6</f>
        <v>35058</v>
      </c>
      <c r="H5" s="60">
        <f>'0. Database'!I6</f>
        <v>42959</v>
      </c>
      <c r="I5" s="60">
        <f>'0. Database'!J6</f>
        <v>52959</v>
      </c>
      <c r="J5" s="60">
        <f>'0. Database'!K6</f>
        <v>69916</v>
      </c>
      <c r="K5" s="60">
        <f>'0. Database'!L6</f>
        <v>83383</v>
      </c>
      <c r="L5" s="60">
        <f>'0. Database'!M6</f>
        <v>88523</v>
      </c>
      <c r="M5" s="60">
        <f>'0. Database'!N6</f>
        <v>109433</v>
      </c>
      <c r="N5" s="60">
        <f>'0. Database'!O6</f>
        <v>128528</v>
      </c>
      <c r="O5" s="60">
        <f>'0. Database'!P6</f>
        <v>153454.1</v>
      </c>
      <c r="P5" s="60">
        <f>'0. Database'!Q6</f>
        <v>179274.53</v>
      </c>
      <c r="Q5" s="60">
        <f>'0. Database'!R6</f>
        <v>217551.82</v>
      </c>
      <c r="R5" s="60">
        <f>'0. Database'!S6</f>
        <v>266239.28</v>
      </c>
      <c r="S5" s="60">
        <f>'0. Database'!T6</f>
        <v>318436.19</v>
      </c>
    </row>
    <row r="6" customHeight="1" spans="1:19">
      <c r="A6" s="59" t="s">
        <v>38</v>
      </c>
      <c r="B6" s="60">
        <f>'0. Database'!C22</f>
        <v>745</v>
      </c>
      <c r="C6" s="60">
        <f>'0. Database'!D22</f>
        <v>178.4</v>
      </c>
      <c r="D6" s="60">
        <f>'0. Database'!E22</f>
        <v>2232.6</v>
      </c>
      <c r="E6" s="60">
        <f>'0. Database'!F22</f>
        <v>4186</v>
      </c>
      <c r="F6" s="60">
        <f>'0. Database'!G22</f>
        <v>4107</v>
      </c>
      <c r="G6" s="60">
        <f>'0. Database'!H22</f>
        <v>12420</v>
      </c>
      <c r="H6" s="60">
        <f>'0. Database'!I22</f>
        <v>14540</v>
      </c>
      <c r="I6" s="60">
        <f>'0. Database'!J22</f>
        <v>22899</v>
      </c>
      <c r="J6" s="60">
        <f>'0. Database'!K22</f>
        <v>24879</v>
      </c>
      <c r="K6" s="60">
        <f>'0. Database'!L22</f>
        <v>12248</v>
      </c>
      <c r="L6" s="60">
        <f>'0. Database'!M22</f>
        <v>36852</v>
      </c>
      <c r="M6" s="60">
        <f>'0. Database'!N22</f>
        <v>68593</v>
      </c>
      <c r="N6" s="60">
        <f>'0. Database'!O22</f>
        <v>79975</v>
      </c>
      <c r="O6" s="60">
        <f>'0. Database'!P22</f>
        <v>109001.86</v>
      </c>
      <c r="P6" s="60">
        <f>'0. Database'!Q22</f>
        <v>146127.4</v>
      </c>
      <c r="Q6" s="60">
        <f>'0. Database'!R22</f>
        <v>183469.22</v>
      </c>
      <c r="R6" s="60">
        <f>'0. Database'!S22</f>
        <v>223208.87</v>
      </c>
      <c r="S6" s="60">
        <f>'0. Database'!T22</f>
        <v>264582.39</v>
      </c>
    </row>
    <row r="7" customHeight="1" spans="1:19">
      <c r="A7" s="59" t="s">
        <v>42</v>
      </c>
      <c r="B7" s="60">
        <f>'0. Database'!C37</f>
        <v>15403</v>
      </c>
      <c r="C7" s="60">
        <f>'0. Database'!D37</f>
        <v>16496</v>
      </c>
      <c r="D7" s="60">
        <f>'0. Database'!E37</f>
        <v>19360</v>
      </c>
      <c r="E7" s="60">
        <f>'0. Database'!F37</f>
        <v>23716</v>
      </c>
      <c r="F7" s="60">
        <f>'0. Database'!G37</f>
        <v>26146</v>
      </c>
      <c r="G7" s="60">
        <f>'0. Database'!H37</f>
        <v>26953</v>
      </c>
      <c r="H7" s="60">
        <f>'0. Database'!I37</f>
        <v>34231</v>
      </c>
      <c r="I7" s="60">
        <f>'0. Database'!J37</f>
        <v>41224</v>
      </c>
      <c r="J7" s="60">
        <f>'0. Database'!K37</f>
        <v>78714</v>
      </c>
      <c r="K7" s="60">
        <f>'0. Database'!L37</f>
        <v>74842</v>
      </c>
      <c r="L7" s="60">
        <f>'0. Database'!M37</f>
        <v>84293</v>
      </c>
      <c r="M7" s="60">
        <f>'0. Database'!N37</f>
        <v>112390</v>
      </c>
      <c r="N7" s="60">
        <f>'0. Database'!O37</f>
        <v>129039</v>
      </c>
      <c r="O7" s="60">
        <f>'0. Database'!P37</f>
        <v>167318.21</v>
      </c>
      <c r="P7" s="60">
        <f>'0. Database'!Q37</f>
        <v>210287.33</v>
      </c>
      <c r="Q7" s="60">
        <f>'0. Database'!R37</f>
        <v>253779.42</v>
      </c>
      <c r="R7" s="60">
        <f>'0. Database'!S37</f>
        <v>298519.7</v>
      </c>
      <c r="S7" s="60">
        <f>'0. Database'!T37</f>
        <v>338347.07</v>
      </c>
    </row>
    <row r="8" customHeight="1" spans="1:19">
      <c r="A8" s="59" t="s">
        <v>48</v>
      </c>
      <c r="B8" s="60">
        <f>'0. Database'!C54</f>
        <v>2804</v>
      </c>
      <c r="C8" s="60">
        <f>'0. Database'!D54</f>
        <v>4994.8</v>
      </c>
      <c r="D8" s="60">
        <f>'0. Database'!E54</f>
        <v>6225</v>
      </c>
      <c r="E8" s="60">
        <f>'0. Database'!F54</f>
        <v>12427</v>
      </c>
      <c r="F8" s="60">
        <f>'0. Database'!G54</f>
        <v>20202</v>
      </c>
      <c r="G8" s="60">
        <f>'0. Database'!H54</f>
        <v>24913</v>
      </c>
      <c r="H8" s="60">
        <f>'0. Database'!I54</f>
        <v>23985.5</v>
      </c>
      <c r="I8" s="60">
        <f>'0. Database'!J54</f>
        <v>32671</v>
      </c>
      <c r="J8" s="60">
        <f>'0. Database'!K54</f>
        <v>46753</v>
      </c>
      <c r="K8" s="60">
        <f>'0. Database'!L54</f>
        <v>28945</v>
      </c>
      <c r="L8" s="60">
        <f>'0. Database'!M54</f>
        <v>46751</v>
      </c>
      <c r="M8" s="60">
        <f>'0. Database'!N54</f>
        <v>69380</v>
      </c>
      <c r="N8" s="60">
        <f>'0. Database'!O54</f>
        <v>83276</v>
      </c>
      <c r="O8" s="60">
        <f>'0. Database'!P54</f>
        <v>90489.79</v>
      </c>
      <c r="P8" s="60">
        <f>'0. Database'!Q54</f>
        <v>104437.61</v>
      </c>
      <c r="Q8" s="60">
        <f>'0. Database'!R54</f>
        <v>118413.08</v>
      </c>
      <c r="R8" s="60">
        <f>'0. Database'!S54</f>
        <v>131523.75</v>
      </c>
      <c r="S8" s="60">
        <f>'0. Database'!T54</f>
        <v>142814.67</v>
      </c>
    </row>
    <row r="9" customHeight="1" spans="1:19">
      <c r="A9" s="59" t="s">
        <v>55</v>
      </c>
      <c r="B9" s="60">
        <f>'0. Database'!C72</f>
        <v>14684</v>
      </c>
      <c r="C9" s="60">
        <f>'0. Database'!D72</f>
        <v>14758</v>
      </c>
      <c r="D9" s="60">
        <f>'0. Database'!E72</f>
        <v>13870</v>
      </c>
      <c r="E9" s="60">
        <f>'0. Database'!F72</f>
        <v>12604</v>
      </c>
      <c r="F9" s="60">
        <f>'0. Database'!G72</f>
        <v>12710</v>
      </c>
      <c r="G9" s="60">
        <f>'0. Database'!H72</f>
        <v>13264</v>
      </c>
      <c r="H9" s="60">
        <f>'0. Database'!I72</f>
        <v>13535</v>
      </c>
      <c r="I9" s="60">
        <f>'0. Database'!J72</f>
        <v>13897</v>
      </c>
      <c r="J9" s="60">
        <f>'0. Database'!K72</f>
        <v>15214</v>
      </c>
      <c r="K9" s="60">
        <f>'0. Database'!L72</f>
        <v>10927</v>
      </c>
      <c r="L9" s="60">
        <f>'0. Database'!M72</f>
        <v>13094</v>
      </c>
      <c r="M9" s="60">
        <f>'0. Database'!N72</f>
        <v>15354</v>
      </c>
      <c r="N9" s="60">
        <f>'0. Database'!O72</f>
        <v>17678</v>
      </c>
      <c r="O9" s="60">
        <f>'0. Database'!P72</f>
        <v>19462.44</v>
      </c>
      <c r="P9" s="60">
        <f>'0. Database'!Q72</f>
        <v>21128.19</v>
      </c>
      <c r="Q9" s="60">
        <f>'0. Database'!R72</f>
        <v>36930.86</v>
      </c>
      <c r="R9" s="60">
        <f>'0. Database'!S72</f>
        <v>53057.71</v>
      </c>
      <c r="S9" s="60">
        <f>'0. Database'!T72</f>
        <v>57952.82</v>
      </c>
    </row>
    <row r="11" customHeight="1" spans="1:19">
      <c r="A11" s="58" t="s">
        <v>104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customHeight="1" spans="1:19">
      <c r="A12" s="10" t="s">
        <v>76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</row>
    <row r="13" customHeight="1" spans="1:19">
      <c r="A13" s="59" t="s">
        <v>22</v>
      </c>
      <c r="B13" s="60">
        <f>'0. Database'!C7</f>
        <v>21863</v>
      </c>
      <c r="C13" s="60">
        <f>'0. Database'!D7</f>
        <v>22074</v>
      </c>
      <c r="D13" s="60">
        <f>'0. Database'!E7</f>
        <v>12193</v>
      </c>
      <c r="E13" s="60">
        <f>'0. Database'!F7</f>
        <v>16798</v>
      </c>
      <c r="F13" s="60">
        <f>'0. Database'!G7</f>
        <v>25489</v>
      </c>
      <c r="G13" s="60">
        <f>'0. Database'!H7</f>
        <v>16571</v>
      </c>
      <c r="H13" s="60">
        <f>'0. Database'!I7</f>
        <v>39240</v>
      </c>
      <c r="I13" s="60">
        <f>'0. Database'!J7</f>
        <v>44281</v>
      </c>
      <c r="J13" s="60">
        <f>'0. Database'!K7</f>
        <v>61271</v>
      </c>
      <c r="K13" s="60">
        <f>'0. Database'!L7</f>
        <v>72738</v>
      </c>
      <c r="L13" s="60">
        <f>'0. Database'!M7</f>
        <v>72361</v>
      </c>
      <c r="M13" s="60">
        <f>'0. Database'!N7</f>
        <v>88136</v>
      </c>
      <c r="N13" s="60">
        <f>'0. Database'!O7</f>
        <v>101832</v>
      </c>
      <c r="O13" s="60">
        <f>'0. Database'!P7</f>
        <v>129372.86</v>
      </c>
      <c r="P13" s="60">
        <f>'0. Database'!Q7</f>
        <v>144971.56</v>
      </c>
      <c r="Q13" s="60">
        <f>'0. Database'!R7</f>
        <v>175683.92</v>
      </c>
      <c r="R13" s="60">
        <f>'0. Database'!S7</f>
        <v>215472.22</v>
      </c>
      <c r="S13" s="60">
        <f>'0. Database'!T7</f>
        <v>258948.36</v>
      </c>
    </row>
    <row r="14" customHeight="1" spans="1:19">
      <c r="A14" s="59" t="s">
        <v>38</v>
      </c>
      <c r="B14" s="60">
        <f>'0. Database'!C23</f>
        <v>273</v>
      </c>
      <c r="C14" s="60">
        <f>'0. Database'!D23</f>
        <v>-240.6</v>
      </c>
      <c r="D14" s="60">
        <f>'0. Database'!E23</f>
        <v>596.1</v>
      </c>
      <c r="E14" s="60">
        <f>'0. Database'!F23</f>
        <v>2371</v>
      </c>
      <c r="F14" s="60">
        <f>'0. Database'!G23</f>
        <v>3033</v>
      </c>
      <c r="G14" s="60">
        <f>'0. Database'!H23</f>
        <v>10073</v>
      </c>
      <c r="H14" s="60">
        <f>'0. Database'!I23</f>
        <v>11588</v>
      </c>
      <c r="I14" s="60">
        <f>'0. Database'!J23</f>
        <v>21331</v>
      </c>
      <c r="J14" s="60">
        <f>'0. Database'!K23</f>
        <v>33364</v>
      </c>
      <c r="K14" s="60">
        <f>'0. Database'!L23</f>
        <v>-2722</v>
      </c>
      <c r="L14" s="60">
        <f>'0. Database'!M23</f>
        <v>30425</v>
      </c>
      <c r="M14" s="60">
        <f>'0. Database'!N23</f>
        <v>59248</v>
      </c>
      <c r="N14" s="60">
        <f>'0. Database'!O23</f>
        <v>77670</v>
      </c>
      <c r="O14" s="60">
        <f>'0. Database'!P23</f>
        <v>98333.72</v>
      </c>
      <c r="P14" s="60">
        <f>'0. Database'!Q23</f>
        <v>116218.4</v>
      </c>
      <c r="Q14" s="60">
        <f>'0. Database'!R23</f>
        <v>145016.4</v>
      </c>
      <c r="R14" s="60">
        <f>'0. Database'!S23</f>
        <v>177176.2</v>
      </c>
      <c r="S14" s="60">
        <f>'0. Database'!T23</f>
        <v>211925.99</v>
      </c>
    </row>
    <row r="15" customHeight="1" spans="1:19">
      <c r="A15" s="59" t="s">
        <v>42</v>
      </c>
      <c r="B15" s="60">
        <f>'0. Database'!C38</f>
        <v>12720</v>
      </c>
      <c r="C15" s="60">
        <f>'0. Database'!D38</f>
        <v>14136</v>
      </c>
      <c r="D15" s="60">
        <f>'0. Database'!E38</f>
        <v>16348</v>
      </c>
      <c r="E15" s="60">
        <f>'0. Database'!F38</f>
        <v>19478</v>
      </c>
      <c r="F15" s="60">
        <f>'0. Database'!G38</f>
        <v>12662</v>
      </c>
      <c r="G15" s="60">
        <f>'0. Database'!H38</f>
        <v>30736</v>
      </c>
      <c r="H15" s="60">
        <f>'0. Database'!I38</f>
        <v>34343</v>
      </c>
      <c r="I15" s="60">
        <f>'0. Database'!J38</f>
        <v>40269</v>
      </c>
      <c r="J15" s="60">
        <f>'0. Database'!K38</f>
        <v>76033</v>
      </c>
      <c r="K15" s="60">
        <f>'0. Database'!L38</f>
        <v>59972</v>
      </c>
      <c r="L15" s="60">
        <f>'0. Database'!M38</f>
        <v>73795</v>
      </c>
      <c r="M15" s="60">
        <f>'0. Database'!N38</f>
        <v>100118</v>
      </c>
      <c r="N15" s="60">
        <f>'0. Database'!O38</f>
        <v>132170</v>
      </c>
      <c r="O15" s="60">
        <f>'0. Database'!P38</f>
        <v>168543.28</v>
      </c>
      <c r="P15" s="60">
        <f>'0. Database'!Q38</f>
        <v>174626.97</v>
      </c>
      <c r="Q15" s="60">
        <f>'0. Database'!R38</f>
        <v>210753.44</v>
      </c>
      <c r="R15" s="60">
        <f>'0. Database'!S38</f>
        <v>249488.6</v>
      </c>
      <c r="S15" s="60">
        <f>'0. Database'!T38</f>
        <v>285975.76</v>
      </c>
    </row>
    <row r="16" customHeight="1" spans="1:19">
      <c r="A16" s="59" t="s">
        <v>48</v>
      </c>
      <c r="B16" s="60">
        <f>'0. Database'!C55</f>
        <v>1491</v>
      </c>
      <c r="C16" s="60">
        <f>'0. Database'!D55</f>
        <v>2924.8</v>
      </c>
      <c r="D16" s="60">
        <f>'0. Database'!E55</f>
        <v>3669</v>
      </c>
      <c r="E16" s="60">
        <f>'0. Database'!F55</f>
        <v>10187.2</v>
      </c>
      <c r="F16" s="60">
        <f>'0. Database'!G55</f>
        <v>15919</v>
      </c>
      <c r="G16" s="60">
        <f>'0. Database'!H55</f>
        <v>22112</v>
      </c>
      <c r="H16" s="60">
        <f>'0. Database'!I55</f>
        <v>18484.5</v>
      </c>
      <c r="I16" s="60">
        <f>'0. Database'!J55</f>
        <v>29145</v>
      </c>
      <c r="J16" s="60">
        <f>'0. Database'!K55</f>
        <v>39370</v>
      </c>
      <c r="K16" s="60">
        <f>'0. Database'!L55</f>
        <v>23199</v>
      </c>
      <c r="L16" s="60">
        <f>'0. Database'!M55</f>
        <v>39097</v>
      </c>
      <c r="M16" s="60">
        <f>'0. Database'!N55</f>
        <v>62360</v>
      </c>
      <c r="N16" s="60">
        <f>'0. Database'!O55</f>
        <v>60458</v>
      </c>
      <c r="O16" s="60">
        <f>'0. Database'!P55</f>
        <v>85782.86</v>
      </c>
      <c r="P16" s="60">
        <f>'0. Database'!Q55</f>
        <v>91160.94</v>
      </c>
      <c r="Q16" s="60">
        <f>'0. Database'!R55</f>
        <v>103452.71</v>
      </c>
      <c r="R16" s="60">
        <f>'0. Database'!S55</f>
        <v>115846.5</v>
      </c>
      <c r="S16" s="60">
        <f>'0. Database'!T55</f>
        <v>127804.37</v>
      </c>
    </row>
    <row r="17" customHeight="1" spans="1:19">
      <c r="A17" s="59" t="s">
        <v>55</v>
      </c>
      <c r="B17" s="60">
        <f>'0. Database'!C73</f>
        <v>10926</v>
      </c>
      <c r="C17" s="60">
        <f>'0. Database'!D73</f>
        <v>10955</v>
      </c>
      <c r="D17" s="60">
        <f>'0. Database'!E73</f>
        <v>9938</v>
      </c>
      <c r="E17" s="60">
        <f>'0. Database'!F73</f>
        <v>8900</v>
      </c>
      <c r="F17" s="60">
        <f>'0. Database'!G73</f>
        <v>9334</v>
      </c>
      <c r="G17" s="60">
        <f>'0. Database'!H73</f>
        <v>3587</v>
      </c>
      <c r="H17" s="60">
        <f>'0. Database'!I73</f>
        <v>11083</v>
      </c>
      <c r="I17" s="60">
        <f>'0. Database'!J73</f>
        <v>10135</v>
      </c>
      <c r="J17" s="60">
        <f>'0. Database'!K73</f>
        <v>13747</v>
      </c>
      <c r="K17" s="60">
        <f>'0. Database'!L73</f>
        <v>6718</v>
      </c>
      <c r="L17" s="60">
        <f>'0. Database'!M73</f>
        <v>8504</v>
      </c>
      <c r="M17" s="60">
        <f>'0. Database'!N73</f>
        <v>10467</v>
      </c>
      <c r="N17" s="60">
        <f>'0. Database'!O73</f>
        <v>12443</v>
      </c>
      <c r="O17" s="60">
        <f>'0. Database'!P73</f>
        <v>15820.55</v>
      </c>
      <c r="P17" s="60">
        <f>'0. Database'!Q73</f>
        <v>13363.1</v>
      </c>
      <c r="Q17" s="60">
        <f>'0. Database'!R73</f>
        <v>26776.66</v>
      </c>
      <c r="R17" s="60">
        <f>'0. Database'!S73</f>
        <v>39834.82</v>
      </c>
      <c r="S17" s="60">
        <f>'0. Database'!T73</f>
        <v>44104.48</v>
      </c>
    </row>
    <row r="19" customHeight="1" spans="1:19">
      <c r="A19" s="58" t="s">
        <v>105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customHeight="1" spans="1:19">
      <c r="A20" s="10" t="s">
        <v>76</v>
      </c>
      <c r="B20" s="10" t="s">
        <v>3</v>
      </c>
      <c r="C20" s="10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0" t="s">
        <v>9</v>
      </c>
      <c r="I20" s="10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0" t="s">
        <v>16</v>
      </c>
      <c r="P20" s="10" t="s">
        <v>17</v>
      </c>
      <c r="Q20" s="10" t="s">
        <v>18</v>
      </c>
      <c r="R20" s="10" t="s">
        <v>19</v>
      </c>
      <c r="S20" s="10" t="s">
        <v>20</v>
      </c>
    </row>
    <row r="21" customHeight="1" spans="1:19">
      <c r="A21" s="59" t="s">
        <v>22</v>
      </c>
      <c r="B21" s="60">
        <f>'0. Database'!C8</f>
        <v>2.63</v>
      </c>
      <c r="C21" s="60">
        <f>'0. Database'!D8</f>
        <v>2.66</v>
      </c>
      <c r="D21" s="60">
        <f>'0. Database'!E8</f>
        <v>2.59</v>
      </c>
      <c r="E21" s="60">
        <f>'0. Database'!F8</f>
        <v>2.79</v>
      </c>
      <c r="F21" s="60">
        <f>'0. Database'!G8</f>
        <v>3.29</v>
      </c>
      <c r="G21" s="60">
        <f>'0. Database'!H8</f>
        <v>3.88</v>
      </c>
      <c r="H21" s="60">
        <f>'0. Database'!I8</f>
        <v>4.75</v>
      </c>
      <c r="I21" s="60">
        <f>'0. Database'!J8</f>
        <v>5.76</v>
      </c>
      <c r="J21" s="60">
        <f>'0. Database'!K8</f>
        <v>7.97</v>
      </c>
      <c r="K21" s="60">
        <f>'0. Database'!L8</f>
        <v>9.21</v>
      </c>
      <c r="L21" s="60">
        <f>'0. Database'!M8</f>
        <v>9.81</v>
      </c>
      <c r="M21" s="60">
        <f>'0. Database'!N8</f>
        <v>11.8</v>
      </c>
      <c r="N21" s="60">
        <f>'0. Database'!O8</f>
        <v>13.91</v>
      </c>
      <c r="O21" s="60">
        <f>'0. Database'!P8</f>
        <v>16.75</v>
      </c>
      <c r="P21" s="60">
        <f>'0. Database'!Q8</f>
        <v>19.47</v>
      </c>
      <c r="Q21" s="60">
        <f>'0. Database'!R8</f>
        <v>23.61</v>
      </c>
      <c r="R21" s="60">
        <f>'0. Database'!S8</f>
        <v>28.97</v>
      </c>
      <c r="S21" s="60">
        <f>'0. Database'!T8</f>
        <v>34.82</v>
      </c>
    </row>
    <row r="22" customHeight="1" spans="1:19">
      <c r="A22" s="59" t="s">
        <v>38</v>
      </c>
      <c r="B22" s="60">
        <f>'0. Database'!C24</f>
        <v>0.03</v>
      </c>
      <c r="C22" s="60">
        <f>'0. Database'!D24</f>
        <v>-0.03</v>
      </c>
      <c r="D22" s="60">
        <f>'0. Database'!E24</f>
        <v>0.06</v>
      </c>
      <c r="E22" s="60">
        <f>'0. Database'!F24</f>
        <v>0.24</v>
      </c>
      <c r="F22" s="60">
        <f>'0. Database'!G24</f>
        <v>0.31</v>
      </c>
      <c r="G22" s="60">
        <f>'0. Database'!H24</f>
        <v>1.01</v>
      </c>
      <c r="H22" s="60">
        <f>'0. Database'!I24</f>
        <v>1.15</v>
      </c>
      <c r="I22" s="60">
        <f>'0. Database'!J24</f>
        <v>2.08</v>
      </c>
      <c r="J22" s="60">
        <f>'0. Database'!K24</f>
        <v>3.25</v>
      </c>
      <c r="K22" s="60">
        <f>'0. Database'!L24</f>
        <v>-0.26</v>
      </c>
      <c r="L22" s="60">
        <f>'0. Database'!M24</f>
        <v>2.88</v>
      </c>
      <c r="M22" s="60">
        <f>'0. Database'!N24</f>
        <v>5.53</v>
      </c>
      <c r="N22" s="60">
        <f>'0. Database'!O24</f>
        <v>7.17</v>
      </c>
      <c r="O22" s="60">
        <f>'0. Database'!P24</f>
        <v>9.02</v>
      </c>
      <c r="P22" s="60">
        <f>'0. Database'!Q24</f>
        <v>10.58</v>
      </c>
      <c r="Q22" s="60">
        <f>'0. Database'!R24</f>
        <v>13.11</v>
      </c>
      <c r="R22" s="60">
        <f>'0. Database'!S24</f>
        <v>15.92</v>
      </c>
      <c r="S22" s="60">
        <f>'0. Database'!T24</f>
        <v>18.92</v>
      </c>
    </row>
    <row r="23" customHeight="1" spans="1:19">
      <c r="A23" s="59" t="s">
        <v>42</v>
      </c>
      <c r="B23" s="60">
        <f>'0. Database'!C39</f>
        <v>0.94</v>
      </c>
      <c r="C23" s="60">
        <f>'0. Database'!D39</f>
        <v>1.03</v>
      </c>
      <c r="D23" s="60">
        <f>'0. Database'!E39</f>
        <v>1.18</v>
      </c>
      <c r="E23" s="60">
        <f>'0. Database'!F39</f>
        <v>1.39</v>
      </c>
      <c r="F23" s="60">
        <f>'0. Database'!G39</f>
        <v>0.9</v>
      </c>
      <c r="G23" s="60">
        <f>'0. Database'!H39</f>
        <v>2.19</v>
      </c>
      <c r="H23" s="60">
        <f>'0. Database'!I39</f>
        <v>2.46</v>
      </c>
      <c r="I23" s="60">
        <f>'0. Database'!J39</f>
        <v>2.93</v>
      </c>
      <c r="J23" s="60">
        <f>'0. Database'!K39</f>
        <v>5.61</v>
      </c>
      <c r="K23" s="60">
        <f>'0. Database'!L39</f>
        <v>4.56</v>
      </c>
      <c r="L23" s="60">
        <f>'0. Database'!M39</f>
        <v>5.8</v>
      </c>
      <c r="M23" s="60">
        <f>'0. Database'!N39</f>
        <v>8.04</v>
      </c>
      <c r="N23" s="60">
        <f>'0. Database'!O39</f>
        <v>10.81</v>
      </c>
      <c r="O23" s="60">
        <f>'0. Database'!P39</f>
        <v>13.73</v>
      </c>
      <c r="P23" s="60">
        <f>'0. Database'!Q39</f>
        <v>14.16</v>
      </c>
      <c r="Q23" s="60">
        <f>'0. Database'!R39</f>
        <v>17.04</v>
      </c>
      <c r="R23" s="60">
        <f>'0. Database'!S39</f>
        <v>20.12</v>
      </c>
      <c r="S23" s="60">
        <f>'0. Database'!T39</f>
        <v>22.99</v>
      </c>
    </row>
    <row r="24" customHeight="1" spans="1:19">
      <c r="A24" s="59" t="s">
        <v>48</v>
      </c>
      <c r="B24" s="60">
        <f>'0. Database'!C56</f>
        <v>0.59</v>
      </c>
      <c r="C24" s="60">
        <f>'0. Database'!D56</f>
        <v>1.1</v>
      </c>
      <c r="D24" s="60">
        <f>'0. Database'!E56</f>
        <v>1.28</v>
      </c>
      <c r="E24" s="60">
        <f>'0. Database'!F56</f>
        <v>3.48</v>
      </c>
      <c r="F24" s="60">
        <f>'0. Database'!G56</f>
        <v>5.39</v>
      </c>
      <c r="G24" s="60">
        <f>'0. Database'!H56</f>
        <v>7.66</v>
      </c>
      <c r="H24" s="60">
        <f>'0. Database'!I56</f>
        <v>6.44</v>
      </c>
      <c r="I24" s="60">
        <f>'0. Database'!J56</f>
        <v>10.08</v>
      </c>
      <c r="J24" s="60">
        <f>'0. Database'!K56</f>
        <v>14.07</v>
      </c>
      <c r="K24" s="60">
        <f>'0. Database'!L56</f>
        <v>8.79</v>
      </c>
      <c r="L24" s="60">
        <f>'0. Database'!M56</f>
        <v>14.87</v>
      </c>
      <c r="M24" s="60">
        <f>'0. Database'!N56</f>
        <v>23.99</v>
      </c>
      <c r="N24" s="60">
        <f>'0. Database'!O56</f>
        <v>23.49</v>
      </c>
      <c r="O24" s="60">
        <f>'0. Database'!P56</f>
        <v>33.28</v>
      </c>
      <c r="P24" s="60">
        <f>'0. Database'!Q56</f>
        <v>34.94</v>
      </c>
      <c r="Q24" s="60">
        <f>'0. Database'!R56</f>
        <v>39.24</v>
      </c>
      <c r="R24" s="60">
        <f>'0. Database'!S56</f>
        <v>43.51</v>
      </c>
      <c r="S24" s="60">
        <f>'0. Database'!T56</f>
        <v>47.52</v>
      </c>
    </row>
    <row r="25" customHeight="1" spans="1:19">
      <c r="A25" s="59" t="s">
        <v>55</v>
      </c>
      <c r="B25" s="60">
        <f>'0. Database'!C74</f>
        <v>2.26</v>
      </c>
      <c r="C25" s="60">
        <f>'0. Database'!D74</f>
        <v>2.38</v>
      </c>
      <c r="D25" s="60">
        <f>'0. Database'!E74</f>
        <v>2.21</v>
      </c>
      <c r="E25" s="60">
        <f>'0. Database'!F74</f>
        <v>2.07</v>
      </c>
      <c r="F25" s="60">
        <f>'0. Database'!G74</f>
        <v>2.21</v>
      </c>
      <c r="G25" s="60">
        <f>'0. Database'!H74</f>
        <v>0.85</v>
      </c>
      <c r="H25" s="60">
        <f>'0. Database'!I74</f>
        <v>2.97</v>
      </c>
      <c r="I25" s="60">
        <f>'0. Database'!J74</f>
        <v>3.08</v>
      </c>
      <c r="J25" s="60">
        <f>'0. Database'!K74</f>
        <v>4.55</v>
      </c>
      <c r="K25" s="60">
        <f>'0. Database'!L74</f>
        <v>2.41</v>
      </c>
      <c r="L25" s="60">
        <f>'0. Database'!M74</f>
        <v>3.07</v>
      </c>
      <c r="M25" s="60">
        <f>'0. Database'!N74</f>
        <v>3.71</v>
      </c>
      <c r="N25" s="60">
        <f>'0. Database'!O74</f>
        <v>4.34</v>
      </c>
      <c r="O25" s="60">
        <f>'0. Database'!P74</f>
        <v>5.43</v>
      </c>
      <c r="P25" s="60">
        <f>'0. Database'!Q74</f>
        <v>4.54</v>
      </c>
      <c r="Q25" s="60">
        <f>'0. Database'!R74</f>
        <v>8.98</v>
      </c>
      <c r="R25" s="60">
        <f>'0. Database'!S74</f>
        <v>13.15</v>
      </c>
      <c r="S25" s="60">
        <f>'0. Database'!T74</f>
        <v>14.32</v>
      </c>
    </row>
    <row r="27" customHeight="1" spans="1:19">
      <c r="A27" s="58" t="s">
        <v>106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customHeight="1" spans="1:19">
      <c r="A28" s="10" t="s">
        <v>76</v>
      </c>
      <c r="B28" s="10" t="s">
        <v>3</v>
      </c>
      <c r="C28" s="10" t="s">
        <v>4</v>
      </c>
      <c r="D28" s="10" t="s">
        <v>5</v>
      </c>
      <c r="E28" s="10" t="s">
        <v>6</v>
      </c>
      <c r="F28" s="10" t="s">
        <v>7</v>
      </c>
      <c r="G28" s="10" t="s">
        <v>8</v>
      </c>
      <c r="H28" s="10" t="s">
        <v>9</v>
      </c>
      <c r="I28" s="10" t="s">
        <v>10</v>
      </c>
      <c r="J28" s="10" t="s">
        <v>11</v>
      </c>
      <c r="K28" s="10" t="s">
        <v>12</v>
      </c>
      <c r="L28" s="10" t="s">
        <v>13</v>
      </c>
      <c r="M28" s="10" t="s">
        <v>14</v>
      </c>
      <c r="N28" s="10" t="s">
        <v>15</v>
      </c>
      <c r="O28" s="10" t="s">
        <v>16</v>
      </c>
      <c r="P28" s="10" t="s">
        <v>17</v>
      </c>
      <c r="Q28" s="10" t="s">
        <v>18</v>
      </c>
      <c r="R28" s="10" t="s">
        <v>19</v>
      </c>
      <c r="S28" s="10" t="s">
        <v>20</v>
      </c>
    </row>
    <row r="29" customHeight="1" spans="1:19">
      <c r="A29" s="59" t="s">
        <v>22</v>
      </c>
      <c r="B29" s="60">
        <f>'0. Database'!C9</f>
        <v>8452.25</v>
      </c>
      <c r="C29" s="60">
        <f>'0. Database'!D9</f>
        <v>8385.25</v>
      </c>
      <c r="D29" s="60">
        <f>'0. Database'!E9</f>
        <v>8254</v>
      </c>
      <c r="E29" s="60">
        <f>'0. Database'!F9</f>
        <v>8012.25</v>
      </c>
      <c r="F29" s="60">
        <f>'0. Database'!G9</f>
        <v>7831.25</v>
      </c>
      <c r="G29" s="60">
        <f>'0. Database'!H9</f>
        <v>7792.25</v>
      </c>
      <c r="H29" s="60">
        <f>'0. Database'!I9</f>
        <v>7752</v>
      </c>
      <c r="I29" s="60">
        <f>'0. Database'!J9</f>
        <v>7681.5</v>
      </c>
      <c r="J29" s="60">
        <f>'0. Database'!K9</f>
        <v>7607.75</v>
      </c>
      <c r="K29" s="60">
        <f>'0. Database'!L9</f>
        <v>7540.5</v>
      </c>
      <c r="L29" s="60">
        <f>'0. Database'!M9</f>
        <v>7472.25</v>
      </c>
      <c r="M29" s="60">
        <f>'0. Database'!N9</f>
        <v>7468.5</v>
      </c>
      <c r="N29" s="60">
        <f>'0. Database'!O9</f>
        <v>7467.75</v>
      </c>
      <c r="O29" s="60">
        <f>'0. Database'!P9</f>
        <v>7453.97</v>
      </c>
      <c r="P29" s="60">
        <f>'0. Database'!Q9</f>
        <v>7446.49</v>
      </c>
      <c r="Q29" s="60">
        <f>'0. Database'!R9</f>
        <v>7440.67</v>
      </c>
      <c r="R29" s="60">
        <f>'0. Database'!S9</f>
        <v>7436.61</v>
      </c>
      <c r="S29" s="60">
        <f>'0. Database'!T9</f>
        <v>7436.22</v>
      </c>
    </row>
    <row r="30" customHeight="1" spans="1:19">
      <c r="A30" s="59" t="s">
        <v>38</v>
      </c>
      <c r="B30" s="60">
        <f>'0. Database'!C25</f>
        <v>9340</v>
      </c>
      <c r="C30" s="60">
        <f>'0. Database'!D25</f>
        <v>9440</v>
      </c>
      <c r="D30" s="60">
        <f>'0. Database'!E25</f>
        <v>9620</v>
      </c>
      <c r="E30" s="60">
        <f>'0. Database'!F25</f>
        <v>9720</v>
      </c>
      <c r="F30" s="60">
        <f>'0. Database'!G25</f>
        <v>9910</v>
      </c>
      <c r="G30" s="60">
        <f>'0. Database'!H25</f>
        <v>10020</v>
      </c>
      <c r="H30" s="60">
        <f>'0. Database'!I25</f>
        <v>10100</v>
      </c>
      <c r="I30" s="60">
        <f>'0. Database'!J25</f>
        <v>10254</v>
      </c>
      <c r="J30" s="60">
        <f>'0. Database'!K25</f>
        <v>10274.5</v>
      </c>
      <c r="K30" s="60">
        <f>'0. Database'!L25</f>
        <v>10296.5</v>
      </c>
      <c r="L30" s="60">
        <f>'0. Database'!M25</f>
        <v>10568.69</v>
      </c>
      <c r="M30" s="60">
        <f>'0. Database'!N25</f>
        <v>10721</v>
      </c>
      <c r="N30" s="60">
        <f>'0. Database'!O25</f>
        <v>10827</v>
      </c>
      <c r="O30" s="60">
        <f>'0. Database'!P25</f>
        <v>10907.55</v>
      </c>
      <c r="P30" s="60">
        <f>'0. Database'!Q25</f>
        <v>10986.16</v>
      </c>
      <c r="Q30" s="60">
        <f>'0. Database'!R25</f>
        <v>11059.39</v>
      </c>
      <c r="R30" s="60">
        <f>'0. Database'!S25</f>
        <v>11131.13</v>
      </c>
      <c r="S30" s="60">
        <f>'0. Database'!T25</f>
        <v>11201.4</v>
      </c>
    </row>
    <row r="31" customHeight="1" spans="1:19">
      <c r="A31" s="59" t="s">
        <v>42</v>
      </c>
      <c r="B31" s="60">
        <f>'0. Database'!C40</f>
        <v>13552.38</v>
      </c>
      <c r="C31" s="60">
        <f>'0. Database'!D40</f>
        <v>13741.41</v>
      </c>
      <c r="D31" s="60">
        <f>'0. Database'!E40</f>
        <v>13858.6</v>
      </c>
      <c r="E31" s="60">
        <f>'0. Database'!F40</f>
        <v>13974.09</v>
      </c>
      <c r="F31" s="60">
        <f>'0. Database'!G40</f>
        <v>14071.67</v>
      </c>
      <c r="G31" s="60">
        <f>'0. Database'!H40</f>
        <v>14065.69</v>
      </c>
      <c r="H31" s="60">
        <f>'0. Database'!I40</f>
        <v>13971.13</v>
      </c>
      <c r="I31" s="60">
        <f>'0. Database'!J40</f>
        <v>13740.56</v>
      </c>
      <c r="J31" s="60">
        <f>'0. Database'!K40</f>
        <v>13553</v>
      </c>
      <c r="K31" s="60">
        <f>'0. Database'!L40</f>
        <v>13159</v>
      </c>
      <c r="L31" s="60">
        <f>'0. Database'!M40</f>
        <v>12722</v>
      </c>
      <c r="M31" s="60">
        <f>'0. Database'!N40</f>
        <v>12447</v>
      </c>
      <c r="N31" s="60">
        <f>'0. Database'!O40</f>
        <v>12230</v>
      </c>
      <c r="O31" s="60">
        <f>'0. Database'!P40</f>
        <v>12275.96</v>
      </c>
      <c r="P31" s="60">
        <f>'0. Database'!Q40</f>
        <v>12335.53</v>
      </c>
      <c r="Q31" s="60">
        <f>'0. Database'!R40</f>
        <v>12366.42</v>
      </c>
      <c r="R31" s="60">
        <f>'0. Database'!S40</f>
        <v>12399.99</v>
      </c>
      <c r="S31" s="60">
        <f>'0. Database'!T40</f>
        <v>12436.85</v>
      </c>
    </row>
    <row r="32" customHeight="1" spans="1:19">
      <c r="A32" s="59" t="s">
        <v>48</v>
      </c>
      <c r="B32" s="60">
        <f>'0. Database'!C57</f>
        <v>2521.75</v>
      </c>
      <c r="C32" s="60">
        <f>'0. Database'!D57</f>
        <v>2671</v>
      </c>
      <c r="D32" s="60">
        <f>'0. Database'!E57</f>
        <v>2856.75</v>
      </c>
      <c r="E32" s="60">
        <f>'0. Database'!F57</f>
        <v>2923.75</v>
      </c>
      <c r="F32" s="60">
        <f>'0. Database'!G57</f>
        <v>2954</v>
      </c>
      <c r="G32" s="60">
        <f>'0. Database'!H57</f>
        <v>2886</v>
      </c>
      <c r="H32" s="60">
        <f>'0. Database'!I57</f>
        <v>2871</v>
      </c>
      <c r="I32" s="60">
        <f>'0. Database'!J57</f>
        <v>2890</v>
      </c>
      <c r="J32" s="60">
        <f>'0. Database'!K57</f>
        <v>2799</v>
      </c>
      <c r="K32" s="60">
        <f>'0. Database'!L57</f>
        <v>2640</v>
      </c>
      <c r="L32" s="60">
        <f>'0. Database'!M57</f>
        <v>2630</v>
      </c>
      <c r="M32" s="60">
        <f>'0. Database'!N57</f>
        <v>2599</v>
      </c>
      <c r="N32" s="60">
        <f>'0. Database'!O57</f>
        <v>2574</v>
      </c>
      <c r="O32" s="60">
        <f>'0. Database'!P57</f>
        <v>2577.79</v>
      </c>
      <c r="P32" s="60">
        <f>'0. Database'!Q57</f>
        <v>2609.3</v>
      </c>
      <c r="Q32" s="60">
        <f>'0. Database'!R57</f>
        <v>2636.12</v>
      </c>
      <c r="R32" s="60">
        <f>'0. Database'!S57</f>
        <v>2662.83</v>
      </c>
      <c r="S32" s="60">
        <f>'0. Database'!T57</f>
        <v>2689.4</v>
      </c>
    </row>
    <row r="33" customHeight="1" spans="1:19">
      <c r="A33" s="59" t="s">
        <v>55</v>
      </c>
      <c r="B33" s="60">
        <f>'0. Database'!C75</f>
        <v>4843.75</v>
      </c>
      <c r="C33" s="60">
        <f>'0. Database'!D75</f>
        <v>4604.5</v>
      </c>
      <c r="D33" s="60">
        <f>'0. Database'!E75</f>
        <v>4502.5</v>
      </c>
      <c r="E33" s="60">
        <f>'0. Database'!F75</f>
        <v>4305.5</v>
      </c>
      <c r="F33" s="60">
        <f>'0. Database'!G75</f>
        <v>4217</v>
      </c>
      <c r="G33" s="60">
        <f>'0. Database'!H75</f>
        <v>4238</v>
      </c>
      <c r="H33" s="60">
        <f>'0. Database'!I75</f>
        <v>3732</v>
      </c>
      <c r="I33" s="60">
        <f>'0. Database'!J75</f>
        <v>3293.5</v>
      </c>
      <c r="J33" s="60">
        <f>'0. Database'!K75</f>
        <v>3022.5</v>
      </c>
      <c r="K33" s="60">
        <f>'0. Database'!L75</f>
        <v>2785.5</v>
      </c>
      <c r="L33" s="60">
        <f>'0. Database'!M75</f>
        <v>2766.25</v>
      </c>
      <c r="M33" s="60">
        <f>'0. Database'!N75</f>
        <v>2823.25</v>
      </c>
      <c r="N33" s="60">
        <f>'0. Database'!O75</f>
        <v>2866.25</v>
      </c>
      <c r="O33" s="60">
        <f>'0. Database'!P75</f>
        <v>2915.76</v>
      </c>
      <c r="P33" s="60">
        <f>'0. Database'!Q75</f>
        <v>2940.66</v>
      </c>
      <c r="Q33" s="60">
        <f>'0. Database'!R75</f>
        <v>2980.3</v>
      </c>
      <c r="R33" s="60">
        <f>'0. Database'!S75</f>
        <v>3028.26</v>
      </c>
      <c r="S33" s="60">
        <f>'0. Database'!T75</f>
        <v>3079.57</v>
      </c>
    </row>
    <row r="35" customHeight="1" spans="1:19">
      <c r="A35" s="58" t="s">
        <v>107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customHeight="1" spans="1:19">
      <c r="A36" s="10" t="s">
        <v>76</v>
      </c>
      <c r="B36" s="10" t="s">
        <v>3</v>
      </c>
      <c r="C36" s="10" t="s">
        <v>4</v>
      </c>
      <c r="D36" s="10" t="s">
        <v>5</v>
      </c>
      <c r="E36" s="10" t="s">
        <v>6</v>
      </c>
      <c r="F36" s="10" t="s">
        <v>7</v>
      </c>
      <c r="G36" s="10" t="s">
        <v>8</v>
      </c>
      <c r="H36" s="10" t="s">
        <v>9</v>
      </c>
      <c r="I36" s="10" t="s">
        <v>10</v>
      </c>
      <c r="J36" s="10" t="s">
        <v>11</v>
      </c>
      <c r="K36" s="10" t="s">
        <v>12</v>
      </c>
      <c r="L36" s="10" t="s">
        <v>13</v>
      </c>
      <c r="M36" s="10" t="s">
        <v>14</v>
      </c>
      <c r="N36" s="10" t="s">
        <v>15</v>
      </c>
      <c r="O36" s="10" t="s">
        <v>16</v>
      </c>
      <c r="P36" s="10" t="s">
        <v>17</v>
      </c>
      <c r="Q36" s="10" t="s">
        <v>18</v>
      </c>
      <c r="R36" s="10" t="s">
        <v>19</v>
      </c>
      <c r="S36" s="10" t="s">
        <v>20</v>
      </c>
    </row>
    <row r="37" customHeight="1" spans="1:19">
      <c r="A37" s="59" t="s">
        <v>22</v>
      </c>
      <c r="B37" s="60">
        <f>'0. Database'!C10</f>
        <v>2406</v>
      </c>
      <c r="C37" s="60">
        <f>'0. Database'!D10</f>
        <v>2446</v>
      </c>
      <c r="D37" s="60">
        <f>'0. Database'!E10</f>
        <v>2574</v>
      </c>
      <c r="E37" s="60">
        <f>'0. Database'!F10</f>
        <v>2668</v>
      </c>
      <c r="F37" s="60">
        <f>'0. Database'!G10</f>
        <v>3266</v>
      </c>
      <c r="G37" s="60">
        <f>'0. Database'!H10</f>
        <v>3940</v>
      </c>
      <c r="H37" s="60">
        <f>'0. Database'!I10</f>
        <v>4652</v>
      </c>
      <c r="I37" s="60">
        <f>'0. Database'!J10</f>
        <v>5289</v>
      </c>
      <c r="J37" s="60">
        <f>'0. Database'!K10</f>
        <v>6118</v>
      </c>
      <c r="K37" s="60">
        <f>'0. Database'!L10</f>
        <v>7502</v>
      </c>
      <c r="L37" s="60">
        <f>'0. Database'!M10</f>
        <v>9611</v>
      </c>
      <c r="M37" s="60">
        <f>'0. Database'!N10</f>
        <v>10734</v>
      </c>
      <c r="N37" s="60">
        <f>'0. Database'!O10</f>
        <v>11974</v>
      </c>
      <c r="O37" s="60">
        <f>'0. Database'!P10</f>
        <v>12189</v>
      </c>
      <c r="P37" s="60">
        <f>'0. Database'!Q10</f>
        <v>10478.4</v>
      </c>
      <c r="Q37" s="60">
        <f>'0. Database'!R10</f>
        <v>11434.24</v>
      </c>
      <c r="R37" s="60">
        <f>'0. Database'!S10</f>
        <v>12826.56</v>
      </c>
      <c r="S37" s="60">
        <f>'0. Database'!T10</f>
        <v>14871.62</v>
      </c>
    </row>
    <row r="38" customHeight="1" spans="1:19">
      <c r="A38" s="59" t="s">
        <v>38</v>
      </c>
      <c r="B38" s="60">
        <f>'0. Database'!C26</f>
        <v>-1134</v>
      </c>
      <c r="C38" s="60">
        <f>'0. Database'!D26</f>
        <v>-1497</v>
      </c>
      <c r="D38" s="60">
        <f>'0. Database'!E26</f>
        <v>-2120</v>
      </c>
      <c r="E38" s="60">
        <f>'0. Database'!F26</f>
        <v>-2975</v>
      </c>
      <c r="F38" s="60">
        <f>'0. Database'!G26</f>
        <v>-4214</v>
      </c>
      <c r="G38" s="60">
        <f>'0. Database'!H26</f>
        <v>-5418</v>
      </c>
      <c r="H38" s="60">
        <f>'0. Database'!I26</f>
        <v>-6864</v>
      </c>
      <c r="I38" s="60">
        <f>'0. Database'!J26</f>
        <v>-9208</v>
      </c>
      <c r="J38" s="60">
        <f>'0. Database'!K26</f>
        <v>-12757</v>
      </c>
      <c r="K38" s="60">
        <f>'0. Database'!L26</f>
        <v>-19621</v>
      </c>
      <c r="L38" s="60">
        <f>'0. Database'!M26</f>
        <v>-24023</v>
      </c>
      <c r="M38" s="60">
        <f>'0. Database'!N26</f>
        <v>-22077.4</v>
      </c>
      <c r="N38" s="60">
        <f>'0. Database'!O26</f>
        <v>-19467</v>
      </c>
      <c r="O38" s="60">
        <f>'0. Database'!P26</f>
        <v>-18863.32</v>
      </c>
      <c r="P38" s="60">
        <f>'0. Database'!Q26</f>
        <v>-17920.15</v>
      </c>
      <c r="Q38" s="60">
        <f>'0. Database'!R26</f>
        <v>-18816.16</v>
      </c>
      <c r="R38" s="60">
        <f>'0. Database'!S26</f>
        <v>-19756.97</v>
      </c>
      <c r="S38" s="60">
        <f>'0. Database'!T26</f>
        <v>-20744.82</v>
      </c>
    </row>
    <row r="39" customHeight="1" spans="1:19">
      <c r="A39" s="59" t="s">
        <v>42</v>
      </c>
      <c r="B39" s="60">
        <f>'0. Database'!C41</f>
        <v>-3268</v>
      </c>
      <c r="C39" s="60">
        <f>'0. Database'!D41</f>
        <v>-4175</v>
      </c>
      <c r="D39" s="60">
        <f>'0. Database'!E41</f>
        <v>-4903</v>
      </c>
      <c r="E39" s="60">
        <f>'0. Database'!F41</f>
        <v>-6703</v>
      </c>
      <c r="F39" s="60">
        <f>'0. Database'!G41</f>
        <v>-7679</v>
      </c>
      <c r="G39" s="60">
        <f>'0. Database'!H41</f>
        <v>-9353</v>
      </c>
      <c r="H39" s="60">
        <f>'0. Database'!I41</f>
        <v>-10794</v>
      </c>
      <c r="I39" s="60">
        <f>'0. Database'!J41</f>
        <v>-12991</v>
      </c>
      <c r="J39" s="60">
        <f>'0. Database'!K41</f>
        <v>-15376</v>
      </c>
      <c r="K39" s="60">
        <f>'0. Database'!L41</f>
        <v>-19362</v>
      </c>
      <c r="L39" s="60">
        <f>'0. Database'!M41</f>
        <v>-22460</v>
      </c>
      <c r="M39" s="60">
        <f>'0. Database'!N41</f>
        <v>-22785</v>
      </c>
      <c r="N39" s="60">
        <f>'0. Database'!O41</f>
        <v>-24953</v>
      </c>
      <c r="O39" s="60">
        <f>'0. Database'!P41</f>
        <v>-27937.33</v>
      </c>
      <c r="P39" s="60">
        <f>'0. Database'!Q41</f>
        <v>-30032.63</v>
      </c>
      <c r="Q39" s="60">
        <f>'0. Database'!R41</f>
        <v>-31979.73</v>
      </c>
      <c r="R39" s="60">
        <f>'0. Database'!S41</f>
        <v>-33657.1</v>
      </c>
      <c r="S39" s="60">
        <f>'0. Database'!T41</f>
        <v>-35339.95</v>
      </c>
    </row>
    <row r="40" customHeight="1" spans="1:19">
      <c r="A40" s="59" t="s">
        <v>48</v>
      </c>
      <c r="B40" s="60">
        <f>'0. Database'!C58</f>
        <v>-906</v>
      </c>
      <c r="C40" s="60">
        <f>'0. Database'!D58</f>
        <v>-1837</v>
      </c>
      <c r="D40" s="60">
        <f>'0. Database'!E58</f>
        <v>-2969</v>
      </c>
      <c r="E40" s="60">
        <f>'0. Database'!F58</f>
        <v>-3202</v>
      </c>
      <c r="F40" s="60">
        <f>'0. Database'!G58</f>
        <v>-3723</v>
      </c>
      <c r="G40" s="60">
        <f>'0. Database'!H58</f>
        <v>-4152</v>
      </c>
      <c r="H40" s="60">
        <f>'0. Database'!I58</f>
        <v>-4835</v>
      </c>
      <c r="I40" s="60">
        <f>'0. Database'!J58</f>
        <v>-6536</v>
      </c>
      <c r="J40" s="60">
        <f>'0. Database'!K58</f>
        <v>-9163</v>
      </c>
      <c r="K40" s="60">
        <f>'0. Database'!L58</f>
        <v>-11991</v>
      </c>
      <c r="L40" s="60">
        <f>'0. Database'!M58</f>
        <v>-14027</v>
      </c>
      <c r="M40" s="60">
        <f>'0. Database'!N58</f>
        <v>-16690</v>
      </c>
      <c r="N40" s="60">
        <f>'0. Database'!O58</f>
        <v>-20426</v>
      </c>
      <c r="O40" s="60">
        <f>'0. Database'!P58</f>
        <v>-23722.2</v>
      </c>
      <c r="P40" s="60">
        <f>'0. Database'!Q58</f>
        <v>-24908.31</v>
      </c>
      <c r="Q40" s="60">
        <f>'0. Database'!R58</f>
        <v>-26153.73</v>
      </c>
      <c r="R40" s="60">
        <f>'0. Database'!S58</f>
        <v>-27461.41</v>
      </c>
      <c r="S40" s="60">
        <f>'0. Database'!T58</f>
        <v>-28834.48</v>
      </c>
    </row>
    <row r="41" customHeight="1" spans="1:19">
      <c r="A41" s="59" t="s">
        <v>55</v>
      </c>
      <c r="B41" s="60">
        <f>'0. Database'!C76</f>
        <v>755</v>
      </c>
      <c r="C41" s="60">
        <f>'0. Database'!D76</f>
        <v>805</v>
      </c>
      <c r="D41" s="60">
        <f>'0. Database'!E76</f>
        <v>933</v>
      </c>
      <c r="E41" s="60">
        <f>'0. Database'!F76</f>
        <v>1037</v>
      </c>
      <c r="F41" s="60">
        <f>'0. Database'!G76</f>
        <v>1350</v>
      </c>
      <c r="G41" s="60">
        <f>'0. Database'!H76</f>
        <v>1607</v>
      </c>
      <c r="H41" s="60">
        <f>'0. Database'!I76</f>
        <v>1653</v>
      </c>
      <c r="I41" s="60">
        <f>'0. Database'!J76</f>
        <v>1590</v>
      </c>
      <c r="J41" s="60">
        <f>'0. Database'!K76</f>
        <v>1837</v>
      </c>
      <c r="K41" s="60">
        <f>'0. Database'!L76</f>
        <v>2613</v>
      </c>
      <c r="L41" s="60">
        <f>'0. Database'!M76</f>
        <v>3547</v>
      </c>
      <c r="M41" s="60">
        <f>'0. Database'!N76</f>
        <v>3974</v>
      </c>
      <c r="N41" s="60">
        <f>'0. Database'!O76</f>
        <v>4674</v>
      </c>
      <c r="O41" s="60">
        <f>'0. Database'!P76</f>
        <v>5069.6</v>
      </c>
      <c r="P41" s="60">
        <f>'0. Database'!Q76</f>
        <v>6473.15</v>
      </c>
      <c r="Q41" s="60">
        <f>'0. Database'!R76</f>
        <v>8609.75</v>
      </c>
      <c r="R41" s="60">
        <f>'0. Database'!S76</f>
        <v>10649.61</v>
      </c>
      <c r="S41" s="60">
        <f>'0. Database'!T76</f>
        <v>11212.32</v>
      </c>
    </row>
    <row r="43" customHeight="1" spans="1:19">
      <c r="A43" s="58" t="s">
        <v>96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customHeight="1" spans="1:19">
      <c r="A44" s="10" t="s">
        <v>76</v>
      </c>
      <c r="B44" s="10" t="s">
        <v>3</v>
      </c>
      <c r="C44" s="10" t="s">
        <v>4</v>
      </c>
      <c r="D44" s="10" t="s">
        <v>5</v>
      </c>
      <c r="E44" s="10" t="s">
        <v>6</v>
      </c>
      <c r="F44" s="10" t="s">
        <v>7</v>
      </c>
      <c r="G44" s="10" t="s">
        <v>8</v>
      </c>
      <c r="H44" s="10" t="s">
        <v>9</v>
      </c>
      <c r="I44" s="10" t="s">
        <v>10</v>
      </c>
      <c r="J44" s="10" t="s">
        <v>11</v>
      </c>
      <c r="K44" s="10" t="s">
        <v>12</v>
      </c>
      <c r="L44" s="10" t="s">
        <v>13</v>
      </c>
      <c r="M44" s="10" t="s">
        <v>14</v>
      </c>
      <c r="N44" s="10" t="s">
        <v>15</v>
      </c>
      <c r="O44" s="10" t="s">
        <v>16</v>
      </c>
      <c r="P44" s="10" t="s">
        <v>17</v>
      </c>
      <c r="Q44" s="10" t="s">
        <v>18</v>
      </c>
      <c r="R44" s="10" t="s">
        <v>19</v>
      </c>
      <c r="S44" s="10" t="s">
        <v>20</v>
      </c>
    </row>
    <row r="45" customHeight="1" spans="1:19">
      <c r="A45" s="59" t="s">
        <v>22</v>
      </c>
      <c r="B45" s="60">
        <f>'0. Database'!C5</f>
        <v>77849</v>
      </c>
      <c r="C45" s="60">
        <f>'0. Database'!D5</f>
        <v>86833</v>
      </c>
      <c r="D45" s="60">
        <f>'0. Database'!E5</f>
        <v>93580</v>
      </c>
      <c r="E45" s="60">
        <f>'0. Database'!F5</f>
        <v>85320</v>
      </c>
      <c r="F45" s="60">
        <f>'0. Database'!G5</f>
        <v>96571</v>
      </c>
      <c r="G45" s="60">
        <f>'0. Database'!H5</f>
        <v>110360</v>
      </c>
      <c r="H45" s="60">
        <f>'0. Database'!I5</f>
        <v>125843</v>
      </c>
      <c r="I45" s="60">
        <f>'0. Database'!J5</f>
        <v>143015</v>
      </c>
      <c r="J45" s="60">
        <f>'0. Database'!K5</f>
        <v>168088</v>
      </c>
      <c r="K45" s="60">
        <f>'0. Database'!L5</f>
        <v>198270</v>
      </c>
      <c r="L45" s="60">
        <f>'0. Database'!M5</f>
        <v>211915</v>
      </c>
      <c r="M45" s="60">
        <f>'0. Database'!N5</f>
        <v>245122</v>
      </c>
      <c r="N45" s="60">
        <f>'0. Database'!O5</f>
        <v>281724</v>
      </c>
      <c r="O45" s="60">
        <f>'0. Database'!P5</f>
        <v>329440.24</v>
      </c>
      <c r="P45" s="60">
        <f>'0. Database'!Q5</f>
        <v>387103.71</v>
      </c>
      <c r="Q45" s="60">
        <f>'0. Database'!R5</f>
        <v>463474.17</v>
      </c>
      <c r="R45" s="60">
        <f>'0. Database'!S5</f>
        <v>553714.52</v>
      </c>
      <c r="S45" s="60">
        <f>'0. Database'!T5</f>
        <v>652772.62</v>
      </c>
    </row>
    <row r="46" customHeight="1" spans="1:19">
      <c r="A46" s="59" t="s">
        <v>38</v>
      </c>
      <c r="B46" s="60">
        <f>'0. Database'!C21</f>
        <v>74453</v>
      </c>
      <c r="C46" s="60">
        <f>'0. Database'!D21</f>
        <v>88988.4</v>
      </c>
      <c r="D46" s="60">
        <f>'0. Database'!E21</f>
        <v>107006.6</v>
      </c>
      <c r="E46" s="60">
        <f>'0. Database'!F21</f>
        <v>135987</v>
      </c>
      <c r="F46" s="60">
        <f>'0. Database'!G21</f>
        <v>177866</v>
      </c>
      <c r="G46" s="60">
        <f>'0. Database'!H21</f>
        <v>232887</v>
      </c>
      <c r="H46" s="60">
        <f>'0. Database'!I21</f>
        <v>280522</v>
      </c>
      <c r="I46" s="60">
        <f>'0. Database'!J21</f>
        <v>386064</v>
      </c>
      <c r="J46" s="60">
        <f>'0. Database'!K21</f>
        <v>469822</v>
      </c>
      <c r="K46" s="60">
        <f>'0. Database'!L21</f>
        <v>513983</v>
      </c>
      <c r="L46" s="60">
        <f>'0. Database'!M21</f>
        <v>574785</v>
      </c>
      <c r="M46" s="60">
        <f>'0. Database'!N21</f>
        <v>637959</v>
      </c>
      <c r="N46" s="60">
        <f>'0. Database'!O21</f>
        <v>716924</v>
      </c>
      <c r="O46" s="60">
        <f>'0. Database'!P21</f>
        <v>827599.51</v>
      </c>
      <c r="P46" s="60">
        <f>'0. Database'!Q21</f>
        <v>946630.91</v>
      </c>
      <c r="Q46" s="60">
        <f>'0. Database'!R21</f>
        <v>1063340.59</v>
      </c>
      <c r="R46" s="60">
        <f>'0. Database'!S21</f>
        <v>1183117.72</v>
      </c>
      <c r="S46" s="60">
        <f>'0. Database'!T21</f>
        <v>1305415.48</v>
      </c>
    </row>
    <row r="47" customHeight="1" spans="1:19">
      <c r="A47" s="59" t="s">
        <v>42</v>
      </c>
      <c r="B47" s="60">
        <f>'0. Database'!C36</f>
        <v>55519</v>
      </c>
      <c r="C47" s="60">
        <f>'0. Database'!D36</f>
        <v>66001</v>
      </c>
      <c r="D47" s="60">
        <f>'0. Database'!E36</f>
        <v>74989</v>
      </c>
      <c r="E47" s="60">
        <f>'0. Database'!F36</f>
        <v>90272</v>
      </c>
      <c r="F47" s="60">
        <f>'0. Database'!G36</f>
        <v>110855</v>
      </c>
      <c r="G47" s="60">
        <f>'0. Database'!H36</f>
        <v>136819</v>
      </c>
      <c r="H47" s="60">
        <f>'0. Database'!I36</f>
        <v>161857</v>
      </c>
      <c r="I47" s="60">
        <f>'0. Database'!J36</f>
        <v>182527</v>
      </c>
      <c r="J47" s="60">
        <f>'0. Database'!K36</f>
        <v>257637</v>
      </c>
      <c r="K47" s="60">
        <f>'0. Database'!L36</f>
        <v>282836</v>
      </c>
      <c r="L47" s="60">
        <f>'0. Database'!M36</f>
        <v>307394</v>
      </c>
      <c r="M47" s="60">
        <f>'0. Database'!N36</f>
        <v>350018</v>
      </c>
      <c r="N47" s="60">
        <f>'0. Database'!O36</f>
        <v>402836</v>
      </c>
      <c r="O47" s="60">
        <f>'0. Database'!P36</f>
        <v>488278.6</v>
      </c>
      <c r="P47" s="60">
        <f>'0. Database'!Q36</f>
        <v>591935.74</v>
      </c>
      <c r="Q47" s="60">
        <f>'0. Database'!R36</f>
        <v>701414.49</v>
      </c>
      <c r="R47" s="60">
        <f>'0. Database'!S36</f>
        <v>815276.88</v>
      </c>
      <c r="S47" s="60">
        <f>'0. Database'!T36</f>
        <v>921874.95</v>
      </c>
    </row>
    <row r="48" customHeight="1" spans="1:19">
      <c r="A48" s="59" t="s">
        <v>48</v>
      </c>
      <c r="B48" s="60">
        <f>'0. Database'!C53</f>
        <v>7872</v>
      </c>
      <c r="C48" s="60">
        <f>'0. Database'!D53</f>
        <v>12466</v>
      </c>
      <c r="D48" s="60">
        <f>'0. Database'!E53</f>
        <v>17927</v>
      </c>
      <c r="E48" s="60">
        <f>'0. Database'!F53</f>
        <v>27638</v>
      </c>
      <c r="F48" s="60">
        <f>'0. Database'!G53</f>
        <v>40653</v>
      </c>
      <c r="G48" s="60">
        <f>'0. Database'!H53</f>
        <v>55838</v>
      </c>
      <c r="H48" s="60">
        <f>'0. Database'!I53</f>
        <v>70696.5</v>
      </c>
      <c r="I48" s="60">
        <f>'0. Database'!J53</f>
        <v>85966</v>
      </c>
      <c r="J48" s="60">
        <f>'0. Database'!K53</f>
        <v>117929</v>
      </c>
      <c r="K48" s="60">
        <f>'0. Database'!L53</f>
        <v>116609</v>
      </c>
      <c r="L48" s="60">
        <f>'0. Database'!M53</f>
        <v>134901</v>
      </c>
      <c r="M48" s="60">
        <f>'0. Database'!N53</f>
        <v>164500</v>
      </c>
      <c r="N48" s="60">
        <f>'0. Database'!O53</f>
        <v>200965</v>
      </c>
      <c r="O48" s="60">
        <f>'0. Database'!P53</f>
        <v>255175.56</v>
      </c>
      <c r="P48" s="60">
        <f>'0. Database'!Q53</f>
        <v>306410.52</v>
      </c>
      <c r="Q48" s="60">
        <f>'0. Database'!R53</f>
        <v>357336.07</v>
      </c>
      <c r="R48" s="60">
        <f>'0. Database'!S53</f>
        <v>407351.97</v>
      </c>
      <c r="S48" s="60">
        <f>'0. Database'!T53</f>
        <v>456192.68</v>
      </c>
    </row>
    <row r="49" customHeight="1" spans="1:19">
      <c r="A49" s="59" t="s">
        <v>55</v>
      </c>
      <c r="B49" s="60">
        <f>'0. Database'!C71</f>
        <v>37253</v>
      </c>
      <c r="C49" s="60">
        <f>'0. Database'!D71</f>
        <v>38305</v>
      </c>
      <c r="D49" s="60">
        <f>'0. Database'!E71</f>
        <v>38253</v>
      </c>
      <c r="E49" s="60">
        <f>'0. Database'!F71</f>
        <v>37057</v>
      </c>
      <c r="F49" s="60">
        <f>'0. Database'!G71</f>
        <v>37899</v>
      </c>
      <c r="G49" s="60">
        <f>'0. Database'!H71</f>
        <v>39431</v>
      </c>
      <c r="H49" s="60">
        <f>'0. Database'!I71</f>
        <v>39525</v>
      </c>
      <c r="I49" s="60">
        <f>'0. Database'!J71</f>
        <v>39073</v>
      </c>
      <c r="J49" s="60">
        <f>'0. Database'!K71</f>
        <v>40481</v>
      </c>
      <c r="K49" s="60">
        <f>'0. Database'!L71</f>
        <v>42441</v>
      </c>
      <c r="L49" s="60">
        <f>'0. Database'!M71</f>
        <v>49955</v>
      </c>
      <c r="M49" s="60">
        <f>'0. Database'!N71</f>
        <v>52961</v>
      </c>
      <c r="N49" s="60">
        <f>'0. Database'!O71</f>
        <v>57399</v>
      </c>
      <c r="O49" s="60">
        <f>'0. Database'!P71</f>
        <v>67286.75</v>
      </c>
      <c r="P49" s="60">
        <f>'0. Database'!Q71</f>
        <v>88782.02</v>
      </c>
      <c r="Q49" s="60">
        <f>'0. Database'!R71</f>
        <v>125445.05</v>
      </c>
      <c r="R49" s="60">
        <f>'0. Database'!S71</f>
        <v>165192.96</v>
      </c>
      <c r="S49" s="60">
        <f>'0. Database'!T71</f>
        <v>185555.08</v>
      </c>
    </row>
    <row r="51" customHeight="1" spans="1:19">
      <c r="A51" s="58" t="s">
        <v>108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customHeight="1" spans="1:19">
      <c r="A52" s="10" t="s">
        <v>76</v>
      </c>
      <c r="B52" s="10" t="s">
        <v>3</v>
      </c>
      <c r="C52" s="10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0" t="s">
        <v>9</v>
      </c>
      <c r="I52" s="10" t="s">
        <v>10</v>
      </c>
      <c r="J52" s="10" t="s">
        <v>11</v>
      </c>
      <c r="K52" s="10" t="s">
        <v>12</v>
      </c>
      <c r="L52" s="10" t="s">
        <v>13</v>
      </c>
      <c r="M52" s="10" t="s">
        <v>14</v>
      </c>
      <c r="N52" s="10" t="s">
        <v>15</v>
      </c>
      <c r="O52" s="10" t="s">
        <v>16</v>
      </c>
      <c r="P52" s="10" t="s">
        <v>17</v>
      </c>
      <c r="Q52" s="10" t="s">
        <v>18</v>
      </c>
      <c r="R52" s="10" t="s">
        <v>19</v>
      </c>
      <c r="S52" s="10" t="s">
        <v>20</v>
      </c>
    </row>
    <row r="53" customHeight="1" spans="1:19">
      <c r="A53" s="59" t="s">
        <v>22</v>
      </c>
      <c r="B53" s="17">
        <f t="shared" ref="B53:S53" si="0">IFERROR(B5/B45,"")</f>
        <v>0.343793754576167</v>
      </c>
      <c r="C53" s="17">
        <f t="shared" si="0"/>
        <v>0.319682609146292</v>
      </c>
      <c r="D53" s="17">
        <f t="shared" si="0"/>
        <v>0.194069245565292</v>
      </c>
      <c r="E53" s="17">
        <f t="shared" si="0"/>
        <v>0.236544772620722</v>
      </c>
      <c r="F53" s="17">
        <f t="shared" si="0"/>
        <v>0.300556067556513</v>
      </c>
      <c r="G53" s="17">
        <f t="shared" si="0"/>
        <v>0.31766944545125</v>
      </c>
      <c r="H53" s="17">
        <f t="shared" si="0"/>
        <v>0.341369802054941</v>
      </c>
      <c r="I53" s="17">
        <f t="shared" si="0"/>
        <v>0.370303814285215</v>
      </c>
      <c r="J53" s="17">
        <f t="shared" si="0"/>
        <v>0.415948788729713</v>
      </c>
      <c r="K53" s="17">
        <f t="shared" si="0"/>
        <v>0.420552781560498</v>
      </c>
      <c r="L53" s="17">
        <f t="shared" si="0"/>
        <v>0.417728806361041</v>
      </c>
      <c r="M53" s="17">
        <f t="shared" si="0"/>
        <v>0.446442995732737</v>
      </c>
      <c r="N53" s="17">
        <f t="shared" si="0"/>
        <v>0.456219562408599</v>
      </c>
      <c r="O53" s="17">
        <f t="shared" si="0"/>
        <v>0.465802538269156</v>
      </c>
      <c r="P53" s="17">
        <f t="shared" si="0"/>
        <v>0.463117571257584</v>
      </c>
      <c r="Q53" s="17">
        <f t="shared" si="0"/>
        <v>0.469393623381428</v>
      </c>
      <c r="R53" s="17">
        <f t="shared" si="0"/>
        <v>0.480824089640994</v>
      </c>
      <c r="S53" s="17">
        <f t="shared" si="0"/>
        <v>0.487820996536282</v>
      </c>
    </row>
    <row r="54" customHeight="1" spans="1:19">
      <c r="A54" s="59" t="s">
        <v>38</v>
      </c>
      <c r="B54" s="17">
        <f t="shared" ref="B54:S54" si="1">IFERROR(B6/B46,"")</f>
        <v>0.0100063127073456</v>
      </c>
      <c r="C54" s="17">
        <f t="shared" si="1"/>
        <v>0.0020047556760207</v>
      </c>
      <c r="D54" s="17">
        <f t="shared" si="1"/>
        <v>0.0208641336141883</v>
      </c>
      <c r="E54" s="17">
        <f t="shared" si="1"/>
        <v>0.0307823541956216</v>
      </c>
      <c r="F54" s="17">
        <f t="shared" si="1"/>
        <v>0.023090416380871</v>
      </c>
      <c r="G54" s="17">
        <f t="shared" si="1"/>
        <v>0.0533305852194412</v>
      </c>
      <c r="H54" s="17">
        <f t="shared" si="1"/>
        <v>0.0518319418797813</v>
      </c>
      <c r="I54" s="17">
        <f t="shared" si="1"/>
        <v>0.0593139997513366</v>
      </c>
      <c r="J54" s="17">
        <f t="shared" si="1"/>
        <v>0.0529540975092695</v>
      </c>
      <c r="K54" s="17">
        <f t="shared" si="1"/>
        <v>0.0238295819122422</v>
      </c>
      <c r="L54" s="17">
        <f t="shared" si="1"/>
        <v>0.0641144079960333</v>
      </c>
      <c r="M54" s="17">
        <f t="shared" si="1"/>
        <v>0.107519448742004</v>
      </c>
      <c r="N54" s="17">
        <f t="shared" si="1"/>
        <v>0.111552967957552</v>
      </c>
      <c r="O54" s="17">
        <f t="shared" si="1"/>
        <v>0.131708463674658</v>
      </c>
      <c r="P54" s="17">
        <f t="shared" si="1"/>
        <v>0.154365760146159</v>
      </c>
      <c r="Q54" s="17">
        <f t="shared" si="1"/>
        <v>0.172540408713261</v>
      </c>
      <c r="R54" s="17">
        <f t="shared" si="1"/>
        <v>0.188661589820496</v>
      </c>
      <c r="S54" s="17">
        <f t="shared" si="1"/>
        <v>0.202680597904355</v>
      </c>
    </row>
    <row r="55" customHeight="1" spans="1:19">
      <c r="A55" s="59" t="s">
        <v>42</v>
      </c>
      <c r="B55" s="17">
        <f t="shared" ref="B55:S55" si="2">IFERROR(B7/B47,"")</f>
        <v>0.27743655325204</v>
      </c>
      <c r="C55" s="17">
        <f t="shared" si="2"/>
        <v>0.249935607036257</v>
      </c>
      <c r="D55" s="17">
        <f t="shared" si="2"/>
        <v>0.258171198442438</v>
      </c>
      <c r="E55" s="17">
        <f t="shared" si="2"/>
        <v>0.262717121588089</v>
      </c>
      <c r="F55" s="17">
        <f t="shared" si="2"/>
        <v>0.235857651887601</v>
      </c>
      <c r="G55" s="17">
        <f t="shared" si="2"/>
        <v>0.196997493038248</v>
      </c>
      <c r="H55" s="17">
        <f t="shared" si="2"/>
        <v>0.211489154006314</v>
      </c>
      <c r="I55" s="17">
        <f t="shared" si="2"/>
        <v>0.225851517857632</v>
      </c>
      <c r="J55" s="17">
        <f t="shared" si="2"/>
        <v>0.305522886852432</v>
      </c>
      <c r="K55" s="17">
        <f t="shared" si="2"/>
        <v>0.26461270842467</v>
      </c>
      <c r="L55" s="17">
        <f t="shared" si="2"/>
        <v>0.274218104452266</v>
      </c>
      <c r="M55" s="17">
        <f t="shared" si="2"/>
        <v>0.321097772114577</v>
      </c>
      <c r="N55" s="17">
        <f t="shared" si="2"/>
        <v>0.3203263859238</v>
      </c>
      <c r="O55" s="17">
        <f t="shared" si="2"/>
        <v>0.342669553816202</v>
      </c>
      <c r="P55" s="17">
        <f t="shared" si="2"/>
        <v>0.355253646282618</v>
      </c>
      <c r="Q55" s="17">
        <f t="shared" si="2"/>
        <v>0.36181091725094</v>
      </c>
      <c r="R55" s="17">
        <f t="shared" si="2"/>
        <v>0.366157445799273</v>
      </c>
      <c r="S55" s="17">
        <f t="shared" si="2"/>
        <v>0.367020570414675</v>
      </c>
    </row>
    <row r="56" customHeight="1" spans="1:19">
      <c r="A56" s="59" t="s">
        <v>48</v>
      </c>
      <c r="B56" s="17">
        <f t="shared" ref="B56:S56" si="3">IFERROR(B8/B48,"")</f>
        <v>0.35619918699187</v>
      </c>
      <c r="C56" s="17">
        <f t="shared" si="3"/>
        <v>0.400673832825285</v>
      </c>
      <c r="D56" s="17">
        <f t="shared" si="3"/>
        <v>0.347241590896413</v>
      </c>
      <c r="E56" s="17">
        <f t="shared" si="3"/>
        <v>0.449634561111513</v>
      </c>
      <c r="F56" s="17">
        <f t="shared" si="3"/>
        <v>0.496937495387794</v>
      </c>
      <c r="G56" s="17">
        <f t="shared" si="3"/>
        <v>0.446165693613668</v>
      </c>
      <c r="H56" s="17">
        <f t="shared" si="3"/>
        <v>0.339274221496114</v>
      </c>
      <c r="I56" s="17">
        <f t="shared" si="3"/>
        <v>0.380045599423028</v>
      </c>
      <c r="J56" s="17">
        <f t="shared" si="3"/>
        <v>0.396450406600582</v>
      </c>
      <c r="K56" s="17">
        <f t="shared" si="3"/>
        <v>0.248222692931077</v>
      </c>
      <c r="L56" s="17">
        <f t="shared" si="3"/>
        <v>0.346557846124195</v>
      </c>
      <c r="M56" s="17">
        <f t="shared" si="3"/>
        <v>0.421762917933131</v>
      </c>
      <c r="N56" s="17">
        <f t="shared" si="3"/>
        <v>0.414380613539671</v>
      </c>
      <c r="O56" s="17">
        <f t="shared" si="3"/>
        <v>0.354617777658644</v>
      </c>
      <c r="P56" s="17">
        <f t="shared" si="3"/>
        <v>0.340842115995234</v>
      </c>
      <c r="Q56" s="17">
        <f t="shared" si="3"/>
        <v>0.331377350179063</v>
      </c>
      <c r="R56" s="17">
        <f t="shared" si="3"/>
        <v>0.32287495749683</v>
      </c>
      <c r="S56" s="17">
        <f t="shared" si="3"/>
        <v>0.313057785144645</v>
      </c>
    </row>
    <row r="57" customHeight="1" spans="1:19">
      <c r="A57" s="59" t="s">
        <v>55</v>
      </c>
      <c r="B57" s="17">
        <f t="shared" ref="B57:S57" si="4">IFERROR(B9/B49,"")</f>
        <v>0.39416959707943</v>
      </c>
      <c r="C57" s="17">
        <f t="shared" si="4"/>
        <v>0.385276073619632</v>
      </c>
      <c r="D57" s="17">
        <f t="shared" si="4"/>
        <v>0.36258594097195</v>
      </c>
      <c r="E57" s="17">
        <f t="shared" si="4"/>
        <v>0.34012467280136</v>
      </c>
      <c r="F57" s="17">
        <f t="shared" si="4"/>
        <v>0.335365049209742</v>
      </c>
      <c r="G57" s="17">
        <f t="shared" si="4"/>
        <v>0.336385077730719</v>
      </c>
      <c r="H57" s="17">
        <f t="shared" si="4"/>
        <v>0.342441492726123</v>
      </c>
      <c r="I57" s="17">
        <f t="shared" si="4"/>
        <v>0.355667596550047</v>
      </c>
      <c r="J57" s="17">
        <f t="shared" si="4"/>
        <v>0.375830636594946</v>
      </c>
      <c r="K57" s="17">
        <f t="shared" si="4"/>
        <v>0.257463301995712</v>
      </c>
      <c r="L57" s="17">
        <f t="shared" si="4"/>
        <v>0.262115904313882</v>
      </c>
      <c r="M57" s="17">
        <f t="shared" si="4"/>
        <v>0.289911444270312</v>
      </c>
      <c r="N57" s="17">
        <f t="shared" si="4"/>
        <v>0.307984459659576</v>
      </c>
      <c r="O57" s="17">
        <f t="shared" si="4"/>
        <v>0.289246248332696</v>
      </c>
      <c r="P57" s="17">
        <f t="shared" si="4"/>
        <v>0.23797825280389</v>
      </c>
      <c r="Q57" s="17">
        <f t="shared" si="4"/>
        <v>0.294398702858343</v>
      </c>
      <c r="R57" s="17">
        <f t="shared" si="4"/>
        <v>0.32118626604911</v>
      </c>
      <c r="S57" s="17">
        <f t="shared" si="4"/>
        <v>0.312321387266789</v>
      </c>
    </row>
    <row r="59" customHeight="1" spans="1:19">
      <c r="A59" s="58" t="s">
        <v>109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customHeight="1" spans="1:19">
      <c r="A60" s="10" t="s">
        <v>76</v>
      </c>
      <c r="B60" s="10" t="s">
        <v>3</v>
      </c>
      <c r="C60" s="10" t="s">
        <v>4</v>
      </c>
      <c r="D60" s="10" t="s">
        <v>5</v>
      </c>
      <c r="E60" s="10" t="s">
        <v>6</v>
      </c>
      <c r="F60" s="10" t="s">
        <v>7</v>
      </c>
      <c r="G60" s="10" t="s">
        <v>8</v>
      </c>
      <c r="H60" s="10" t="s">
        <v>9</v>
      </c>
      <c r="I60" s="10" t="s">
        <v>10</v>
      </c>
      <c r="J60" s="10" t="s">
        <v>11</v>
      </c>
      <c r="K60" s="10" t="s">
        <v>12</v>
      </c>
      <c r="L60" s="10" t="s">
        <v>13</v>
      </c>
      <c r="M60" s="10" t="s">
        <v>14</v>
      </c>
      <c r="N60" s="10" t="s">
        <v>15</v>
      </c>
      <c r="O60" s="10" t="s">
        <v>16</v>
      </c>
      <c r="P60" s="10" t="s">
        <v>17</v>
      </c>
      <c r="Q60" s="10" t="s">
        <v>18</v>
      </c>
      <c r="R60" s="10" t="s">
        <v>19</v>
      </c>
      <c r="S60" s="10" t="s">
        <v>20</v>
      </c>
    </row>
    <row r="61" customHeight="1" spans="1:19">
      <c r="A61" s="59" t="s">
        <v>22</v>
      </c>
      <c r="B61" s="17">
        <f t="shared" ref="B61:S61" si="5">IFERROR(B13/B45,"")</f>
        <v>0.280838546416781</v>
      </c>
      <c r="C61" s="17">
        <f t="shared" si="5"/>
        <v>0.25421210829984</v>
      </c>
      <c r="D61" s="17">
        <f t="shared" si="5"/>
        <v>0.130294934815131</v>
      </c>
      <c r="E61" s="17">
        <f t="shared" si="5"/>
        <v>0.196882325363338</v>
      </c>
      <c r="F61" s="17">
        <f t="shared" si="5"/>
        <v>0.263940520446097</v>
      </c>
      <c r="G61" s="17">
        <f t="shared" si="5"/>
        <v>0.150154041319319</v>
      </c>
      <c r="H61" s="17">
        <f t="shared" si="5"/>
        <v>0.311817105440907</v>
      </c>
      <c r="I61" s="17">
        <f t="shared" si="5"/>
        <v>0.3096248645247</v>
      </c>
      <c r="J61" s="17">
        <f t="shared" si="5"/>
        <v>0.364517395649898</v>
      </c>
      <c r="K61" s="17">
        <f t="shared" si="5"/>
        <v>0.366863368134362</v>
      </c>
      <c r="L61" s="17">
        <f t="shared" si="5"/>
        <v>0.341462378783946</v>
      </c>
      <c r="M61" s="17">
        <f t="shared" si="5"/>
        <v>0.35955972944085</v>
      </c>
      <c r="N61" s="17">
        <f t="shared" si="5"/>
        <v>0.361460152489671</v>
      </c>
      <c r="O61" s="17">
        <f t="shared" si="5"/>
        <v>0.392705092735484</v>
      </c>
      <c r="P61" s="17">
        <f t="shared" si="5"/>
        <v>0.374503153173086</v>
      </c>
      <c r="Q61" s="17">
        <f t="shared" si="5"/>
        <v>0.379058707845574</v>
      </c>
      <c r="R61" s="17">
        <f t="shared" si="5"/>
        <v>0.389139551550861</v>
      </c>
      <c r="S61" s="17">
        <f t="shared" si="5"/>
        <v>0.396689983718986</v>
      </c>
    </row>
    <row r="62" customHeight="1" spans="1:19">
      <c r="A62" s="59" t="s">
        <v>38</v>
      </c>
      <c r="B62" s="17">
        <f t="shared" ref="B62:S62" si="6">IFERROR(B14/B46,"")</f>
        <v>0.00366674277732261</v>
      </c>
      <c r="C62" s="17">
        <f t="shared" si="6"/>
        <v>-0.00270372318189787</v>
      </c>
      <c r="D62" s="17">
        <f t="shared" si="6"/>
        <v>0.00557068442507285</v>
      </c>
      <c r="E62" s="17">
        <f t="shared" si="6"/>
        <v>0.0174354901571474</v>
      </c>
      <c r="F62" s="17">
        <f t="shared" si="6"/>
        <v>0.0170521628641787</v>
      </c>
      <c r="G62" s="17">
        <f t="shared" si="6"/>
        <v>0.0432527363055903</v>
      </c>
      <c r="H62" s="17">
        <f t="shared" si="6"/>
        <v>0.0413087030607225</v>
      </c>
      <c r="I62" s="17">
        <f t="shared" si="6"/>
        <v>0.0552524969953168</v>
      </c>
      <c r="J62" s="17">
        <f t="shared" si="6"/>
        <v>0.0710141287551456</v>
      </c>
      <c r="K62" s="17">
        <f t="shared" si="6"/>
        <v>-0.0052958950004183</v>
      </c>
      <c r="L62" s="17">
        <f t="shared" si="6"/>
        <v>0.0529328357559783</v>
      </c>
      <c r="M62" s="17">
        <f t="shared" si="6"/>
        <v>0.0928711719718665</v>
      </c>
      <c r="N62" s="17">
        <f t="shared" si="6"/>
        <v>0.108337843341833</v>
      </c>
      <c r="O62" s="17">
        <f t="shared" si="6"/>
        <v>0.118818001716797</v>
      </c>
      <c r="P62" s="17">
        <f t="shared" si="6"/>
        <v>0.122770552675065</v>
      </c>
      <c r="Q62" s="17">
        <f t="shared" si="6"/>
        <v>0.136378128855215</v>
      </c>
      <c r="R62" s="17">
        <f t="shared" si="6"/>
        <v>0.149753652578207</v>
      </c>
      <c r="S62" s="17">
        <f t="shared" si="6"/>
        <v>0.162343708380109</v>
      </c>
    </row>
    <row r="63" customHeight="1" spans="1:19">
      <c r="A63" s="59" t="s">
        <v>42</v>
      </c>
      <c r="B63" s="17">
        <f t="shared" ref="B63:S63" si="7">IFERROR(B15/B47,"")</f>
        <v>0.229110754876709</v>
      </c>
      <c r="C63" s="17">
        <f t="shared" si="7"/>
        <v>0.214178573051923</v>
      </c>
      <c r="D63" s="17">
        <f t="shared" si="7"/>
        <v>0.218005307445092</v>
      </c>
      <c r="E63" s="17">
        <f t="shared" si="7"/>
        <v>0.215770116979794</v>
      </c>
      <c r="F63" s="17">
        <f t="shared" si="7"/>
        <v>0.114221280050516</v>
      </c>
      <c r="G63" s="17">
        <f t="shared" si="7"/>
        <v>0.224647161578436</v>
      </c>
      <c r="H63" s="17">
        <f t="shared" si="7"/>
        <v>0.212181122843003</v>
      </c>
      <c r="I63" s="17">
        <f t="shared" si="7"/>
        <v>0.220619415209805</v>
      </c>
      <c r="J63" s="17">
        <f t="shared" si="7"/>
        <v>0.295116772823779</v>
      </c>
      <c r="K63" s="17">
        <f t="shared" si="7"/>
        <v>0.21203807153262</v>
      </c>
      <c r="L63" s="17">
        <f t="shared" si="7"/>
        <v>0.240066494466385</v>
      </c>
      <c r="M63" s="17">
        <f t="shared" si="7"/>
        <v>0.28603671811164</v>
      </c>
      <c r="N63" s="17">
        <f t="shared" si="7"/>
        <v>0.328098779652265</v>
      </c>
      <c r="O63" s="17">
        <f t="shared" si="7"/>
        <v>0.345178510792814</v>
      </c>
      <c r="P63" s="17">
        <f t="shared" si="7"/>
        <v>0.295010012404387</v>
      </c>
      <c r="Q63" s="17">
        <f t="shared" si="7"/>
        <v>0.300469184775467</v>
      </c>
      <c r="R63" s="17">
        <f t="shared" si="7"/>
        <v>0.306017018414652</v>
      </c>
      <c r="S63" s="17">
        <f t="shared" si="7"/>
        <v>0.310211010723309</v>
      </c>
    </row>
    <row r="64" customHeight="1" spans="1:19">
      <c r="A64" s="59" t="s">
        <v>48</v>
      </c>
      <c r="B64" s="17">
        <f t="shared" ref="B64:S64" si="8">IFERROR(B16/B48,"")</f>
        <v>0.189405487804878</v>
      </c>
      <c r="C64" s="17">
        <f t="shared" si="8"/>
        <v>0.23462217230868</v>
      </c>
      <c r="D64" s="17">
        <f t="shared" si="8"/>
        <v>0.204663356947621</v>
      </c>
      <c r="E64" s="17">
        <f t="shared" si="8"/>
        <v>0.36859396483103</v>
      </c>
      <c r="F64" s="17">
        <f t="shared" si="8"/>
        <v>0.391582417041793</v>
      </c>
      <c r="G64" s="17">
        <f t="shared" si="8"/>
        <v>0.396002722160536</v>
      </c>
      <c r="H64" s="17">
        <f t="shared" si="8"/>
        <v>0.261462731535507</v>
      </c>
      <c r="I64" s="17">
        <f t="shared" si="8"/>
        <v>0.339029383709839</v>
      </c>
      <c r="J64" s="17">
        <f t="shared" si="8"/>
        <v>0.333844940599852</v>
      </c>
      <c r="K64" s="17">
        <f t="shared" si="8"/>
        <v>0.198946908043118</v>
      </c>
      <c r="L64" s="17">
        <f t="shared" si="8"/>
        <v>0.289819942031564</v>
      </c>
      <c r="M64" s="17">
        <f t="shared" si="8"/>
        <v>0.379088145896657</v>
      </c>
      <c r="N64" s="17">
        <f t="shared" si="8"/>
        <v>0.300838454457244</v>
      </c>
      <c r="O64" s="17">
        <f t="shared" si="8"/>
        <v>0.336171928063957</v>
      </c>
      <c r="P64" s="17">
        <f t="shared" si="8"/>
        <v>0.297512435278005</v>
      </c>
      <c r="Q64" s="17">
        <f t="shared" si="8"/>
        <v>0.289510963726668</v>
      </c>
      <c r="R64" s="17">
        <f t="shared" si="8"/>
        <v>0.284389197872297</v>
      </c>
      <c r="S64" s="17">
        <f t="shared" si="8"/>
        <v>0.280154363721926</v>
      </c>
    </row>
    <row r="65" customHeight="1" spans="1:19">
      <c r="A65" s="59" t="s">
        <v>55</v>
      </c>
      <c r="B65" s="17">
        <f t="shared" ref="B65:S65" si="9">IFERROR(B17/B49,"")</f>
        <v>0.293291815424261</v>
      </c>
      <c r="C65" s="17">
        <f t="shared" si="9"/>
        <v>0.285993995561937</v>
      </c>
      <c r="D65" s="17">
        <f t="shared" si="9"/>
        <v>0.259796617258777</v>
      </c>
      <c r="E65" s="17">
        <f t="shared" si="9"/>
        <v>0.240170548074588</v>
      </c>
      <c r="F65" s="17">
        <f t="shared" si="9"/>
        <v>0.246286181693448</v>
      </c>
      <c r="G65" s="17">
        <f t="shared" si="9"/>
        <v>0.09096903451599</v>
      </c>
      <c r="H65" s="17">
        <f t="shared" si="9"/>
        <v>0.280404807084124</v>
      </c>
      <c r="I65" s="17">
        <f t="shared" si="9"/>
        <v>0.259386276968751</v>
      </c>
      <c r="J65" s="17">
        <f t="shared" si="9"/>
        <v>0.339591413255601</v>
      </c>
      <c r="K65" s="17">
        <f t="shared" si="9"/>
        <v>0.158290332461535</v>
      </c>
      <c r="L65" s="17">
        <f t="shared" si="9"/>
        <v>0.1702332098889</v>
      </c>
      <c r="M65" s="17">
        <f t="shared" si="9"/>
        <v>0.197635996299164</v>
      </c>
      <c r="N65" s="17">
        <f t="shared" si="9"/>
        <v>0.216780780152964</v>
      </c>
      <c r="O65" s="17">
        <f t="shared" si="9"/>
        <v>0.235121327750263</v>
      </c>
      <c r="P65" s="17">
        <f t="shared" si="9"/>
        <v>0.150515836427241</v>
      </c>
      <c r="Q65" s="17">
        <f t="shared" si="9"/>
        <v>0.213453300867591</v>
      </c>
      <c r="R65" s="17">
        <f t="shared" si="9"/>
        <v>0.241141147903639</v>
      </c>
      <c r="S65" s="17">
        <f t="shared" si="9"/>
        <v>0.237689423539361</v>
      </c>
    </row>
    <row r="67" customHeight="1" spans="1:19">
      <c r="A67" s="58" t="s">
        <v>110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customHeight="1" spans="1:19">
      <c r="A68" s="10" t="s">
        <v>76</v>
      </c>
      <c r="B68" s="10" t="s">
        <v>3</v>
      </c>
      <c r="C68" s="10" t="s">
        <v>4</v>
      </c>
      <c r="D68" s="10" t="s">
        <v>5</v>
      </c>
      <c r="E68" s="10" t="s">
        <v>6</v>
      </c>
      <c r="F68" s="10" t="s">
        <v>7</v>
      </c>
      <c r="G68" s="10" t="s">
        <v>8</v>
      </c>
      <c r="H68" s="10" t="s">
        <v>9</v>
      </c>
      <c r="I68" s="10" t="s">
        <v>10</v>
      </c>
      <c r="J68" s="10" t="s">
        <v>11</v>
      </c>
      <c r="K68" s="10" t="s">
        <v>12</v>
      </c>
      <c r="L68" s="10" t="s">
        <v>13</v>
      </c>
      <c r="M68" s="10" t="s">
        <v>14</v>
      </c>
      <c r="N68" s="10" t="s">
        <v>15</v>
      </c>
      <c r="O68" s="10" t="s">
        <v>16</v>
      </c>
      <c r="P68" s="10" t="s">
        <v>17</v>
      </c>
      <c r="Q68" s="10" t="s">
        <v>18</v>
      </c>
      <c r="R68" s="10" t="s">
        <v>19</v>
      </c>
      <c r="S68" s="10" t="s">
        <v>20</v>
      </c>
    </row>
    <row r="69" customHeight="1" spans="1:19">
      <c r="A69" s="59" t="s">
        <v>22</v>
      </c>
      <c r="B69" s="61"/>
      <c r="C69" s="17">
        <f t="shared" ref="C69:S69" si="10">IFERROR(C21/B21-1,"")</f>
        <v>0.0114068441064639</v>
      </c>
      <c r="D69" s="17">
        <f t="shared" si="10"/>
        <v>-0.0263157894736843</v>
      </c>
      <c r="E69" s="17">
        <f t="shared" si="10"/>
        <v>0.0772200772200773</v>
      </c>
      <c r="F69" s="17">
        <f t="shared" si="10"/>
        <v>0.17921146953405</v>
      </c>
      <c r="G69" s="17">
        <f t="shared" si="10"/>
        <v>0.179331306990882</v>
      </c>
      <c r="H69" s="17">
        <f t="shared" si="10"/>
        <v>0.224226804123711</v>
      </c>
      <c r="I69" s="17">
        <f t="shared" si="10"/>
        <v>0.212631578947368</v>
      </c>
      <c r="J69" s="17">
        <f t="shared" si="10"/>
        <v>0.383680555555556</v>
      </c>
      <c r="K69" s="17">
        <f t="shared" si="10"/>
        <v>0.155583437892095</v>
      </c>
      <c r="L69" s="17">
        <f t="shared" si="10"/>
        <v>0.0651465798045603</v>
      </c>
      <c r="M69" s="17">
        <f t="shared" si="10"/>
        <v>0.202854230377166</v>
      </c>
      <c r="N69" s="17">
        <f t="shared" si="10"/>
        <v>0.178813559322034</v>
      </c>
      <c r="O69" s="17">
        <f t="shared" si="10"/>
        <v>0.204169662113587</v>
      </c>
      <c r="P69" s="17">
        <f t="shared" si="10"/>
        <v>0.162388059701492</v>
      </c>
      <c r="Q69" s="17">
        <f t="shared" si="10"/>
        <v>0.212634822804314</v>
      </c>
      <c r="R69" s="17">
        <f t="shared" si="10"/>
        <v>0.227022448115205</v>
      </c>
      <c r="S69" s="17">
        <f t="shared" si="10"/>
        <v>0.201933034173283</v>
      </c>
    </row>
    <row r="70" customHeight="1" spans="1:19">
      <c r="A70" s="59" t="s">
        <v>38</v>
      </c>
      <c r="B70" s="61"/>
      <c r="C70" s="17">
        <f t="shared" ref="C70:S70" si="11">IFERROR(C22/B22-1,"")</f>
        <v>-2</v>
      </c>
      <c r="D70" s="17">
        <f t="shared" si="11"/>
        <v>-3</v>
      </c>
      <c r="E70" s="17">
        <f t="shared" si="11"/>
        <v>3</v>
      </c>
      <c r="F70" s="17">
        <f t="shared" si="11"/>
        <v>0.291666666666667</v>
      </c>
      <c r="G70" s="17">
        <f t="shared" si="11"/>
        <v>2.25806451612903</v>
      </c>
      <c r="H70" s="17">
        <f t="shared" si="11"/>
        <v>0.138613861386139</v>
      </c>
      <c r="I70" s="17">
        <f t="shared" si="11"/>
        <v>0.808695652173913</v>
      </c>
      <c r="J70" s="17">
        <f t="shared" si="11"/>
        <v>0.5625</v>
      </c>
      <c r="K70" s="17">
        <f t="shared" si="11"/>
        <v>-1.08</v>
      </c>
      <c r="L70" s="17">
        <f t="shared" si="11"/>
        <v>-12.0769230769231</v>
      </c>
      <c r="M70" s="17">
        <f t="shared" si="11"/>
        <v>0.920138888888889</v>
      </c>
      <c r="N70" s="17">
        <f t="shared" si="11"/>
        <v>0.296564195298372</v>
      </c>
      <c r="O70" s="17">
        <f t="shared" si="11"/>
        <v>0.258019525801953</v>
      </c>
      <c r="P70" s="17">
        <f t="shared" si="11"/>
        <v>0.172949002217295</v>
      </c>
      <c r="Q70" s="17">
        <f t="shared" si="11"/>
        <v>0.239130434782609</v>
      </c>
      <c r="R70" s="17">
        <f t="shared" si="11"/>
        <v>0.214340198321892</v>
      </c>
      <c r="S70" s="17">
        <f t="shared" si="11"/>
        <v>0.188442211055277</v>
      </c>
    </row>
    <row r="71" customHeight="1" spans="1:19">
      <c r="A71" s="59" t="s">
        <v>42</v>
      </c>
      <c r="B71" s="61"/>
      <c r="C71" s="17">
        <f t="shared" ref="C71:S71" si="12">IFERROR(C23/B23-1,"")</f>
        <v>0.095744680851064</v>
      </c>
      <c r="D71" s="17">
        <f t="shared" si="12"/>
        <v>0.145631067961165</v>
      </c>
      <c r="E71" s="17">
        <f t="shared" si="12"/>
        <v>0.177966101694915</v>
      </c>
      <c r="F71" s="17">
        <f t="shared" si="12"/>
        <v>-0.352517985611511</v>
      </c>
      <c r="G71" s="17">
        <f t="shared" si="12"/>
        <v>1.43333333333333</v>
      </c>
      <c r="H71" s="17">
        <f t="shared" si="12"/>
        <v>0.123287671232877</v>
      </c>
      <c r="I71" s="17">
        <f t="shared" si="12"/>
        <v>0.191056910569106</v>
      </c>
      <c r="J71" s="17">
        <f t="shared" si="12"/>
        <v>0.914675767918089</v>
      </c>
      <c r="K71" s="17">
        <f t="shared" si="12"/>
        <v>-0.18716577540107</v>
      </c>
      <c r="L71" s="17">
        <f t="shared" si="12"/>
        <v>0.271929824561404</v>
      </c>
      <c r="M71" s="17">
        <f t="shared" si="12"/>
        <v>0.386206896551724</v>
      </c>
      <c r="N71" s="17">
        <f t="shared" si="12"/>
        <v>0.34452736318408</v>
      </c>
      <c r="O71" s="17">
        <f t="shared" si="12"/>
        <v>0.270120259019426</v>
      </c>
      <c r="P71" s="17">
        <f t="shared" si="12"/>
        <v>0.0313182811361981</v>
      </c>
      <c r="Q71" s="17">
        <f t="shared" si="12"/>
        <v>0.203389830508474</v>
      </c>
      <c r="R71" s="17">
        <f t="shared" si="12"/>
        <v>0.18075117370892</v>
      </c>
      <c r="S71" s="17">
        <f t="shared" si="12"/>
        <v>0.142644135188867</v>
      </c>
    </row>
    <row r="72" customHeight="1" spans="1:19">
      <c r="A72" s="59" t="s">
        <v>48</v>
      </c>
      <c r="B72" s="61"/>
      <c r="C72" s="17">
        <f t="shared" ref="C72:S72" si="13">IFERROR(C24/B24-1,"")</f>
        <v>0.864406779661017</v>
      </c>
      <c r="D72" s="17">
        <f t="shared" si="13"/>
        <v>0.163636363636364</v>
      </c>
      <c r="E72" s="17">
        <f t="shared" si="13"/>
        <v>1.71875</v>
      </c>
      <c r="F72" s="17">
        <f t="shared" si="13"/>
        <v>0.548850574712644</v>
      </c>
      <c r="G72" s="17">
        <f t="shared" si="13"/>
        <v>0.421150278293136</v>
      </c>
      <c r="H72" s="17">
        <f t="shared" si="13"/>
        <v>-0.159268929503916</v>
      </c>
      <c r="I72" s="17">
        <f t="shared" si="13"/>
        <v>0.565217391304348</v>
      </c>
      <c r="J72" s="17">
        <f t="shared" si="13"/>
        <v>0.395833333333333</v>
      </c>
      <c r="K72" s="17">
        <f t="shared" si="13"/>
        <v>-0.375266524520256</v>
      </c>
      <c r="L72" s="17">
        <f t="shared" si="13"/>
        <v>0.691695108077361</v>
      </c>
      <c r="M72" s="17">
        <f t="shared" si="13"/>
        <v>0.613315400134499</v>
      </c>
      <c r="N72" s="17">
        <f t="shared" si="13"/>
        <v>-0.0208420175072948</v>
      </c>
      <c r="O72" s="17">
        <f t="shared" si="13"/>
        <v>0.416773094934015</v>
      </c>
      <c r="P72" s="17">
        <f t="shared" si="13"/>
        <v>0.0498798076923075</v>
      </c>
      <c r="Q72" s="17">
        <f t="shared" si="13"/>
        <v>0.123068116771609</v>
      </c>
      <c r="R72" s="17">
        <f t="shared" si="13"/>
        <v>0.10881753312946</v>
      </c>
      <c r="S72" s="17">
        <f t="shared" si="13"/>
        <v>0.0921627212135143</v>
      </c>
    </row>
    <row r="73" customHeight="1" spans="1:19">
      <c r="A73" s="59" t="s">
        <v>55</v>
      </c>
      <c r="B73" s="61"/>
      <c r="C73" s="17">
        <f t="shared" ref="C73:S73" si="14">IFERROR(C25/B25-1,"")</f>
        <v>0.0530973451327434</v>
      </c>
      <c r="D73" s="17">
        <f t="shared" si="14"/>
        <v>-0.0714285714285714</v>
      </c>
      <c r="E73" s="17">
        <f t="shared" si="14"/>
        <v>-0.0633484162895929</v>
      </c>
      <c r="F73" s="17">
        <f t="shared" si="14"/>
        <v>0.067632850241546</v>
      </c>
      <c r="G73" s="17">
        <f t="shared" si="14"/>
        <v>-0.615384615384615</v>
      </c>
      <c r="H73" s="17">
        <f t="shared" si="14"/>
        <v>2.49411764705882</v>
      </c>
      <c r="I73" s="17">
        <f t="shared" si="14"/>
        <v>0.037037037037037</v>
      </c>
      <c r="J73" s="17">
        <f t="shared" si="14"/>
        <v>0.477272727272727</v>
      </c>
      <c r="K73" s="17">
        <f t="shared" si="14"/>
        <v>-0.47032967032967</v>
      </c>
      <c r="L73" s="17">
        <f t="shared" si="14"/>
        <v>0.273858921161826</v>
      </c>
      <c r="M73" s="17">
        <f t="shared" si="14"/>
        <v>0.208469055374593</v>
      </c>
      <c r="N73" s="17">
        <f t="shared" si="14"/>
        <v>0.169811320754717</v>
      </c>
      <c r="O73" s="17">
        <f t="shared" si="14"/>
        <v>0.251152073732719</v>
      </c>
      <c r="P73" s="17">
        <f t="shared" si="14"/>
        <v>-0.16390423572744</v>
      </c>
      <c r="Q73" s="17">
        <f t="shared" si="14"/>
        <v>0.977973568281938</v>
      </c>
      <c r="R73" s="17">
        <f t="shared" si="14"/>
        <v>0.464365256124722</v>
      </c>
      <c r="S73" s="17">
        <f t="shared" si="14"/>
        <v>0.0889733840304183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showGridLines="0" tabSelected="1" topLeftCell="A70" workbookViewId="0">
      <selection activeCell="P83" sqref="P83"/>
    </sheetView>
  </sheetViews>
  <sheetFormatPr defaultColWidth="8.67619047619048" defaultRowHeight="15"/>
  <cols>
    <col min="1" max="1" width="24" customWidth="1"/>
    <col min="2" max="19" width="12" customWidth="1"/>
  </cols>
  <sheetData>
    <row r="1" ht="27.75" customHeight="1" spans="1:12">
      <c r="A1" s="2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Height="1" spans="1:12">
      <c r="A3" s="9" t="s">
        <v>112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36" customHeight="1" spans="1:12">
      <c r="A4" s="10" t="s">
        <v>76</v>
      </c>
      <c r="B4" s="10" t="s">
        <v>113</v>
      </c>
      <c r="C4" s="10" t="s">
        <v>114</v>
      </c>
      <c r="D4" s="10" t="s">
        <v>115</v>
      </c>
      <c r="E4" s="10" t="s">
        <v>116</v>
      </c>
      <c r="F4" s="10" t="s">
        <v>117</v>
      </c>
      <c r="G4" s="10" t="s">
        <v>118</v>
      </c>
      <c r="H4" s="10" t="s">
        <v>119</v>
      </c>
      <c r="I4" s="10" t="s">
        <v>120</v>
      </c>
    </row>
    <row r="5" ht="19.5" customHeight="1" spans="1:12">
      <c r="A5" s="43" t="s">
        <v>22</v>
      </c>
      <c r="B5" s="44">
        <f>'0. Database'!P11</f>
        <v>39638.96</v>
      </c>
      <c r="C5" s="44">
        <f>'0. Database'!P7</f>
        <v>129372.86</v>
      </c>
      <c r="D5" s="45">
        <f>'0. Database'!P8</f>
        <v>16.75</v>
      </c>
      <c r="E5" s="44">
        <f>'0. Database'!P9</f>
        <v>7453.97</v>
      </c>
      <c r="F5" s="46">
        <v>0.18</v>
      </c>
      <c r="G5" s="47">
        <v>4.9</v>
      </c>
      <c r="H5" s="21">
        <f>$B$5*$G$5</f>
        <v>194230.904</v>
      </c>
      <c r="I5" s="21">
        <f>IFERROR($H$5/$G$5,"")</f>
        <v>39638.96</v>
      </c>
    </row>
    <row r="6" ht="19.5" customHeight="1" spans="1:12">
      <c r="A6" s="43" t="s">
        <v>38</v>
      </c>
      <c r="B6" s="44">
        <f>'0. Database'!P27</f>
        <v>81175.82</v>
      </c>
      <c r="C6" s="44">
        <f>'0. Database'!P23</f>
        <v>98333.72</v>
      </c>
      <c r="D6" s="45">
        <f>'0. Database'!P24</f>
        <v>9.02</v>
      </c>
      <c r="E6" s="44">
        <f>'0. Database'!P25</f>
        <v>10907.55</v>
      </c>
      <c r="F6" s="46">
        <v>0.2</v>
      </c>
      <c r="G6" s="47">
        <v>5.5</v>
      </c>
      <c r="H6" s="21">
        <f>$B$6*$G$6</f>
        <v>446467.01</v>
      </c>
      <c r="I6" s="21">
        <f>IFERROR($H$6/$G$6,"")</f>
        <v>81175.82</v>
      </c>
    </row>
    <row r="7" ht="19.5" customHeight="1" spans="1:12">
      <c r="A7" s="43" t="s">
        <v>42</v>
      </c>
      <c r="B7" s="44">
        <f>'0. Database'!P42</f>
        <v>42874.7</v>
      </c>
      <c r="C7" s="44">
        <f>'0. Database'!P38</f>
        <v>168543.28</v>
      </c>
      <c r="D7" s="45">
        <f>'0. Database'!P39</f>
        <v>13.73</v>
      </c>
      <c r="E7" s="44">
        <f>'0. Database'!P40</f>
        <v>12275.96</v>
      </c>
      <c r="F7" s="46">
        <v>0.16</v>
      </c>
      <c r="G7" s="47">
        <v>6</v>
      </c>
      <c r="H7" s="21">
        <f>$B$7*$G$7</f>
        <v>257248.2</v>
      </c>
      <c r="I7" s="21">
        <f>IFERROR($H$7/$G$7,"")</f>
        <v>42874.7</v>
      </c>
    </row>
    <row r="8" ht="19.5" customHeight="1" spans="1:12">
      <c r="A8" s="43" t="s">
        <v>48</v>
      </c>
      <c r="B8" s="44">
        <f>'0. Database'!P59</f>
        <v>35955.99</v>
      </c>
      <c r="C8" s="44">
        <f>'0. Database'!P55</f>
        <v>85782.86</v>
      </c>
      <c r="D8" s="45">
        <f>'0. Database'!P56</f>
        <v>33.28</v>
      </c>
      <c r="E8" s="44">
        <f>'0. Database'!P57</f>
        <v>2577.79</v>
      </c>
      <c r="F8" s="46">
        <v>0.13</v>
      </c>
      <c r="G8" s="47">
        <v>5.5</v>
      </c>
      <c r="H8" s="21">
        <f>$B$8*$G$8</f>
        <v>197757.945</v>
      </c>
      <c r="I8" s="21">
        <f>IFERROR($H$8/$G$8,"")</f>
        <v>35955.99</v>
      </c>
    </row>
    <row r="9" ht="19.5" customHeight="1" spans="1:12">
      <c r="A9" s="43" t="s">
        <v>55</v>
      </c>
      <c r="B9" s="44">
        <f>'0. Database'!P77</f>
        <v>7501.53</v>
      </c>
      <c r="C9" s="44">
        <f>'0. Database'!P73</f>
        <v>15820.55</v>
      </c>
      <c r="D9" s="45">
        <f>'0. Database'!P74</f>
        <v>5.43</v>
      </c>
      <c r="E9" s="44">
        <f>'0. Database'!P75</f>
        <v>2915.76</v>
      </c>
      <c r="F9" s="46">
        <v>0.2</v>
      </c>
      <c r="G9" s="47">
        <v>5.5</v>
      </c>
      <c r="H9" s="21">
        <f>$B$9*$G$9</f>
        <v>41258.415</v>
      </c>
      <c r="I9" s="21">
        <f>IFERROR($H$9/$G$9,"")</f>
        <v>7501.53</v>
      </c>
    </row>
    <row r="12" customHeight="1" spans="1:12">
      <c r="A12" s="9" t="s">
        <v>121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Height="1" spans="1:12">
      <c r="A13" s="18" t="s">
        <v>122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>
      <c r="A14" s="48" t="s">
        <v>123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ht="30" customHeight="1" spans="1:12">
      <c r="A15" s="10" t="s">
        <v>76</v>
      </c>
      <c r="B15" s="10" t="s">
        <v>124</v>
      </c>
      <c r="C15" s="10" t="s">
        <v>125</v>
      </c>
      <c r="D15" s="10" t="s">
        <v>126</v>
      </c>
      <c r="E15" s="10" t="s">
        <v>127</v>
      </c>
      <c r="F15" s="10" t="s">
        <v>128</v>
      </c>
      <c r="G15" s="10" t="s">
        <v>129</v>
      </c>
    </row>
    <row r="16" spans="1:12">
      <c r="A16" s="49" t="s">
        <v>22</v>
      </c>
      <c r="B16" s="21">
        <f>$H$5/6</f>
        <v>32371.8173333333</v>
      </c>
      <c r="C16" s="50">
        <f>$B$16-$B$5</f>
        <v>-7267.14266666666</v>
      </c>
      <c r="D16" s="50">
        <f>$C$16*(1-$F$5)</f>
        <v>-5959.05698666666</v>
      </c>
      <c r="E16" s="50">
        <f>$C$5-$D$16</f>
        <v>135331.916986667</v>
      </c>
      <c r="F16" s="51">
        <f>$E$16/$E$5</f>
        <v>18.1556830771611</v>
      </c>
      <c r="G16" s="17">
        <f>IFERROR($F$16/$D$5-1,"")</f>
        <v>0.0839213777409624</v>
      </c>
    </row>
    <row r="17" spans="1:12">
      <c r="A17" s="49" t="s">
        <v>38</v>
      </c>
      <c r="B17" s="21">
        <f>$H$6/6</f>
        <v>74411.1683333333</v>
      </c>
      <c r="C17" s="50">
        <f>$B$17-$B$6</f>
        <v>-6764.65166666667</v>
      </c>
      <c r="D17" s="50">
        <f>$C$17*(1-$F$6)</f>
        <v>-5411.72133333334</v>
      </c>
      <c r="E17" s="50">
        <f>$C$6-$D$17</f>
        <v>103745.441333333</v>
      </c>
      <c r="F17" s="51">
        <f>$E$17/$E$6</f>
        <v>9.51134226598396</v>
      </c>
      <c r="G17" s="17">
        <f>IFERROR($F$17/$D$6-1,"")</f>
        <v>0.0544725350314812</v>
      </c>
    </row>
    <row r="18" spans="1:12">
      <c r="A18" s="49" t="s">
        <v>42</v>
      </c>
      <c r="B18" s="21">
        <f>$H$7/6</f>
        <v>42874.7</v>
      </c>
      <c r="C18" s="50">
        <f>$B$18-$B$7</f>
        <v>0</v>
      </c>
      <c r="D18" s="50">
        <f>$C$18*(1-$F$7)</f>
        <v>0</v>
      </c>
      <c r="E18" s="50">
        <f>$C$7-$D$18</f>
        <v>168543.28</v>
      </c>
      <c r="F18" s="51">
        <f>$E$18/$E$7</f>
        <v>13.7295396856946</v>
      </c>
      <c r="G18" s="17">
        <f>IFERROR($F$18/$D$7-1,"")</f>
        <v>-3.35261693632516e-5</v>
      </c>
    </row>
    <row r="19" spans="1:12">
      <c r="A19" s="49" t="s">
        <v>48</v>
      </c>
      <c r="B19" s="21">
        <f>$H$8/6</f>
        <v>32959.6575</v>
      </c>
      <c r="C19" s="50">
        <f>$B$19-$B$8</f>
        <v>-2996.3325</v>
      </c>
      <c r="D19" s="50">
        <f>$C$19*(1-$F$8)</f>
        <v>-2606.809275</v>
      </c>
      <c r="E19" s="50">
        <f>$C$8-$D$19</f>
        <v>88389.669275</v>
      </c>
      <c r="F19" s="51">
        <f>$E$19/$E$8</f>
        <v>34.2889332626009</v>
      </c>
      <c r="G19" s="17">
        <f>IFERROR($F$19/$D$8-1,"")</f>
        <v>0.0303165042848832</v>
      </c>
    </row>
    <row r="20" spans="1:12">
      <c r="A20" s="49" t="s">
        <v>55</v>
      </c>
      <c r="B20" s="21">
        <f>$H$9/6</f>
        <v>6876.4025</v>
      </c>
      <c r="C20" s="50">
        <f>$B$20-$B$9</f>
        <v>-625.1275</v>
      </c>
      <c r="D20" s="50">
        <f>$C$20*(1-$F$9)</f>
        <v>-500.102</v>
      </c>
      <c r="E20" s="50">
        <f>$C$9-$D$20</f>
        <v>16320.652</v>
      </c>
      <c r="F20" s="51">
        <f>$E$20/$E$9</f>
        <v>5.59739210360249</v>
      </c>
      <c r="G20" s="17">
        <f>IFERROR($F$20/$D$9-1,"")</f>
        <v>0.0308272750649154</v>
      </c>
    </row>
    <row r="22" spans="1:12">
      <c r="A22" s="48" t="s">
        <v>130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ht="30" customHeight="1" spans="1:12">
      <c r="A23" s="10" t="s">
        <v>76</v>
      </c>
      <c r="B23" s="10" t="s">
        <v>124</v>
      </c>
      <c r="C23" s="10" t="s">
        <v>125</v>
      </c>
      <c r="D23" s="10" t="s">
        <v>126</v>
      </c>
      <c r="E23" s="10" t="s">
        <v>127</v>
      </c>
      <c r="F23" s="10" t="s">
        <v>128</v>
      </c>
      <c r="G23" s="10" t="s">
        <v>129</v>
      </c>
    </row>
    <row r="24" spans="1:12">
      <c r="A24" s="49" t="s">
        <v>22</v>
      </c>
      <c r="B24" s="21">
        <f>$H$5/5</f>
        <v>38846.1808</v>
      </c>
      <c r="C24" s="50">
        <f>$B$24-$B$5</f>
        <v>-792.779199999997</v>
      </c>
      <c r="D24" s="50">
        <f>$C$24*(1-$F$5)</f>
        <v>-650.078943999998</v>
      </c>
      <c r="E24" s="50">
        <f>$C$5-$D$24</f>
        <v>130022.938944</v>
      </c>
      <c r="F24" s="51">
        <f>$E$24/$E$5</f>
        <v>17.443448114763</v>
      </c>
      <c r="G24" s="17">
        <f>IFERROR($F$24/$D$5-1,"")</f>
        <v>0.0413998874485375</v>
      </c>
    </row>
    <row r="25" spans="1:12">
      <c r="A25" s="49" t="s">
        <v>38</v>
      </c>
      <c r="B25" s="21">
        <f>$H$6/5</f>
        <v>89293.402</v>
      </c>
      <c r="C25" s="50">
        <f>$B$25-$B$6</f>
        <v>8117.58199999999</v>
      </c>
      <c r="D25" s="50">
        <f>$C$25*(1-$F$6)</f>
        <v>6494.0656</v>
      </c>
      <c r="E25" s="50">
        <f>$C$6-$D$25</f>
        <v>91839.6544</v>
      </c>
      <c r="F25" s="51">
        <f>$E$25/$E$6</f>
        <v>8.41982428684718</v>
      </c>
      <c r="G25" s="17">
        <f>IFERROR($F$25/$D$6-1,"")</f>
        <v>-0.0665383274005338</v>
      </c>
    </row>
    <row r="26" spans="1:12">
      <c r="A26" s="49" t="s">
        <v>42</v>
      </c>
      <c r="B26" s="21">
        <f>$H$7/5</f>
        <v>51449.64</v>
      </c>
      <c r="C26" s="50">
        <f>$B$26-$B$7</f>
        <v>8574.94</v>
      </c>
      <c r="D26" s="50">
        <f>$C$26*(1-$F$7)</f>
        <v>7202.9496</v>
      </c>
      <c r="E26" s="50">
        <f>$C$7-$D$26</f>
        <v>161340.3304</v>
      </c>
      <c r="F26" s="51">
        <f>$E$26/$E$7</f>
        <v>13.1427872361917</v>
      </c>
      <c r="G26" s="17">
        <f>IFERROR($F$26/$D$7-1,"")</f>
        <v>-0.0427685916830508</v>
      </c>
    </row>
    <row r="27" spans="1:12">
      <c r="A27" s="49" t="s">
        <v>48</v>
      </c>
      <c r="B27" s="21">
        <f>$H$8/5</f>
        <v>39551.589</v>
      </c>
      <c r="C27" s="50">
        <f>$B$27-$B$8</f>
        <v>3595.59899999999</v>
      </c>
      <c r="D27" s="50">
        <f>$C$27*(1-$F$8)</f>
        <v>3128.17113</v>
      </c>
      <c r="E27" s="50">
        <f>$C$8-$D$27</f>
        <v>82654.68887</v>
      </c>
      <c r="F27" s="51">
        <f>$E$27/$E$8</f>
        <v>32.064166929812</v>
      </c>
      <c r="G27" s="17">
        <f>IFERROR($F$27/$D$8-1,"")</f>
        <v>-0.0365334456186306</v>
      </c>
    </row>
    <row r="28" spans="1:12">
      <c r="A28" s="49" t="s">
        <v>55</v>
      </c>
      <c r="B28" s="21">
        <f>$H$9/5</f>
        <v>8251.683</v>
      </c>
      <c r="C28" s="50">
        <f>$B$28-$B$9</f>
        <v>750.153000000001</v>
      </c>
      <c r="D28" s="50">
        <f>$C$28*(1-$F$9)</f>
        <v>600.122400000001</v>
      </c>
      <c r="E28" s="50">
        <f>$C$9-$D$28</f>
        <v>15220.4276</v>
      </c>
      <c r="F28" s="51">
        <f>$E$28/$E$9</f>
        <v>5.2200550113864</v>
      </c>
      <c r="G28" s="17">
        <f>IFERROR($F$28/$D$9-1,"")</f>
        <v>-0.0386639021387852</v>
      </c>
    </row>
    <row r="30" spans="1:12">
      <c r="A30" s="52" t="s">
        <v>131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</row>
    <row r="31" ht="30" customHeight="1" spans="1:12">
      <c r="A31" s="10" t="s">
        <v>76</v>
      </c>
      <c r="B31" s="10" t="s">
        <v>124</v>
      </c>
      <c r="C31" s="10" t="s">
        <v>125</v>
      </c>
      <c r="D31" s="10" t="s">
        <v>126</v>
      </c>
      <c r="E31" s="10" t="s">
        <v>127</v>
      </c>
      <c r="F31" s="10" t="s">
        <v>128</v>
      </c>
      <c r="G31" s="10" t="s">
        <v>129</v>
      </c>
    </row>
    <row r="32" spans="1:12">
      <c r="A32" s="49" t="s">
        <v>22</v>
      </c>
      <c r="B32" s="21">
        <f>$H$5/4</f>
        <v>48557.726</v>
      </c>
      <c r="C32" s="50">
        <f>$B$32-$B$5</f>
        <v>8918.766</v>
      </c>
      <c r="D32" s="50">
        <f>$C$32*(1-$F$5)</f>
        <v>7313.38812</v>
      </c>
      <c r="E32" s="50">
        <f>$C$5-$D$32</f>
        <v>122059.47188</v>
      </c>
      <c r="F32" s="51">
        <f>$E$32/$E$5</f>
        <v>16.3750956711658</v>
      </c>
      <c r="G32" s="17">
        <f>IFERROR($F$32/$D$5-1,"")</f>
        <v>-0.0223823479900994</v>
      </c>
    </row>
    <row r="33" spans="1:12">
      <c r="A33" s="49" t="s">
        <v>38</v>
      </c>
      <c r="B33" s="21">
        <f>$H$6/4</f>
        <v>111616.7525</v>
      </c>
      <c r="C33" s="50">
        <f>$B$33-$B$6</f>
        <v>30440.9325</v>
      </c>
      <c r="D33" s="50">
        <f>$C$33*(1-$F$6)</f>
        <v>24352.746</v>
      </c>
      <c r="E33" s="50">
        <f>$C$6-$D$33</f>
        <v>73980.974</v>
      </c>
      <c r="F33" s="51">
        <f>$E$33/$E$6</f>
        <v>6.78254731814202</v>
      </c>
      <c r="G33" s="17">
        <f>IFERROR($F$33/$D$6-1,"")</f>
        <v>-0.248054621048556</v>
      </c>
    </row>
    <row r="34" spans="1:12">
      <c r="A34" s="49" t="s">
        <v>42</v>
      </c>
      <c r="B34" s="21">
        <f>$H$7/4</f>
        <v>64312.05</v>
      </c>
      <c r="C34" s="50">
        <f>$B$34-$B$7</f>
        <v>21437.35</v>
      </c>
      <c r="D34" s="50">
        <f>$C$34*(1-$F$7)</f>
        <v>18007.374</v>
      </c>
      <c r="E34" s="50">
        <f>$C$7-$D$34</f>
        <v>150535.906</v>
      </c>
      <c r="F34" s="51">
        <f>$E$34/$E$7</f>
        <v>12.2626585619373</v>
      </c>
      <c r="G34" s="17">
        <f>IFERROR($F$34/$D$7-1,"")</f>
        <v>-0.106871189953582</v>
      </c>
    </row>
    <row r="35" spans="1:12">
      <c r="A35" s="49" t="s">
        <v>48</v>
      </c>
      <c r="B35" s="21">
        <f>$H$8/4</f>
        <v>49439.48625</v>
      </c>
      <c r="C35" s="50">
        <f>$B$35-$B$8</f>
        <v>13483.49625</v>
      </c>
      <c r="D35" s="50">
        <f>$C$35*(1-$F$8)</f>
        <v>11730.6417375</v>
      </c>
      <c r="E35" s="50">
        <f>$C$8-$D$35</f>
        <v>74052.2182625</v>
      </c>
      <c r="F35" s="51">
        <f>$E$35/$E$8</f>
        <v>28.7270174306286</v>
      </c>
      <c r="G35" s="17">
        <f>IFERROR($F$35/$D$8-1,"")</f>
        <v>-0.136808370473901</v>
      </c>
    </row>
    <row r="36" spans="1:12">
      <c r="A36" s="49" t="s">
        <v>55</v>
      </c>
      <c r="B36" s="21">
        <f>$H$9/4</f>
        <v>10314.60375</v>
      </c>
      <c r="C36" s="50">
        <f>$B$36-$B$9</f>
        <v>2813.07375</v>
      </c>
      <c r="D36" s="50">
        <f>$C$36*(1-$F$9)</f>
        <v>2250.459</v>
      </c>
      <c r="E36" s="50">
        <f>$C$9-$D$36</f>
        <v>13570.091</v>
      </c>
      <c r="F36" s="51">
        <f>$E$36/$E$9</f>
        <v>4.65404937306225</v>
      </c>
      <c r="G36" s="17">
        <f>IFERROR($F$36/$D$9-1,"")</f>
        <v>-0.142900667944336</v>
      </c>
    </row>
    <row r="38" spans="1:12">
      <c r="A38" s="52" t="s">
        <v>132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  <row r="39" ht="30" customHeight="1" spans="1:12">
      <c r="A39" s="10" t="s">
        <v>76</v>
      </c>
      <c r="B39" s="10" t="s">
        <v>124</v>
      </c>
      <c r="C39" s="10" t="s">
        <v>125</v>
      </c>
      <c r="D39" s="10" t="s">
        <v>126</v>
      </c>
      <c r="E39" s="10" t="s">
        <v>127</v>
      </c>
      <c r="F39" s="10" t="s">
        <v>128</v>
      </c>
      <c r="G39" s="10" t="s">
        <v>129</v>
      </c>
    </row>
    <row r="40" spans="1:12">
      <c r="A40" s="49" t="s">
        <v>22</v>
      </c>
      <c r="B40" s="21">
        <f>$H$5/3</f>
        <v>64743.6346666667</v>
      </c>
      <c r="C40" s="50">
        <f>$B$40-$B$5</f>
        <v>25104.6746666667</v>
      </c>
      <c r="D40" s="50">
        <f>$C$40*(1-$F$5)</f>
        <v>20585.8332266667</v>
      </c>
      <c r="E40" s="50">
        <f>$C$5-$D$40</f>
        <v>108787.026773333</v>
      </c>
      <c r="F40" s="51">
        <f>$E$40/$E$5</f>
        <v>14.5945082651705</v>
      </c>
      <c r="G40" s="17">
        <f>IFERROR($F$40/$D$5-1,"")</f>
        <v>-0.128686073721161</v>
      </c>
    </row>
    <row r="41" spans="1:12">
      <c r="A41" s="49" t="s">
        <v>38</v>
      </c>
      <c r="B41" s="21">
        <f>$H$6/3</f>
        <v>148822.336666667</v>
      </c>
      <c r="C41" s="50">
        <f>$B$41-$B$6</f>
        <v>67646.5166666667</v>
      </c>
      <c r="D41" s="50">
        <f>$C$41*(1-$F$6)</f>
        <v>54117.2133333333</v>
      </c>
      <c r="E41" s="50">
        <f>$C$6-$D$41</f>
        <v>44216.5066666667</v>
      </c>
      <c r="F41" s="51">
        <f>$E$41/$E$6</f>
        <v>4.05375237030008</v>
      </c>
      <c r="G41" s="17">
        <f>IFERROR($F$41/$D$6-1,"")</f>
        <v>-0.550581777128594</v>
      </c>
    </row>
    <row r="42" spans="1:12">
      <c r="A42" s="49" t="s">
        <v>42</v>
      </c>
      <c r="B42" s="21">
        <f>$H$7/3</f>
        <v>85749.4</v>
      </c>
      <c r="C42" s="50">
        <f>$B$42-$B$7</f>
        <v>42874.7</v>
      </c>
      <c r="D42" s="50">
        <f>$C$42*(1-$F$7)</f>
        <v>36014.748</v>
      </c>
      <c r="E42" s="50">
        <f>$C$7-$D$42</f>
        <v>132528.532</v>
      </c>
      <c r="F42" s="51">
        <f>$E$42/$E$7</f>
        <v>10.79577743818</v>
      </c>
      <c r="G42" s="17">
        <f>IFERROR($F$42/$D$7-1,"")</f>
        <v>-0.213708853737801</v>
      </c>
    </row>
    <row r="43" spans="1:12">
      <c r="A43" s="49" t="s">
        <v>48</v>
      </c>
      <c r="B43" s="21">
        <f>$H$8/3</f>
        <v>65919.315</v>
      </c>
      <c r="C43" s="50">
        <f>$B$43-$B$8</f>
        <v>29963.325</v>
      </c>
      <c r="D43" s="50">
        <f>$C$43*(1-$F$8)</f>
        <v>26068.09275</v>
      </c>
      <c r="E43" s="50">
        <f>$C$8-$D$43</f>
        <v>59714.76725</v>
      </c>
      <c r="F43" s="51">
        <f>$E$43/$E$8</f>
        <v>23.1651015986562</v>
      </c>
      <c r="G43" s="17">
        <f>IFERROR($F$43/$D$8-1,"")</f>
        <v>-0.303933245232686</v>
      </c>
    </row>
    <row r="44" spans="1:12">
      <c r="A44" s="49" t="s">
        <v>55</v>
      </c>
      <c r="B44" s="21">
        <f>$H$9/3</f>
        <v>13752.805</v>
      </c>
      <c r="C44" s="50">
        <f>$B$44-$B$9</f>
        <v>6251.275</v>
      </c>
      <c r="D44" s="50">
        <f>$C$44*(1-$F$9)</f>
        <v>5001.02</v>
      </c>
      <c r="E44" s="50">
        <f>$C$9-$D$44</f>
        <v>10819.53</v>
      </c>
      <c r="F44" s="51">
        <f>$E$44/$E$9</f>
        <v>3.71070664252202</v>
      </c>
      <c r="G44" s="17">
        <f>IFERROR($F$44/$D$9-1,"")</f>
        <v>-0.316628610953588</v>
      </c>
    </row>
    <row r="46" spans="1:12">
      <c r="A46" s="53" t="s">
        <v>133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</row>
    <row r="47" ht="30" customHeight="1" spans="1:12">
      <c r="A47" s="10" t="s">
        <v>76</v>
      </c>
      <c r="B47" s="10" t="s">
        <v>124</v>
      </c>
      <c r="C47" s="10" t="s">
        <v>125</v>
      </c>
      <c r="D47" s="10" t="s">
        <v>126</v>
      </c>
      <c r="E47" s="10" t="s">
        <v>127</v>
      </c>
      <c r="F47" s="10" t="s">
        <v>128</v>
      </c>
      <c r="G47" s="10" t="s">
        <v>129</v>
      </c>
    </row>
    <row r="48" spans="1:12">
      <c r="A48" s="49" t="s">
        <v>22</v>
      </c>
      <c r="B48" s="21">
        <f>$H$5/2</f>
        <v>97115.452</v>
      </c>
      <c r="C48" s="50">
        <f>$B$48-$B$5</f>
        <v>57476.492</v>
      </c>
      <c r="D48" s="50">
        <f>$C$48*(1-$F$5)</f>
        <v>47130.72344</v>
      </c>
      <c r="E48" s="50">
        <f>$C$5-$D$48</f>
        <v>82242.13656</v>
      </c>
      <c r="F48" s="51">
        <f>$E$48/$E$5</f>
        <v>11.03333345318</v>
      </c>
      <c r="G48" s="17">
        <f>IFERROR($F$48/$D$5-1,"")</f>
        <v>-0.341293525183285</v>
      </c>
    </row>
    <row r="49" spans="1:12">
      <c r="A49" s="49" t="s">
        <v>38</v>
      </c>
      <c r="B49" s="21">
        <f>$H$6/2</f>
        <v>223233.505</v>
      </c>
      <c r="C49" s="50">
        <f>$B$49-$B$6</f>
        <v>142057.685</v>
      </c>
      <c r="D49" s="50">
        <f>$C$49*(1-$F$6)</f>
        <v>113646.148</v>
      </c>
      <c r="E49" s="50">
        <f>$C$6-$D$49</f>
        <v>-15312.428</v>
      </c>
      <c r="F49" s="51">
        <f>$E$49/$E$6</f>
        <v>-1.40383752538379</v>
      </c>
      <c r="G49" s="17">
        <f>IFERROR($F$49/$D$6-1,"")</f>
        <v>-1.15563608928867</v>
      </c>
    </row>
    <row r="50" spans="1:12">
      <c r="A50" s="49" t="s">
        <v>42</v>
      </c>
      <c r="B50" s="21">
        <f>$H$7/2</f>
        <v>128624.1</v>
      </c>
      <c r="C50" s="50">
        <f>$B$50-$B$7</f>
        <v>85749.4</v>
      </c>
      <c r="D50" s="50">
        <f>$C$50*(1-$F$7)</f>
        <v>72029.496</v>
      </c>
      <c r="E50" s="50">
        <f>$C$7-$D$50</f>
        <v>96513.784</v>
      </c>
      <c r="F50" s="51">
        <f>$E$50/$E$7</f>
        <v>7.86201519066533</v>
      </c>
      <c r="G50" s="17">
        <f>IFERROR($F$50/$D$7-1,"")</f>
        <v>-0.427384181306239</v>
      </c>
    </row>
    <row r="51" spans="1:12">
      <c r="A51" s="49" t="s">
        <v>48</v>
      </c>
      <c r="B51" s="21">
        <f>$H$8/2</f>
        <v>98878.9725</v>
      </c>
      <c r="C51" s="50">
        <f>$B$51-$B$8</f>
        <v>62922.9825</v>
      </c>
      <c r="D51" s="50">
        <f>$C$51*(1-$F$8)</f>
        <v>54742.994775</v>
      </c>
      <c r="E51" s="50">
        <f>$C$8-$D$51</f>
        <v>31039.865225</v>
      </c>
      <c r="F51" s="51">
        <f>$E$51/$E$8</f>
        <v>12.0412699347115</v>
      </c>
      <c r="G51" s="17">
        <f>IFERROR($F$51/$D$8-1,"")</f>
        <v>-0.638182994750255</v>
      </c>
    </row>
    <row r="52" spans="1:12">
      <c r="A52" s="49" t="s">
        <v>55</v>
      </c>
      <c r="B52" s="21">
        <f>$H$9/2</f>
        <v>20629.2075</v>
      </c>
      <c r="C52" s="50">
        <f>$B$52-$B$9</f>
        <v>13127.6775</v>
      </c>
      <c r="D52" s="50">
        <f>$C$52*(1-$F$9)</f>
        <v>10502.142</v>
      </c>
      <c r="E52" s="50">
        <f>$C$9-$D$52</f>
        <v>5318.408</v>
      </c>
      <c r="F52" s="51">
        <f>$E$52/$E$9</f>
        <v>1.82402118144154</v>
      </c>
      <c r="G52" s="17">
        <f>IFERROR($F$52/$D$9-1,"")</f>
        <v>-0.664084496972091</v>
      </c>
    </row>
    <row r="55" customHeight="1" spans="1:12">
      <c r="A55" s="9" t="s">
        <v>134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27.75" customHeight="1" spans="1:12">
      <c r="A56" s="54" t="s">
        <v>135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</row>
    <row r="57" spans="1:12">
      <c r="A57" s="48" t="s">
        <v>136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ht="36" customHeight="1" spans="1:12">
      <c r="A58" s="55" t="s">
        <v>76</v>
      </c>
      <c r="B58" s="55" t="s">
        <v>137</v>
      </c>
      <c r="C58" s="55" t="s">
        <v>138</v>
      </c>
      <c r="D58" s="55" t="s">
        <v>139</v>
      </c>
      <c r="E58" s="55" t="s">
        <v>140</v>
      </c>
      <c r="F58" s="55" t="s">
        <v>141</v>
      </c>
      <c r="G58" s="55" t="s">
        <v>142</v>
      </c>
      <c r="H58" s="55" t="s">
        <v>143</v>
      </c>
    </row>
    <row r="59" spans="1:12">
      <c r="A59" s="49" t="s">
        <v>22</v>
      </c>
      <c r="B59" s="21">
        <f>$H$5/6</f>
        <v>32371.8173333333</v>
      </c>
      <c r="C59" s="21">
        <f>$H$5*0.3333</f>
        <v>64737.1603032</v>
      </c>
      <c r="D59" s="50">
        <f>$C$59-$B$5</f>
        <v>25098.2003032</v>
      </c>
      <c r="E59" s="50">
        <f>$D$59*(1-$F$5)</f>
        <v>20580.524248624</v>
      </c>
      <c r="F59" s="51">
        <f>($C$5-$E$59)/$E$5</f>
        <v>14.5952205001329</v>
      </c>
      <c r="G59" s="17">
        <f>IFERROR($F$59/$D$5-1,"")</f>
        <v>-0.128643552230869</v>
      </c>
      <c r="H59" s="56">
        <f>IFERROR(($C$5-($B$59-$B$5)*(1-$F$5))/$E$5/$D$5-1,"")</f>
        <v>0.0839213777409624</v>
      </c>
    </row>
    <row r="60" spans="1:12">
      <c r="A60" s="49" t="s">
        <v>38</v>
      </c>
      <c r="B60" s="21">
        <f>$H$6/6</f>
        <v>74411.1683333333</v>
      </c>
      <c r="C60" s="21">
        <f>$H$6*0.3333</f>
        <v>148807.454433</v>
      </c>
      <c r="D60" s="50">
        <f>$C$60-$B$6</f>
        <v>67631.634433</v>
      </c>
      <c r="E60" s="50">
        <f>$D$60*(1-$F$6)</f>
        <v>54105.3075464</v>
      </c>
      <c r="F60" s="51">
        <f>($C$6-$E$60)/$E$6</f>
        <v>4.05484388827922</v>
      </c>
      <c r="G60" s="17">
        <f>IFERROR($F$60/$D$6-1,"")</f>
        <v>-0.550460766266162</v>
      </c>
      <c r="H60" s="56">
        <f>IFERROR(($C$6-($B$60-$B$6)*(1-$F$6))/$E$6/$D$6-1,"")</f>
        <v>0.0544725350314812</v>
      </c>
    </row>
    <row r="61" spans="1:12">
      <c r="A61" s="49" t="s">
        <v>42</v>
      </c>
      <c r="B61" s="21">
        <f>$H$7/6</f>
        <v>42874.7</v>
      </c>
      <c r="C61" s="21">
        <f>$H$7*0.3333</f>
        <v>85740.82506</v>
      </c>
      <c r="D61" s="50">
        <f>$C$61-$B$7</f>
        <v>42866.12506</v>
      </c>
      <c r="E61" s="50">
        <f>$D$61*(1-$F$7)</f>
        <v>36007.5450504</v>
      </c>
      <c r="F61" s="51">
        <f>($C$7-$E$61)/$E$7</f>
        <v>10.7963641906295</v>
      </c>
      <c r="G61" s="17">
        <f>IFERROR($F$61/$D$7-1,"")</f>
        <v>-0.213666118672288</v>
      </c>
      <c r="H61" s="56">
        <f>IFERROR(($C$7-($B$61-$B$7)*(1-$F$7))/$E$7/$D$7-1,"")</f>
        <v>-3.35261693632516e-5</v>
      </c>
    </row>
    <row r="62" spans="1:12">
      <c r="A62" s="49" t="s">
        <v>48</v>
      </c>
      <c r="B62" s="21">
        <f>$H$8/6</f>
        <v>32959.6575</v>
      </c>
      <c r="C62" s="21">
        <f>$H$8*0.3333</f>
        <v>65912.7230685</v>
      </c>
      <c r="D62" s="50">
        <f>$C$62-$B$8</f>
        <v>29956.7330685</v>
      </c>
      <c r="E62" s="50">
        <f>$D$62*(1-$F$8)</f>
        <v>26062.357769595</v>
      </c>
      <c r="F62" s="51">
        <f>($C$8-$E$62)/$E$8</f>
        <v>23.167326364989</v>
      </c>
      <c r="G62" s="17">
        <f>IFERROR($F$62/$D$8-1,"")</f>
        <v>-0.303866395282782</v>
      </c>
      <c r="H62" s="56">
        <f>IFERROR(($C$8-($B$62-$B$8)*(1-$F$8))/$E$8/$D$8-1,"")</f>
        <v>0.0303165042848832</v>
      </c>
    </row>
    <row r="63" spans="1:12">
      <c r="A63" s="49" t="s">
        <v>55</v>
      </c>
      <c r="B63" s="21">
        <f>$H$9/6</f>
        <v>6876.4025</v>
      </c>
      <c r="C63" s="21">
        <f>$H$9*0.3333</f>
        <v>13751.4297195</v>
      </c>
      <c r="D63" s="50">
        <f>$C$63-$B$9</f>
        <v>6249.8997195</v>
      </c>
      <c r="E63" s="50">
        <f>$D$63*(1-$F$9)</f>
        <v>4999.9197756</v>
      </c>
      <c r="F63" s="51">
        <f>($C$9-$E$63)/$E$9</f>
        <v>3.71108397961423</v>
      </c>
      <c r="G63" s="17">
        <f>IFERROR($F$63/$D$9-1,"")</f>
        <v>-0.316559119776384</v>
      </c>
      <c r="H63" s="56">
        <f>IFERROR(($C$9-($B$63-$B$9)*(1-$F$9))/$E$9/$D$9-1,"")</f>
        <v>0.0308272750649154</v>
      </c>
    </row>
    <row r="65" spans="1:12">
      <c r="A65" s="48" t="s">
        <v>144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</row>
    <row r="66" ht="36" customHeight="1" spans="1:12">
      <c r="A66" s="55" t="s">
        <v>76</v>
      </c>
      <c r="B66" s="55" t="s">
        <v>145</v>
      </c>
      <c r="C66" s="55" t="s">
        <v>146</v>
      </c>
      <c r="D66" s="55" t="s">
        <v>139</v>
      </c>
      <c r="E66" s="55" t="s">
        <v>140</v>
      </c>
      <c r="F66" s="55" t="s">
        <v>141</v>
      </c>
      <c r="G66" s="55" t="s">
        <v>142</v>
      </c>
      <c r="H66" s="55" t="s">
        <v>143</v>
      </c>
    </row>
    <row r="67" spans="1:12">
      <c r="A67" s="49" t="s">
        <v>22</v>
      </c>
      <c r="B67" s="21">
        <f>$H$5/5</f>
        <v>38846.1808</v>
      </c>
      <c r="C67" s="21">
        <f>$H$5*0.4</f>
        <v>77692.3616</v>
      </c>
      <c r="D67" s="50">
        <f>$C$67-$B$5</f>
        <v>38053.4016</v>
      </c>
      <c r="E67" s="50">
        <f>$D$67*(1-$F$5)</f>
        <v>31203.789312</v>
      </c>
      <c r="F67" s="51">
        <f>($C$5-$E$67)/$E$5</f>
        <v>13.1700383403743</v>
      </c>
      <c r="G67" s="17">
        <f>IFERROR($F$67/$D$5-1,"")</f>
        <v>-0.213729054306011</v>
      </c>
      <c r="H67" s="56">
        <f>IFERROR(($C$5-($B$67-$B$5)*(1-$F$5))/$E$5/$D$5-1,"")</f>
        <v>0.0413998874485375</v>
      </c>
    </row>
    <row r="68" spans="1:12">
      <c r="A68" s="49" t="s">
        <v>38</v>
      </c>
      <c r="B68" s="21">
        <f>$H$6/5</f>
        <v>89293.402</v>
      </c>
      <c r="C68" s="21">
        <f>$H$6*0.4</f>
        <v>178586.804</v>
      </c>
      <c r="D68" s="50">
        <f>$C$68-$B$6</f>
        <v>97410.984</v>
      </c>
      <c r="E68" s="50">
        <f>$D$68*(1-$F$6)</f>
        <v>77928.7872</v>
      </c>
      <c r="F68" s="51">
        <f>($C$6-$E$68)/$E$6</f>
        <v>1.87071641202653</v>
      </c>
      <c r="G68" s="17">
        <f>IFERROR($F$68/$D$6-1,"")</f>
        <v>-0.792603501992624</v>
      </c>
      <c r="H68" s="56">
        <f>IFERROR(($C$6-($B$68-$B$6)*(1-$F$6))/$E$6/$D$6-1,"")</f>
        <v>-0.0665383274005338</v>
      </c>
    </row>
    <row r="69" spans="1:12">
      <c r="A69" s="49" t="s">
        <v>42</v>
      </c>
      <c r="B69" s="21">
        <f>$H$7/5</f>
        <v>51449.64</v>
      </c>
      <c r="C69" s="21">
        <f>$H$7*0.4</f>
        <v>102899.28</v>
      </c>
      <c r="D69" s="50">
        <f>$C$69-$B$7</f>
        <v>60024.58</v>
      </c>
      <c r="E69" s="50">
        <f>$D$69*(1-$F$7)</f>
        <v>50420.6472</v>
      </c>
      <c r="F69" s="51">
        <f>($C$7-$E$69)/$E$7</f>
        <v>9.62227253917413</v>
      </c>
      <c r="G69" s="17">
        <f>IFERROR($F$69/$D$7-1,"")</f>
        <v>-0.299178984765177</v>
      </c>
      <c r="H69" s="56">
        <f>IFERROR(($C$7-($B$69-$B$7)*(1-$F$7))/$E$7/$D$7-1,"")</f>
        <v>-0.0427685916830508</v>
      </c>
    </row>
    <row r="70" spans="1:12">
      <c r="A70" s="49" t="s">
        <v>48</v>
      </c>
      <c r="B70" s="21">
        <f>$H$8/5</f>
        <v>39551.589</v>
      </c>
      <c r="C70" s="21">
        <f>$H$8*0.4</f>
        <v>79103.178</v>
      </c>
      <c r="D70" s="50">
        <f>$C$70-$B$8</f>
        <v>43147.188</v>
      </c>
      <c r="E70" s="50">
        <f>$D$70*(1-$F$8)</f>
        <v>37538.05356</v>
      </c>
      <c r="F70" s="51">
        <f>($C$8-$E$70)/$E$8</f>
        <v>18.7155689330783</v>
      </c>
      <c r="G70" s="17">
        <f>IFERROR($F$70/$D$8-1,"")</f>
        <v>-0.437633145039714</v>
      </c>
      <c r="H70" s="56">
        <f>IFERROR(($C$8-($B$70-$B$8)*(1-$F$8))/$E$8/$D$8-1,"")</f>
        <v>-0.0365334456186306</v>
      </c>
    </row>
    <row r="71" spans="1:12">
      <c r="A71" s="49" t="s">
        <v>55</v>
      </c>
      <c r="B71" s="21">
        <f>$H$9/5</f>
        <v>8251.683</v>
      </c>
      <c r="C71" s="21">
        <f>$H$9*0.4</f>
        <v>16503.366</v>
      </c>
      <c r="D71" s="50">
        <f>$C$71-$B$9</f>
        <v>9001.836</v>
      </c>
      <c r="E71" s="50">
        <f>$D$71*(1-$F$9)</f>
        <v>7201.4688</v>
      </c>
      <c r="F71" s="51">
        <f>($C$9-$E$71)/$E$9</f>
        <v>2.95603245808983</v>
      </c>
      <c r="G71" s="17">
        <f>IFERROR($F$71/$D$9-1,"")</f>
        <v>-0.455610965360989</v>
      </c>
      <c r="H71" s="56">
        <f>IFERROR(($C$9-($B$71-$B$9)*(1-$F$9))/$E$9/$D$9-1,"")</f>
        <v>-0.0386639021387852</v>
      </c>
    </row>
    <row r="73" spans="1:12">
      <c r="A73" s="52" t="s">
        <v>147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ht="36" customHeight="1" spans="1:12">
      <c r="A74" s="55" t="s">
        <v>76</v>
      </c>
      <c r="B74" s="55" t="s">
        <v>148</v>
      </c>
      <c r="C74" s="55" t="s">
        <v>149</v>
      </c>
      <c r="D74" s="55" t="s">
        <v>139</v>
      </c>
      <c r="E74" s="55" t="s">
        <v>140</v>
      </c>
      <c r="F74" s="55" t="s">
        <v>141</v>
      </c>
      <c r="G74" s="55" t="s">
        <v>142</v>
      </c>
      <c r="H74" s="55" t="s">
        <v>143</v>
      </c>
    </row>
    <row r="75" spans="1:12">
      <c r="A75" s="49" t="s">
        <v>22</v>
      </c>
      <c r="B75" s="21">
        <f>$H$5/4</f>
        <v>48557.726</v>
      </c>
      <c r="C75" s="21">
        <f>$H$5*0.5</f>
        <v>97115.452</v>
      </c>
      <c r="D75" s="50">
        <f>$C$75-$B$5</f>
        <v>57476.492</v>
      </c>
      <c r="E75" s="50">
        <f>$D$75*(1-$F$5)</f>
        <v>47130.72344</v>
      </c>
      <c r="F75" s="51">
        <f>($C$5-$E$75)/$E$5</f>
        <v>11.03333345318</v>
      </c>
      <c r="G75" s="17">
        <f>IFERROR($F$75/$D$5-1,"")</f>
        <v>-0.341293525183285</v>
      </c>
      <c r="H75" s="56">
        <f>IFERROR(($C$5-($B$75-$B$5)*(1-$F$5))/$E$5/$D$5-1,"")</f>
        <v>-0.0223823479900994</v>
      </c>
    </row>
    <row r="76" spans="1:12">
      <c r="A76" s="49" t="s">
        <v>38</v>
      </c>
      <c r="B76" s="21">
        <f>$H$6/4</f>
        <v>111616.7525</v>
      </c>
      <c r="C76" s="21">
        <f>$H$6*0.5</f>
        <v>223233.505</v>
      </c>
      <c r="D76" s="50">
        <f>$C$76-$B$6</f>
        <v>142057.685</v>
      </c>
      <c r="E76" s="50">
        <f>$D$76*(1-$F$6)</f>
        <v>113646.148</v>
      </c>
      <c r="F76" s="51">
        <f>($C$6-$E$76)/$E$6</f>
        <v>-1.40383752538379</v>
      </c>
      <c r="G76" s="17">
        <f>IFERROR($F$76/$D$6-1,"")</f>
        <v>-1.15563608928867</v>
      </c>
      <c r="H76" s="56">
        <f>IFERROR(($C$6-($B$76-$B$6)*(1-$F$6))/$E$6/$D$6-1,"")</f>
        <v>-0.248054621048556</v>
      </c>
    </row>
    <row r="77" spans="1:12">
      <c r="A77" s="49" t="s">
        <v>42</v>
      </c>
      <c r="B77" s="21">
        <f>$H$7/4</f>
        <v>64312.05</v>
      </c>
      <c r="C77" s="21">
        <f>$H$7*0.5</f>
        <v>128624.1</v>
      </c>
      <c r="D77" s="50">
        <f>$C$77-$B$7</f>
        <v>85749.4</v>
      </c>
      <c r="E77" s="50">
        <f>$D$77*(1-$F$7)</f>
        <v>72029.496</v>
      </c>
      <c r="F77" s="51">
        <f>($C$7-$E$77)/$E$7</f>
        <v>7.86201519066533</v>
      </c>
      <c r="G77" s="17">
        <f>IFERROR($F$77/$D$7-1,"")</f>
        <v>-0.427384181306239</v>
      </c>
      <c r="H77" s="56">
        <f>IFERROR(($C$7-($B$77-$B$7)*(1-$F$7))/$E$7/$D$7-1,"")</f>
        <v>-0.106871189953582</v>
      </c>
    </row>
    <row r="78" spans="1:12">
      <c r="A78" s="49" t="s">
        <v>48</v>
      </c>
      <c r="B78" s="21">
        <f>$H$8/4</f>
        <v>49439.48625</v>
      </c>
      <c r="C78" s="21">
        <f>$H$8*0.5</f>
        <v>98878.9725</v>
      </c>
      <c r="D78" s="50">
        <f>$C$78-$B$8</f>
        <v>62922.9825</v>
      </c>
      <c r="E78" s="50">
        <f>$D$78*(1-$F$8)</f>
        <v>54742.994775</v>
      </c>
      <c r="F78" s="51">
        <f>($C$8-$E$78)/$E$8</f>
        <v>12.0412699347115</v>
      </c>
      <c r="G78" s="17">
        <f>IFERROR($F$78/$D$8-1,"")</f>
        <v>-0.638182994750255</v>
      </c>
      <c r="H78" s="56">
        <f>IFERROR(($C$8-($B$78-$B$8)*(1-$F$8))/$E$8/$D$8-1,"")</f>
        <v>-0.136808370473901</v>
      </c>
    </row>
    <row r="79" spans="1:12">
      <c r="A79" s="49" t="s">
        <v>55</v>
      </c>
      <c r="B79" s="21">
        <f>$H$9/4</f>
        <v>10314.60375</v>
      </c>
      <c r="C79" s="21">
        <f>$H$9*0.5</f>
        <v>20629.2075</v>
      </c>
      <c r="D79" s="50">
        <f>$C$79-$B$9</f>
        <v>13127.6775</v>
      </c>
      <c r="E79" s="50">
        <f>$D$79*(1-$F$9)</f>
        <v>10502.142</v>
      </c>
      <c r="F79" s="51">
        <f>($C$9-$E$79)/$E$9</f>
        <v>1.82402118144154</v>
      </c>
      <c r="G79" s="17">
        <f>IFERROR($F$79/$D$9-1,"")</f>
        <v>-0.664084496972091</v>
      </c>
      <c r="H79" s="56">
        <f>IFERROR(($C$9-($B$79-$B$9)*(1-$F$9))/$E$9/$D$9-1,"")</f>
        <v>-0.142900667944336</v>
      </c>
    </row>
    <row r="81" spans="1:12">
      <c r="A81" s="52" t="s">
        <v>150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</row>
    <row r="82" ht="36" customHeight="1" spans="1:12">
      <c r="A82" s="55" t="s">
        <v>76</v>
      </c>
      <c r="B82" s="55" t="s">
        <v>151</v>
      </c>
      <c r="C82" s="55" t="s">
        <v>152</v>
      </c>
      <c r="D82" s="55" t="s">
        <v>139</v>
      </c>
      <c r="E82" s="55" t="s">
        <v>140</v>
      </c>
      <c r="F82" s="55" t="s">
        <v>141</v>
      </c>
      <c r="G82" s="55" t="s">
        <v>142</v>
      </c>
      <c r="H82" s="55" t="s">
        <v>143</v>
      </c>
    </row>
    <row r="83" spans="1:12">
      <c r="A83" s="49" t="s">
        <v>22</v>
      </c>
      <c r="B83" s="21">
        <f>$H$5/3</f>
        <v>64743.6346666667</v>
      </c>
      <c r="C83" s="21">
        <f>$H$5*0.6667</f>
        <v>129493.7436968</v>
      </c>
      <c r="D83" s="50">
        <f>$C$83-$B$5</f>
        <v>89854.7836968</v>
      </c>
      <c r="E83" s="50">
        <f>$D$83*(1-$F$5)</f>
        <v>73680.922631376</v>
      </c>
      <c r="F83" s="51">
        <f>($C$5-$E$83)/$E$5</f>
        <v>7.47144640622701</v>
      </c>
      <c r="G83" s="17">
        <f>IFERROR($F$83/$D$5-1,"")</f>
        <v>-0.553943498135701</v>
      </c>
      <c r="H83" s="56">
        <f>IFERROR(($C$5-($B$83-$B$5)*(1-$F$5))/$E$5/$D$5-1,"")</f>
        <v>-0.128686073721161</v>
      </c>
    </row>
    <row r="84" spans="1:12">
      <c r="A84" s="49" t="s">
        <v>38</v>
      </c>
      <c r="B84" s="21">
        <f>$H$6/3</f>
        <v>148822.336666667</v>
      </c>
      <c r="C84" s="21">
        <f>$H$6*0.6667</f>
        <v>297659.555567</v>
      </c>
      <c r="D84" s="50">
        <f>$C$84-$B$6</f>
        <v>216483.735567</v>
      </c>
      <c r="E84" s="50">
        <f>$D$84*(1-$F$6)</f>
        <v>173186.9884536</v>
      </c>
      <c r="F84" s="51">
        <f>($C$6-$E$84)/$E$6</f>
        <v>-6.86251893904681</v>
      </c>
      <c r="G84" s="17">
        <f>IFERROR($F$84/$D$6-1,"")</f>
        <v>-1.76081141231118</v>
      </c>
      <c r="H84" s="56">
        <f>IFERROR(($C$6-($B$84-$B$6)*(1-$F$6))/$E$6/$D$6-1,"")</f>
        <v>-0.550581777128594</v>
      </c>
    </row>
    <row r="85" spans="1:12">
      <c r="A85" s="49" t="s">
        <v>42</v>
      </c>
      <c r="B85" s="21">
        <f>$H$7/3</f>
        <v>85749.4</v>
      </c>
      <c r="C85" s="21">
        <f>$H$7*0.6667</f>
        <v>171507.37494</v>
      </c>
      <c r="D85" s="50">
        <f>$C$85-$B$7</f>
        <v>128632.67494</v>
      </c>
      <c r="E85" s="50">
        <f>$D$85*(1-$F$7)</f>
        <v>108051.4469496</v>
      </c>
      <c r="F85" s="51">
        <f>($C$7-$E$85)/$E$7</f>
        <v>4.92766619070118</v>
      </c>
      <c r="G85" s="17">
        <f>IFERROR($F$85/$D$7-1,"")</f>
        <v>-0.641102243940191</v>
      </c>
      <c r="H85" s="56">
        <f>IFERROR(($C$7-($B$85-$B$7)*(1-$F$7))/$E$7/$D$7-1,"")</f>
        <v>-0.213708853737801</v>
      </c>
    </row>
    <row r="86" spans="1:12">
      <c r="A86" s="49" t="s">
        <v>48</v>
      </c>
      <c r="B86" s="21">
        <f>$H$8/3</f>
        <v>65919.315</v>
      </c>
      <c r="C86" s="21">
        <f>$H$8*0.6667</f>
        <v>131845.2219315</v>
      </c>
      <c r="D86" s="50">
        <f>$C$86-$B$8</f>
        <v>95889.2319315</v>
      </c>
      <c r="E86" s="50">
        <f>$D$86*(1-$F$8)</f>
        <v>83423.631780405</v>
      </c>
      <c r="F86" s="51">
        <f>($C$8-$E$86)/$E$8</f>
        <v>0.915213504434035</v>
      </c>
      <c r="G86" s="17">
        <f>IFERROR($F$86/$D$8-1,"")</f>
        <v>-0.972499594217727</v>
      </c>
      <c r="H86" s="56">
        <f>IFERROR(($C$8-($B$86-$B$8)*(1-$F$8))/$E$8/$D$8-1,"")</f>
        <v>-0.303933245232686</v>
      </c>
    </row>
    <row r="87" spans="1:12">
      <c r="A87" s="49" t="s">
        <v>55</v>
      </c>
      <c r="B87" s="21">
        <f>$H$9/3</f>
        <v>13752.805</v>
      </c>
      <c r="C87" s="21">
        <f>$H$9*0.6667</f>
        <v>27506.9852805</v>
      </c>
      <c r="D87" s="50">
        <f>$C$87-$B$9</f>
        <v>20005.4552805</v>
      </c>
      <c r="E87" s="50">
        <f>$D$87*(1-$F$9)</f>
        <v>16004.3642244</v>
      </c>
      <c r="F87" s="51">
        <f>($C$9-$E$87)/$E$9</f>
        <v>-0.0630416167311442</v>
      </c>
      <c r="G87" s="17">
        <f>IFERROR($F$87/$D$9-1,"")</f>
        <v>-1.0116098741678</v>
      </c>
      <c r="H87" s="56">
        <f>IFERROR(($C$9-($B$87-$B$9)*(1-$F$9))/$E$9/$D$9-1,"")</f>
        <v>-0.316628610953588</v>
      </c>
    </row>
    <row r="90" customHeight="1" spans="1:12">
      <c r="A90" s="9" t="s">
        <v>153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customHeight="1" spans="1:12">
      <c r="A91" s="18" t="s">
        <v>154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ht="30" customHeight="1" spans="1:12">
      <c r="A92" s="10" t="s">
        <v>76</v>
      </c>
      <c r="B92" s="10" t="s">
        <v>155</v>
      </c>
      <c r="C92" s="10" t="s">
        <v>156</v>
      </c>
      <c r="D92" s="10" t="s">
        <v>157</v>
      </c>
      <c r="E92" s="10" t="s">
        <v>158</v>
      </c>
      <c r="F92" s="10" t="s">
        <v>159</v>
      </c>
      <c r="G92" s="10" t="s">
        <v>160</v>
      </c>
      <c r="H92" s="10" t="s">
        <v>161</v>
      </c>
      <c r="I92" s="10" t="s">
        <v>162</v>
      </c>
      <c r="J92" s="10" t="s">
        <v>163</v>
      </c>
      <c r="K92" s="10" t="s">
        <v>164</v>
      </c>
    </row>
    <row r="93" spans="1:12">
      <c r="A93" s="43" t="s">
        <v>22</v>
      </c>
      <c r="B93" s="57">
        <f>$G$5</f>
        <v>4.9</v>
      </c>
      <c r="C93" s="17">
        <f>IFERROR(($C$5-($H$5/6-$B$5)*(1-$F$5))/$E$5/$D$5-1,"")</f>
        <v>0.0839213777409624</v>
      </c>
      <c r="D93" s="17">
        <f>IFERROR(($C$5-($H$5/5-$B$5)*(1-$F$5))/$E$5/$D$5-1,"")</f>
        <v>0.0413998874485375</v>
      </c>
      <c r="E93" s="17">
        <f>IFERROR(($C$5-($H$5/4-$B$5)*(1-$F$5))/$E$5/$D$5-1,"")</f>
        <v>-0.0223823479900994</v>
      </c>
      <c r="F93" s="17">
        <f>IFERROR(($C$5-($H$5/3-$B$5)*(1-$F$5))/$E$5/$D$5-1,"")</f>
        <v>-0.128686073721161</v>
      </c>
      <c r="G93" s="17">
        <f>IFERROR(($C$5-($H$5/2-$B$5)*(1-$F$5))/$E$5/$D$5-1,"")</f>
        <v>-0.341293525183285</v>
      </c>
      <c r="H93" s="17">
        <f>IFERROR(($C$5-($H$5*0.3333-$B$5)*(1-$F$5))/$E$5/$D$5-1,"")</f>
        <v>-0.128643552230869</v>
      </c>
      <c r="I93" s="17">
        <f>IFERROR(($C$5-($H$5*0.4-$B$5)*(1-$F$5))/$E$5/$D$5-1,"")</f>
        <v>-0.213729054306011</v>
      </c>
      <c r="J93" s="17">
        <f>IFERROR(($C$5-($H$5*0.5-$B$5)*(1-$F$5))/$E$5/$D$5-1,"")</f>
        <v>-0.341293525183285</v>
      </c>
      <c r="K93" s="17">
        <f>IFERROR(($C$5-($H$5*0.6667-$B$5)*(1-$F$5))/$E$5/$D$5-1,"")</f>
        <v>-0.553943498135701</v>
      </c>
    </row>
    <row r="94" spans="1:12">
      <c r="A94" s="43" t="s">
        <v>38</v>
      </c>
      <c r="B94" s="57">
        <f>$G$6</f>
        <v>5.5</v>
      </c>
      <c r="C94" s="17">
        <f>IFERROR(($C$6-($H$6/6-$B$6)*(1-$F$6))/$E$6/$D$6-1,"")</f>
        <v>0.0544725350314812</v>
      </c>
      <c r="D94" s="17">
        <f>IFERROR(($C$6-($H$6/5-$B$6)*(1-$F$6))/$E$6/$D$6-1,"")</f>
        <v>-0.0665383274005338</v>
      </c>
      <c r="E94" s="17">
        <f>IFERROR(($C$6-($H$6/4-$B$6)*(1-$F$6))/$E$6/$D$6-1,"")</f>
        <v>-0.248054621048556</v>
      </c>
      <c r="F94" s="17">
        <f>IFERROR(($C$6-($H$6/3-$B$6)*(1-$F$6))/$E$6/$D$6-1,"")</f>
        <v>-0.550581777128594</v>
      </c>
      <c r="G94" s="17">
        <f>IFERROR(($C$6-($H$6/2-$B$6)*(1-$F$6))/$E$6/$D$6-1,"")</f>
        <v>-1.15563608928867</v>
      </c>
      <c r="H94" s="17">
        <f>IFERROR(($C$6-($H$6*0.3333-$B$6)*(1-$F$6))/$E$6/$D$6-1,"")</f>
        <v>-0.550460766266162</v>
      </c>
      <c r="I94" s="17">
        <f>IFERROR(($C$6-($H$6*0.4-$B$6)*(1-$F$6))/$E$6/$D$6-1,"")</f>
        <v>-0.792603501992624</v>
      </c>
      <c r="J94" s="17">
        <f>IFERROR(($C$6-($H$6*0.5-$B$6)*(1-$F$6))/$E$6/$D$6-1,"")</f>
        <v>-1.15563608928867</v>
      </c>
      <c r="K94" s="17">
        <f>IFERROR(($C$6-($H$6*0.6667-$B$6)*(1-$F$6))/$E$6/$D$6-1,"")</f>
        <v>-1.76081141231118</v>
      </c>
    </row>
    <row r="95" spans="1:12">
      <c r="A95" s="43" t="s">
        <v>42</v>
      </c>
      <c r="B95" s="57">
        <f>$G$7</f>
        <v>6</v>
      </c>
      <c r="C95" s="17">
        <f>IFERROR(($C$7-($H$7/6-$B$7)*(1-$F$7))/$E$7/$D$7-1,"")</f>
        <v>-3.35261693632516e-5</v>
      </c>
      <c r="D95" s="17">
        <f>IFERROR(($C$7-($H$7/5-$B$7)*(1-$F$7))/$E$7/$D$7-1,"")</f>
        <v>-0.0427685916830508</v>
      </c>
      <c r="E95" s="17">
        <f>IFERROR(($C$7-($H$7/4-$B$7)*(1-$F$7))/$E$7/$D$7-1,"")</f>
        <v>-0.106871189953582</v>
      </c>
      <c r="F95" s="17">
        <f>IFERROR(($C$7-($H$7/3-$B$7)*(1-$F$7))/$E$7/$D$7-1,"")</f>
        <v>-0.213708853737801</v>
      </c>
      <c r="G95" s="17">
        <f>IFERROR(($C$7-($H$7/2-$B$7)*(1-$F$7))/$E$7/$D$7-1,"")</f>
        <v>-0.427384181306239</v>
      </c>
      <c r="H95" s="17">
        <f>IFERROR(($C$7-($H$7*0.3333-$B$7)*(1-$F$7))/$E$7/$D$7-1,"")</f>
        <v>-0.213666118672288</v>
      </c>
      <c r="I95" s="17">
        <f>IFERROR(($C$7-($H$7*0.4-$B$7)*(1-$F$7))/$E$7/$D$7-1,"")</f>
        <v>-0.299178984765177</v>
      </c>
      <c r="J95" s="17">
        <f>IFERROR(($C$7-($H$7*0.5-$B$7)*(1-$F$7))/$E$7/$D$7-1,"")</f>
        <v>-0.427384181306239</v>
      </c>
      <c r="K95" s="17">
        <f>IFERROR(($C$7-($H$7*0.6667-$B$7)*(1-$F$7))/$E$7/$D$7-1,"")</f>
        <v>-0.641102243940191</v>
      </c>
    </row>
    <row r="96" spans="1:12">
      <c r="A96" s="43" t="s">
        <v>48</v>
      </c>
      <c r="B96" s="57">
        <f>$G$8</f>
        <v>5.5</v>
      </c>
      <c r="C96" s="17">
        <f>IFERROR(($C$8-($H$8/6-$B$8)*(1-$F$8))/$E$8/$D$8-1,"")</f>
        <v>0.0303165042848832</v>
      </c>
      <c r="D96" s="17">
        <f>IFERROR(($C$8-($H$8/5-$B$8)*(1-$F$8))/$E$8/$D$8-1,"")</f>
        <v>-0.0365334456186306</v>
      </c>
      <c r="E96" s="17">
        <f>IFERROR(($C$8-($H$8/4-$B$8)*(1-$F$8))/$E$8/$D$8-1,"")</f>
        <v>-0.136808370473901</v>
      </c>
      <c r="F96" s="17">
        <f>IFERROR(($C$8-($H$8/3-$B$8)*(1-$F$8))/$E$8/$D$8-1,"")</f>
        <v>-0.303933245232686</v>
      </c>
      <c r="G96" s="17">
        <f>IFERROR(($C$8-($H$8/2-$B$8)*(1-$F$8))/$E$8/$D$8-1,"")</f>
        <v>-0.638182994750255</v>
      </c>
      <c r="H96" s="17">
        <f>IFERROR(($C$8-($H$8*0.3333-$B$8)*(1-$F$8))/$E$8/$D$8-1,"")</f>
        <v>-0.303866395282782</v>
      </c>
      <c r="I96" s="17">
        <f>IFERROR(($C$8-($H$8*0.4-$B$8)*(1-$F$8))/$E$8/$D$8-1,"")</f>
        <v>-0.437633145039714</v>
      </c>
      <c r="J96" s="17">
        <f>IFERROR(($C$8-($H$8*0.5-$B$8)*(1-$F$8))/$E$8/$D$8-1,"")</f>
        <v>-0.638182994750255</v>
      </c>
      <c r="K96" s="17">
        <f>IFERROR(($C$8-($H$8*0.6667-$B$8)*(1-$F$8))/$E$8/$D$8-1,"")</f>
        <v>-0.972499594217727</v>
      </c>
    </row>
    <row r="97" spans="1:11">
      <c r="A97" s="43" t="s">
        <v>55</v>
      </c>
      <c r="B97" s="57">
        <f>$G$9</f>
        <v>5.5</v>
      </c>
      <c r="C97" s="17">
        <f>IFERROR(($C$9-($H$9/6-$B$9)*(1-$F$9))/$E$9/$D$9-1,"")</f>
        <v>0.0308272750649154</v>
      </c>
      <c r="D97" s="17">
        <f>IFERROR(($C$9-($H$9/5-$B$9)*(1-$F$9))/$E$9/$D$9-1,"")</f>
        <v>-0.0386639021387852</v>
      </c>
      <c r="E97" s="17">
        <f>IFERROR(($C$9-($H$9/4-$B$9)*(1-$F$9))/$E$9/$D$9-1,"")</f>
        <v>-0.142900667944336</v>
      </c>
      <c r="F97" s="17">
        <f>IFERROR(($C$9-($H$9/3-$B$9)*(1-$F$9))/$E$9/$D$9-1,"")</f>
        <v>-0.316628610953588</v>
      </c>
      <c r="G97" s="17">
        <f>IFERROR(($C$9-($H$9/2-$B$9)*(1-$F$9))/$E$9/$D$9-1,"")</f>
        <v>-0.664084496972091</v>
      </c>
      <c r="H97" s="17">
        <f>IFERROR(($C$9-($H$9*0.3333-$B$9)*(1-$F$9))/$E$9/$D$9-1,"")</f>
        <v>-0.316559119776384</v>
      </c>
      <c r="I97" s="17">
        <f>IFERROR(($C$9-($H$9*0.4-$B$9)*(1-$F$9))/$E$9/$D$9-1,"")</f>
        <v>-0.455610965360989</v>
      </c>
      <c r="J97" s="17">
        <f>IFERROR(($C$9-($H$9*0.5-$B$9)*(1-$F$9))/$E$9/$D$9-1,"")</f>
        <v>-0.664084496972091</v>
      </c>
      <c r="K97" s="17">
        <f>IFERROR(($C$9-($H$9*0.6667-$B$9)*(1-$F$9))/$E$9/$D$9-1,"")</f>
        <v>-1.0116098741678</v>
      </c>
    </row>
  </sheetData>
  <mergeCells count="17">
    <mergeCell ref="A1:L1"/>
    <mergeCell ref="A3:L3"/>
    <mergeCell ref="A12:L12"/>
    <mergeCell ref="A13:L13"/>
    <mergeCell ref="A14:L14"/>
    <mergeCell ref="A22:L22"/>
    <mergeCell ref="A30:L30"/>
    <mergeCell ref="A38:L38"/>
    <mergeCell ref="A46:L46"/>
    <mergeCell ref="A55:L55"/>
    <mergeCell ref="A56:L56"/>
    <mergeCell ref="A57:L57"/>
    <mergeCell ref="A65:L65"/>
    <mergeCell ref="A73:L73"/>
    <mergeCell ref="A81:L81"/>
    <mergeCell ref="A90:L90"/>
    <mergeCell ref="A91:L91"/>
  </mergeCells>
  <conditionalFormatting sqref="G16:G20">
    <cfRule type="colorScale" priority="2">
      <colorScale>
        <cfvo type="num" val="-0.7"/>
        <cfvo type="num" val="-0.2"/>
        <cfvo type="num" val="0"/>
        <color rgb="FFF8696B"/>
        <color rgb="FFFFEB84"/>
        <color rgb="FF63BE7B"/>
      </colorScale>
    </cfRule>
  </conditionalFormatting>
  <conditionalFormatting sqref="G24:G28">
    <cfRule type="colorScale" priority="3">
      <colorScale>
        <cfvo type="num" val="-0.7"/>
        <cfvo type="num" val="-0.2"/>
        <cfvo type="num" val="0"/>
        <color rgb="FFF8696B"/>
        <color rgb="FFFFEB84"/>
        <color rgb="FF63BE7B"/>
      </colorScale>
    </cfRule>
  </conditionalFormatting>
  <conditionalFormatting sqref="G32:G36">
    <cfRule type="colorScale" priority="4">
      <colorScale>
        <cfvo type="num" val="-0.7"/>
        <cfvo type="num" val="-0.2"/>
        <cfvo type="num" val="0"/>
        <color rgb="FFF8696B"/>
        <color rgb="FFFFEB84"/>
        <color rgb="FF63BE7B"/>
      </colorScale>
    </cfRule>
  </conditionalFormatting>
  <conditionalFormatting sqref="G40:G44">
    <cfRule type="colorScale" priority="5">
      <colorScale>
        <cfvo type="num" val="-0.7"/>
        <cfvo type="num" val="-0.2"/>
        <cfvo type="num" val="0"/>
        <color rgb="FFF8696B"/>
        <color rgb="FFFFEB84"/>
        <color rgb="FF63BE7B"/>
      </colorScale>
    </cfRule>
  </conditionalFormatting>
  <conditionalFormatting sqref="G48:G52">
    <cfRule type="colorScale" priority="6">
      <colorScale>
        <cfvo type="num" val="-0.7"/>
        <cfvo type="num" val="-0.2"/>
        <cfvo type="num" val="0"/>
        <color rgb="FFF8696B"/>
        <color rgb="FFFFEB84"/>
        <color rgb="FF63BE7B"/>
      </colorScale>
    </cfRule>
  </conditionalFormatting>
  <conditionalFormatting sqref="G59:G63">
    <cfRule type="colorScale" priority="7">
      <colorScale>
        <cfvo type="num" val="-0.8"/>
        <cfvo type="num" val="-0.3"/>
        <cfvo type="num" val="0"/>
        <color rgb="FFF8696B"/>
        <color rgb="FFFFEB84"/>
        <color rgb="FF63BE7B"/>
      </colorScale>
    </cfRule>
  </conditionalFormatting>
  <conditionalFormatting sqref="G67:G71">
    <cfRule type="colorScale" priority="8">
      <colorScale>
        <cfvo type="num" val="-0.8"/>
        <cfvo type="num" val="-0.3"/>
        <cfvo type="num" val="0"/>
        <color rgb="FFF8696B"/>
        <color rgb="FFFFEB84"/>
        <color rgb="FF63BE7B"/>
      </colorScale>
    </cfRule>
  </conditionalFormatting>
  <conditionalFormatting sqref="G75:G79">
    <cfRule type="colorScale" priority="9">
      <colorScale>
        <cfvo type="num" val="-0.8"/>
        <cfvo type="num" val="-0.3"/>
        <cfvo type="num" val="0"/>
        <color rgb="FFF8696B"/>
        <color rgb="FFFFEB84"/>
        <color rgb="FF63BE7B"/>
      </colorScale>
    </cfRule>
  </conditionalFormatting>
  <conditionalFormatting sqref="G83:G87">
    <cfRule type="colorScale" priority="10">
      <colorScale>
        <cfvo type="num" val="-0.8"/>
        <cfvo type="num" val="-0.3"/>
        <cfvo type="num" val="0"/>
        <color rgb="FFF8696B"/>
        <color rgb="FFFFEB84"/>
        <color rgb="FF63BE7B"/>
      </colorScale>
    </cfRule>
  </conditionalFormatting>
  <conditionalFormatting sqref="C93:K97">
    <cfRule type="colorScale" priority="11">
      <colorScale>
        <cfvo type="num" val="-0.8"/>
        <cfvo type="num" val="-0.2"/>
        <cfvo type="num" val="0.0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showGridLines="0" workbookViewId="0">
      <selection activeCell="A1" sqref="A1:N1"/>
    </sheetView>
  </sheetViews>
  <sheetFormatPr defaultColWidth="8.67619047619048" defaultRowHeight="15"/>
  <cols>
    <col min="1" max="1" width="36" style="1" customWidth="1"/>
    <col min="2" max="15" width="11" style="1" customWidth="1"/>
  </cols>
  <sheetData>
    <row r="1" ht="27.75" customHeight="1" spans="1:14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Height="1" spans="1:14">
      <c r="A3" s="9" t="s">
        <v>166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Height="1" spans="1:14">
      <c r="A4" s="10" t="s">
        <v>2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167</v>
      </c>
      <c r="J4" s="10" t="s">
        <v>16</v>
      </c>
      <c r="K4" s="10" t="s">
        <v>17</v>
      </c>
      <c r="L4" s="10" t="s">
        <v>18</v>
      </c>
      <c r="M4" s="10" t="s">
        <v>19</v>
      </c>
      <c r="N4" s="10" t="s">
        <v>20</v>
      </c>
    </row>
    <row r="5" customHeight="1" spans="1:14">
      <c r="A5" s="11" t="s">
        <v>168</v>
      </c>
      <c r="B5" s="12">
        <v>152</v>
      </c>
      <c r="C5" s="12">
        <v>157</v>
      </c>
      <c r="D5" s="12">
        <v>139</v>
      </c>
      <c r="E5" s="12">
        <v>208</v>
      </c>
      <c r="F5" s="12">
        <v>218</v>
      </c>
      <c r="G5" s="12">
        <v>221</v>
      </c>
      <c r="H5" s="12">
        <v>240</v>
      </c>
      <c r="I5" s="12">
        <v>262</v>
      </c>
      <c r="J5" s="12">
        <v>275</v>
      </c>
      <c r="K5" s="12">
        <v>300</v>
      </c>
      <c r="L5" s="12">
        <v>325</v>
      </c>
      <c r="M5" s="12">
        <v>350</v>
      </c>
      <c r="N5" s="12">
        <v>375</v>
      </c>
    </row>
    <row r="6" customHeight="1" spans="1:14">
      <c r="A6" s="13" t="s">
        <v>169</v>
      </c>
      <c r="B6" s="14">
        <v>0</v>
      </c>
      <c r="C6" s="14">
        <v>0</v>
      </c>
      <c r="D6" s="14">
        <v>0</v>
      </c>
      <c r="E6" s="14">
        <v>0</v>
      </c>
      <c r="F6" s="14">
        <v>2</v>
      </c>
      <c r="G6" s="14">
        <v>8</v>
      </c>
      <c r="H6" s="14">
        <v>22</v>
      </c>
      <c r="I6" s="14">
        <v>40</v>
      </c>
      <c r="J6" s="14">
        <v>55</v>
      </c>
      <c r="K6" s="14">
        <v>65</v>
      </c>
      <c r="L6" s="14">
        <v>70</v>
      </c>
      <c r="M6" s="14">
        <v>72</v>
      </c>
      <c r="N6" s="14">
        <v>73</v>
      </c>
    </row>
    <row r="7" customHeight="1" spans="1:14">
      <c r="A7" s="11" t="s">
        <v>170</v>
      </c>
      <c r="B7" s="15">
        <f t="shared" ref="B7:N7" si="0">B5-B6</f>
        <v>152</v>
      </c>
      <c r="C7" s="15">
        <f t="shared" si="0"/>
        <v>157</v>
      </c>
      <c r="D7" s="15">
        <f t="shared" si="0"/>
        <v>139</v>
      </c>
      <c r="E7" s="15">
        <f t="shared" si="0"/>
        <v>208</v>
      </c>
      <c r="F7" s="15">
        <f t="shared" si="0"/>
        <v>216</v>
      </c>
      <c r="G7" s="15">
        <f t="shared" si="0"/>
        <v>213</v>
      </c>
      <c r="H7" s="15">
        <f t="shared" si="0"/>
        <v>218</v>
      </c>
      <c r="I7" s="15">
        <f t="shared" si="0"/>
        <v>222</v>
      </c>
      <c r="J7" s="15">
        <f t="shared" si="0"/>
        <v>220</v>
      </c>
      <c r="K7" s="15">
        <f t="shared" si="0"/>
        <v>235</v>
      </c>
      <c r="L7" s="15">
        <f t="shared" si="0"/>
        <v>255</v>
      </c>
      <c r="M7" s="15">
        <f t="shared" si="0"/>
        <v>278</v>
      </c>
      <c r="N7" s="15">
        <f t="shared" si="0"/>
        <v>302</v>
      </c>
    </row>
    <row r="8" customHeight="1" spans="1:14">
      <c r="A8" s="11" t="s">
        <v>171</v>
      </c>
      <c r="B8" s="16">
        <f t="shared" ref="B8:N8" si="1">IFERROR(B6/B5,"")</f>
        <v>0</v>
      </c>
      <c r="C8" s="16">
        <f t="shared" si="1"/>
        <v>0</v>
      </c>
      <c r="D8" s="16">
        <f t="shared" si="1"/>
        <v>0</v>
      </c>
      <c r="E8" s="16">
        <f t="shared" si="1"/>
        <v>0</v>
      </c>
      <c r="F8" s="16">
        <f t="shared" si="1"/>
        <v>0.00917431192660551</v>
      </c>
      <c r="G8" s="16">
        <f t="shared" si="1"/>
        <v>0.0361990950226244</v>
      </c>
      <c r="H8" s="16">
        <f t="shared" si="1"/>
        <v>0.0916666666666667</v>
      </c>
      <c r="I8" s="16">
        <f t="shared" si="1"/>
        <v>0.152671755725191</v>
      </c>
      <c r="J8" s="16">
        <f t="shared" si="1"/>
        <v>0.2</v>
      </c>
      <c r="K8" s="16">
        <f t="shared" si="1"/>
        <v>0.216666666666667</v>
      </c>
      <c r="L8" s="16">
        <f t="shared" si="1"/>
        <v>0.215384615384615</v>
      </c>
      <c r="M8" s="16">
        <f t="shared" si="1"/>
        <v>0.205714285714286</v>
      </c>
      <c r="N8" s="16">
        <f t="shared" si="1"/>
        <v>0.194666666666667</v>
      </c>
    </row>
    <row r="9" customHeight="1" spans="1:14">
      <c r="A9" s="11" t="s">
        <v>172</v>
      </c>
      <c r="B9" s="4"/>
      <c r="C9" s="17" t="str">
        <f t="shared" ref="C9:N9" si="2">IFERROR(C6/B6-1,"")</f>
        <v/>
      </c>
      <c r="D9" s="17" t="str">
        <f t="shared" si="2"/>
        <v/>
      </c>
      <c r="E9" s="17" t="str">
        <f t="shared" si="2"/>
        <v/>
      </c>
      <c r="F9" s="17" t="str">
        <f t="shared" si="2"/>
        <v/>
      </c>
      <c r="G9" s="17">
        <f t="shared" si="2"/>
        <v>3</v>
      </c>
      <c r="H9" s="17">
        <f t="shared" si="2"/>
        <v>1.75</v>
      </c>
      <c r="I9" s="17">
        <f t="shared" si="2"/>
        <v>0.818181818181818</v>
      </c>
      <c r="J9" s="17">
        <f t="shared" si="2"/>
        <v>0.375</v>
      </c>
      <c r="K9" s="17">
        <f t="shared" si="2"/>
        <v>0.181818181818182</v>
      </c>
      <c r="L9" s="17">
        <f t="shared" si="2"/>
        <v>0.0769230769230769</v>
      </c>
      <c r="M9" s="17">
        <f t="shared" si="2"/>
        <v>0.0285714285714285</v>
      </c>
      <c r="N9" s="17">
        <f t="shared" si="2"/>
        <v>0.0138888888888888</v>
      </c>
    </row>
    <row r="10" customHeight="1" spans="1:14">
      <c r="A10" s="11" t="s">
        <v>173</v>
      </c>
      <c r="B10" s="4"/>
      <c r="C10" s="17">
        <f t="shared" ref="C10:N10" si="3">IFERROR(C7/B7-1,"")</f>
        <v>0.0328947368421053</v>
      </c>
      <c r="D10" s="17">
        <f t="shared" si="3"/>
        <v>-0.114649681528662</v>
      </c>
      <c r="E10" s="17">
        <f t="shared" si="3"/>
        <v>0.496402877697842</v>
      </c>
      <c r="F10" s="17">
        <f t="shared" si="3"/>
        <v>0.0384615384615385</v>
      </c>
      <c r="G10" s="17">
        <f t="shared" si="3"/>
        <v>-0.0138888888888888</v>
      </c>
      <c r="H10" s="17">
        <f t="shared" si="3"/>
        <v>0.0234741784037558</v>
      </c>
      <c r="I10" s="17">
        <f t="shared" si="3"/>
        <v>0.0183486238532109</v>
      </c>
      <c r="J10" s="17">
        <f t="shared" si="3"/>
        <v>-0.00900900900900903</v>
      </c>
      <c r="K10" s="17">
        <f t="shared" si="3"/>
        <v>0.0681818181818181</v>
      </c>
      <c r="L10" s="17">
        <f t="shared" si="3"/>
        <v>0.0851063829787233</v>
      </c>
      <c r="M10" s="17">
        <f t="shared" si="3"/>
        <v>0.0901960784313725</v>
      </c>
      <c r="N10" s="17">
        <f t="shared" si="3"/>
        <v>0.0863309352517985</v>
      </c>
    </row>
    <row r="12" customHeight="1" spans="1:14">
      <c r="A12" s="9" t="s">
        <v>174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Height="1" spans="1:14">
      <c r="A13" s="18" t="s">
        <v>175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customHeight="1" spans="1:14">
      <c r="A14" s="11" t="s">
        <v>176</v>
      </c>
      <c r="B14" s="19">
        <v>18</v>
      </c>
      <c r="C14" s="20" t="s">
        <v>177</v>
      </c>
      <c r="D14" s="20"/>
      <c r="E14" s="20"/>
      <c r="F14" s="20"/>
      <c r="G14" s="20"/>
    </row>
    <row r="15" customHeight="1" spans="1:14">
      <c r="A15" s="11" t="s">
        <v>178</v>
      </c>
      <c r="B15" s="19">
        <v>35</v>
      </c>
      <c r="C15" s="20" t="s">
        <v>179</v>
      </c>
      <c r="D15" s="20"/>
      <c r="E15" s="20"/>
      <c r="F15" s="20"/>
      <c r="G15" s="20"/>
    </row>
    <row r="17" customHeight="1" spans="1:14">
      <c r="A17" s="10" t="s">
        <v>2</v>
      </c>
      <c r="B17" s="10" t="s">
        <v>14</v>
      </c>
      <c r="C17" s="10" t="s">
        <v>167</v>
      </c>
      <c r="D17" s="10" t="s">
        <v>16</v>
      </c>
      <c r="E17" s="10" t="s">
        <v>17</v>
      </c>
      <c r="F17" s="10" t="s">
        <v>18</v>
      </c>
      <c r="G17" s="10" t="s">
        <v>19</v>
      </c>
      <c r="H17" s="10" t="s">
        <v>20</v>
      </c>
    </row>
    <row r="18" customHeight="1" spans="1:14">
      <c r="A18" s="11" t="s">
        <v>180</v>
      </c>
      <c r="B18" s="21">
        <f t="shared" ref="B18:H18" si="4">H7*$B$14</f>
        <v>3924</v>
      </c>
      <c r="C18" s="21">
        <f t="shared" si="4"/>
        <v>3996</v>
      </c>
      <c r="D18" s="21">
        <f t="shared" si="4"/>
        <v>3960</v>
      </c>
      <c r="E18" s="21">
        <f t="shared" si="4"/>
        <v>4230</v>
      </c>
      <c r="F18" s="21">
        <f t="shared" si="4"/>
        <v>4590</v>
      </c>
      <c r="G18" s="21">
        <f t="shared" si="4"/>
        <v>5004</v>
      </c>
      <c r="H18" s="21">
        <f t="shared" si="4"/>
        <v>5436</v>
      </c>
    </row>
    <row r="19" customHeight="1" spans="1:14">
      <c r="A19" s="11" t="s">
        <v>181</v>
      </c>
      <c r="B19" s="21">
        <f t="shared" ref="B19:H19" si="5">H6*$B$15</f>
        <v>770</v>
      </c>
      <c r="C19" s="21">
        <f t="shared" si="5"/>
        <v>1400</v>
      </c>
      <c r="D19" s="21">
        <f t="shared" si="5"/>
        <v>1925</v>
      </c>
      <c r="E19" s="21">
        <f t="shared" si="5"/>
        <v>2275</v>
      </c>
      <c r="F19" s="21">
        <f t="shared" si="5"/>
        <v>2450</v>
      </c>
      <c r="G19" s="21">
        <f t="shared" si="5"/>
        <v>2520</v>
      </c>
      <c r="H19" s="21">
        <f t="shared" si="5"/>
        <v>2555</v>
      </c>
    </row>
    <row r="20" customHeight="1" spans="1:14">
      <c r="A20" s="22" t="s">
        <v>182</v>
      </c>
      <c r="B20" s="23">
        <f t="shared" ref="B20:H20" si="6">B18+B19</f>
        <v>4694</v>
      </c>
      <c r="C20" s="23">
        <f t="shared" si="6"/>
        <v>5396</v>
      </c>
      <c r="D20" s="23">
        <f t="shared" si="6"/>
        <v>5885</v>
      </c>
      <c r="E20" s="23">
        <f t="shared" si="6"/>
        <v>6505</v>
      </c>
      <c r="F20" s="23">
        <f t="shared" si="6"/>
        <v>7040</v>
      </c>
      <c r="G20" s="23">
        <f t="shared" si="6"/>
        <v>7524</v>
      </c>
      <c r="H20" s="23">
        <f t="shared" si="6"/>
        <v>7991</v>
      </c>
    </row>
    <row r="21" customHeight="1" spans="1:14">
      <c r="A21" s="11" t="s">
        <v>183</v>
      </c>
      <c r="B21" s="24">
        <f t="shared" ref="B21:H21" si="7">IFERROR(B20/H5,"")</f>
        <v>19.5583333333333</v>
      </c>
      <c r="C21" s="24">
        <f t="shared" si="7"/>
        <v>20.5954198473282</v>
      </c>
      <c r="D21" s="24">
        <f t="shared" si="7"/>
        <v>21.4</v>
      </c>
      <c r="E21" s="24">
        <f t="shared" si="7"/>
        <v>21.6833333333333</v>
      </c>
      <c r="F21" s="24">
        <f t="shared" si="7"/>
        <v>21.6615384615385</v>
      </c>
      <c r="G21" s="24">
        <f t="shared" si="7"/>
        <v>21.4971428571429</v>
      </c>
      <c r="H21" s="24">
        <f t="shared" si="7"/>
        <v>21.3093333333333</v>
      </c>
    </row>
    <row r="23" customHeight="1" spans="1:14">
      <c r="A23" s="9" t="s">
        <v>184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Height="1" spans="1:14">
      <c r="A24" s="25" t="s">
        <v>185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customHeight="1" spans="1:14">
      <c r="A25" s="18" t="s">
        <v>186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customHeight="1" spans="1:14">
      <c r="A26" s="10" t="s">
        <v>2</v>
      </c>
      <c r="B26" s="10" t="s">
        <v>14</v>
      </c>
      <c r="C26" s="10" t="s">
        <v>167</v>
      </c>
      <c r="D26" s="10" t="s">
        <v>16</v>
      </c>
      <c r="E26" s="10" t="s">
        <v>17</v>
      </c>
      <c r="F26" s="10" t="s">
        <v>18</v>
      </c>
      <c r="G26" s="10" t="s">
        <v>19</v>
      </c>
      <c r="H26" s="10" t="s">
        <v>20</v>
      </c>
    </row>
    <row r="27" customHeight="1" spans="1:14">
      <c r="A27" s="26" t="s">
        <v>187</v>
      </c>
      <c r="B27" s="12">
        <v>22</v>
      </c>
      <c r="C27" s="12">
        <v>40</v>
      </c>
      <c r="D27" s="12">
        <v>55</v>
      </c>
      <c r="E27" s="12">
        <v>65</v>
      </c>
      <c r="F27" s="12">
        <v>70</v>
      </c>
      <c r="G27" s="12">
        <v>72</v>
      </c>
      <c r="H27" s="12">
        <v>73</v>
      </c>
    </row>
    <row r="28" customHeight="1" spans="1:14">
      <c r="A28" s="26" t="s">
        <v>188</v>
      </c>
      <c r="B28" s="12">
        <v>218</v>
      </c>
      <c r="C28" s="12">
        <v>222</v>
      </c>
      <c r="D28" s="12">
        <v>220</v>
      </c>
      <c r="E28" s="12">
        <v>235</v>
      </c>
      <c r="F28" s="12">
        <v>255</v>
      </c>
      <c r="G28" s="12">
        <v>278</v>
      </c>
      <c r="H28" s="12">
        <v>302</v>
      </c>
    </row>
    <row r="29" customHeight="1" spans="1:14">
      <c r="A29" s="27" t="s">
        <v>189</v>
      </c>
      <c r="B29" s="23">
        <f t="shared" ref="B29:H29" si="8">B27*35+B28*18</f>
        <v>4694</v>
      </c>
      <c r="C29" s="23">
        <f t="shared" si="8"/>
        <v>5396</v>
      </c>
      <c r="D29" s="23">
        <f t="shared" si="8"/>
        <v>5885</v>
      </c>
      <c r="E29" s="23">
        <f t="shared" si="8"/>
        <v>6505</v>
      </c>
      <c r="F29" s="23">
        <f t="shared" si="8"/>
        <v>7040</v>
      </c>
      <c r="G29" s="23">
        <f t="shared" si="8"/>
        <v>7524</v>
      </c>
      <c r="H29" s="23">
        <f t="shared" si="8"/>
        <v>7991</v>
      </c>
    </row>
    <row r="31" customHeight="1" spans="1:14">
      <c r="A31" s="28" t="s">
        <v>190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customHeight="1" spans="1:14">
      <c r="A32" s="18" t="s">
        <v>191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customHeight="1" spans="1:14">
      <c r="A33" s="10" t="s">
        <v>2</v>
      </c>
      <c r="B33" s="10" t="s">
        <v>14</v>
      </c>
      <c r="C33" s="10" t="s">
        <v>167</v>
      </c>
      <c r="D33" s="10" t="s">
        <v>16</v>
      </c>
      <c r="E33" s="10" t="s">
        <v>17</v>
      </c>
      <c r="F33" s="10" t="s">
        <v>18</v>
      </c>
      <c r="G33" s="10" t="s">
        <v>19</v>
      </c>
      <c r="H33" s="10" t="s">
        <v>20</v>
      </c>
    </row>
    <row r="34" customHeight="1" spans="1:14">
      <c r="A34" s="26" t="s">
        <v>187</v>
      </c>
      <c r="B34" s="12">
        <v>22</v>
      </c>
      <c r="C34" s="12">
        <v>40</v>
      </c>
      <c r="D34" s="12">
        <v>39</v>
      </c>
      <c r="E34" s="12">
        <v>46</v>
      </c>
      <c r="F34" s="12">
        <v>49</v>
      </c>
      <c r="G34" s="12">
        <v>50</v>
      </c>
      <c r="H34" s="12">
        <v>51</v>
      </c>
    </row>
    <row r="35" customHeight="1" spans="1:14">
      <c r="A35" s="26" t="s">
        <v>188</v>
      </c>
      <c r="B35" s="12">
        <v>218</v>
      </c>
      <c r="C35" s="12">
        <v>222</v>
      </c>
      <c r="D35" s="12">
        <v>220</v>
      </c>
      <c r="E35" s="12">
        <v>235</v>
      </c>
      <c r="F35" s="12">
        <v>255</v>
      </c>
      <c r="G35" s="12">
        <v>278</v>
      </c>
      <c r="H35" s="12">
        <v>302</v>
      </c>
    </row>
    <row r="36" customHeight="1" spans="1:14">
      <c r="A36" s="13" t="s">
        <v>192</v>
      </c>
      <c r="B36" s="29">
        <f t="shared" ref="B36:H36" si="9">B34*25+B35*18</f>
        <v>4474</v>
      </c>
      <c r="C36" s="29">
        <f t="shared" si="9"/>
        <v>4996</v>
      </c>
      <c r="D36" s="29">
        <f t="shared" si="9"/>
        <v>4935</v>
      </c>
      <c r="E36" s="29">
        <f t="shared" si="9"/>
        <v>5380</v>
      </c>
      <c r="F36" s="29">
        <f t="shared" si="9"/>
        <v>5815</v>
      </c>
      <c r="G36" s="29">
        <f t="shared" si="9"/>
        <v>6254</v>
      </c>
      <c r="H36" s="29">
        <f t="shared" si="9"/>
        <v>6711</v>
      </c>
    </row>
    <row r="37" customHeight="1" spans="1:14">
      <c r="A37" s="30" t="s">
        <v>193</v>
      </c>
      <c r="B37" s="31">
        <f t="shared" ref="B37:H37" si="10">IFERROR(B36/B29-1,"")</f>
        <v>-0.0468683425649765</v>
      </c>
      <c r="C37" s="31">
        <f t="shared" si="10"/>
        <v>-0.0741289844329133</v>
      </c>
      <c r="D37" s="31">
        <f t="shared" si="10"/>
        <v>-0.16142735768904</v>
      </c>
      <c r="E37" s="31">
        <f t="shared" si="10"/>
        <v>-0.172943889315911</v>
      </c>
      <c r="F37" s="31">
        <f t="shared" si="10"/>
        <v>-0.174005681818182</v>
      </c>
      <c r="G37" s="31">
        <f t="shared" si="10"/>
        <v>-0.168793195108985</v>
      </c>
      <c r="H37" s="31">
        <f t="shared" si="10"/>
        <v>-0.160180202728069</v>
      </c>
    </row>
    <row r="39" customHeight="1" spans="1:14">
      <c r="A39" s="32" t="s">
        <v>194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customHeight="1" spans="1:14">
      <c r="A40" s="18" t="s">
        <v>195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customHeight="1" spans="1:14">
      <c r="A41" s="10" t="s">
        <v>2</v>
      </c>
      <c r="B41" s="10" t="s">
        <v>14</v>
      </c>
      <c r="C41" s="10" t="s">
        <v>167</v>
      </c>
      <c r="D41" s="10" t="s">
        <v>16</v>
      </c>
      <c r="E41" s="10" t="s">
        <v>17</v>
      </c>
      <c r="F41" s="10" t="s">
        <v>18</v>
      </c>
      <c r="G41" s="10" t="s">
        <v>19</v>
      </c>
      <c r="H41" s="10" t="s">
        <v>20</v>
      </c>
    </row>
    <row r="42" customHeight="1" spans="1:14">
      <c r="A42" s="26" t="s">
        <v>187</v>
      </c>
      <c r="B42" s="12">
        <v>22</v>
      </c>
      <c r="C42" s="12">
        <v>40</v>
      </c>
      <c r="D42" s="12">
        <v>55</v>
      </c>
      <c r="E42" s="12">
        <v>26</v>
      </c>
      <c r="F42" s="12">
        <v>22</v>
      </c>
      <c r="G42" s="12">
        <v>20</v>
      </c>
      <c r="H42" s="12">
        <v>20</v>
      </c>
    </row>
    <row r="43" customHeight="1" spans="1:14">
      <c r="A43" s="26" t="s">
        <v>188</v>
      </c>
      <c r="B43" s="12">
        <v>218</v>
      </c>
      <c r="C43" s="12">
        <v>222</v>
      </c>
      <c r="D43" s="12">
        <v>220</v>
      </c>
      <c r="E43" s="12">
        <v>235</v>
      </c>
      <c r="F43" s="12">
        <v>255</v>
      </c>
      <c r="G43" s="12">
        <v>278</v>
      </c>
      <c r="H43" s="12">
        <v>302</v>
      </c>
    </row>
    <row r="44" customHeight="1" spans="1:14">
      <c r="A44" s="33" t="s">
        <v>196</v>
      </c>
      <c r="B44" s="34">
        <f t="shared" ref="B44:H44" si="11">B42*15+B43*18</f>
        <v>4254</v>
      </c>
      <c r="C44" s="34">
        <f t="shared" si="11"/>
        <v>4596</v>
      </c>
      <c r="D44" s="34">
        <f t="shared" si="11"/>
        <v>4785</v>
      </c>
      <c r="E44" s="34">
        <f t="shared" si="11"/>
        <v>4620</v>
      </c>
      <c r="F44" s="34">
        <f t="shared" si="11"/>
        <v>4920</v>
      </c>
      <c r="G44" s="34">
        <f t="shared" si="11"/>
        <v>5304</v>
      </c>
      <c r="H44" s="34">
        <f t="shared" si="11"/>
        <v>5736</v>
      </c>
    </row>
    <row r="45" customHeight="1" spans="1:14">
      <c r="A45" s="30" t="s">
        <v>193</v>
      </c>
      <c r="B45" s="31">
        <f t="shared" ref="B45:H45" si="12">IFERROR(B44/B29-1,"")</f>
        <v>-0.0937366851299531</v>
      </c>
      <c r="C45" s="31">
        <f t="shared" si="12"/>
        <v>-0.148257968865827</v>
      </c>
      <c r="D45" s="31">
        <f t="shared" si="12"/>
        <v>-0.186915887850467</v>
      </c>
      <c r="E45" s="31">
        <f t="shared" si="12"/>
        <v>-0.28977709454266</v>
      </c>
      <c r="F45" s="31">
        <f t="shared" si="12"/>
        <v>-0.301136363636364</v>
      </c>
      <c r="G45" s="31">
        <f t="shared" si="12"/>
        <v>-0.295055821371611</v>
      </c>
      <c r="H45" s="31">
        <f t="shared" si="12"/>
        <v>-0.28219246652484</v>
      </c>
    </row>
    <row r="47" customHeight="1" spans="1:14">
      <c r="A47" s="35" t="s">
        <v>197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customHeight="1" spans="1:14">
      <c r="A48" s="18" t="s">
        <v>198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customHeight="1" spans="1:14">
      <c r="A49" s="10" t="s">
        <v>2</v>
      </c>
      <c r="B49" s="10" t="s">
        <v>14</v>
      </c>
      <c r="C49" s="10" t="s">
        <v>167</v>
      </c>
      <c r="D49" s="10" t="s">
        <v>16</v>
      </c>
      <c r="E49" s="10" t="s">
        <v>17</v>
      </c>
      <c r="F49" s="10" t="s">
        <v>18</v>
      </c>
      <c r="G49" s="10" t="s">
        <v>19</v>
      </c>
      <c r="H49" s="10" t="s">
        <v>20</v>
      </c>
    </row>
    <row r="50" customHeight="1" spans="1:14">
      <c r="A50" s="26" t="s">
        <v>187</v>
      </c>
      <c r="B50" s="12">
        <v>22</v>
      </c>
      <c r="C50" s="12">
        <v>40</v>
      </c>
      <c r="D50" s="12">
        <v>55</v>
      </c>
      <c r="E50" s="12">
        <v>65</v>
      </c>
      <c r="F50" s="12">
        <v>70</v>
      </c>
      <c r="G50" s="12">
        <v>72</v>
      </c>
      <c r="H50" s="12">
        <v>73</v>
      </c>
    </row>
    <row r="51" customHeight="1" spans="1:14">
      <c r="A51" s="26" t="s">
        <v>188</v>
      </c>
      <c r="B51" s="12">
        <v>218</v>
      </c>
      <c r="C51" s="12">
        <v>222</v>
      </c>
      <c r="D51" s="12">
        <v>220</v>
      </c>
      <c r="E51" s="12">
        <v>235</v>
      </c>
      <c r="F51" s="12">
        <v>255</v>
      </c>
      <c r="G51" s="12">
        <v>278</v>
      </c>
      <c r="H51" s="12">
        <v>302</v>
      </c>
    </row>
    <row r="52" customHeight="1" spans="1:14">
      <c r="A52" s="11" t="s">
        <v>199</v>
      </c>
      <c r="B52" s="36">
        <f t="shared" ref="B52:H52" si="13">B50*18+B51*18</f>
        <v>4320</v>
      </c>
      <c r="C52" s="36">
        <f t="shared" si="13"/>
        <v>4716</v>
      </c>
      <c r="D52" s="36">
        <f t="shared" si="13"/>
        <v>4950</v>
      </c>
      <c r="E52" s="36">
        <f t="shared" si="13"/>
        <v>5400</v>
      </c>
      <c r="F52" s="36">
        <f t="shared" si="13"/>
        <v>5850</v>
      </c>
      <c r="G52" s="36">
        <f t="shared" si="13"/>
        <v>6300</v>
      </c>
      <c r="H52" s="36">
        <f t="shared" si="13"/>
        <v>6750</v>
      </c>
    </row>
    <row r="53" customHeight="1" spans="1:14">
      <c r="A53" s="30" t="s">
        <v>193</v>
      </c>
      <c r="B53" s="31">
        <f t="shared" ref="B53:H53" si="14">IFERROR(B52/B29-1,"")</f>
        <v>-0.0796761823604601</v>
      </c>
      <c r="C53" s="31">
        <f t="shared" si="14"/>
        <v>-0.126019273535953</v>
      </c>
      <c r="D53" s="31">
        <f t="shared" si="14"/>
        <v>-0.158878504672897</v>
      </c>
      <c r="E53" s="31">
        <f t="shared" si="14"/>
        <v>-0.169869331283628</v>
      </c>
      <c r="F53" s="31">
        <f t="shared" si="14"/>
        <v>-0.169034090909091</v>
      </c>
      <c r="G53" s="31">
        <f t="shared" si="14"/>
        <v>-0.162679425837321</v>
      </c>
      <c r="H53" s="31">
        <f t="shared" si="14"/>
        <v>-0.155299712176198</v>
      </c>
    </row>
    <row r="55" customHeight="1" spans="1:14">
      <c r="A55" s="9" t="s">
        <v>200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customHeight="1" spans="1:14">
      <c r="A56" s="10" t="s">
        <v>201</v>
      </c>
      <c r="B56" s="37" t="s">
        <v>202</v>
      </c>
      <c r="C56" s="37"/>
      <c r="D56" s="37"/>
      <c r="E56" s="37"/>
      <c r="F56" s="37"/>
      <c r="G56" s="37"/>
      <c r="H56" s="37"/>
      <c r="I56" s="37" t="s">
        <v>203</v>
      </c>
      <c r="J56" s="37"/>
      <c r="K56" s="37"/>
    </row>
    <row r="57" ht="19.5" customHeight="1" spans="1:14">
      <c r="A57" s="38" t="s">
        <v>204</v>
      </c>
      <c r="B57" s="39" t="s">
        <v>205</v>
      </c>
      <c r="C57" s="39"/>
      <c r="D57" s="39"/>
      <c r="E57" s="39"/>
      <c r="F57" s="39"/>
      <c r="G57" s="39"/>
      <c r="H57" s="39"/>
      <c r="I57" s="40" t="s">
        <v>206</v>
      </c>
      <c r="J57" s="40"/>
      <c r="K57" s="40"/>
    </row>
    <row r="58" ht="19.5" customHeight="1" spans="1:14">
      <c r="A58" s="38" t="s">
        <v>207</v>
      </c>
      <c r="B58" s="39" t="s">
        <v>208</v>
      </c>
      <c r="C58" s="39"/>
      <c r="D58" s="39"/>
      <c r="E58" s="39"/>
      <c r="F58" s="39"/>
      <c r="G58" s="39"/>
      <c r="H58" s="39"/>
      <c r="I58" s="40" t="s">
        <v>209</v>
      </c>
      <c r="J58" s="40"/>
      <c r="K58" s="40"/>
    </row>
    <row r="59" ht="19.5" customHeight="1" spans="1:14">
      <c r="A59" s="38" t="s">
        <v>210</v>
      </c>
      <c r="B59" s="39" t="s">
        <v>211</v>
      </c>
      <c r="C59" s="39"/>
      <c r="D59" s="39"/>
      <c r="E59" s="39"/>
      <c r="F59" s="39"/>
      <c r="G59" s="39"/>
      <c r="H59" s="39"/>
      <c r="I59" s="40" t="s">
        <v>212</v>
      </c>
      <c r="J59" s="40"/>
      <c r="K59" s="40"/>
    </row>
    <row r="60" ht="19.5" customHeight="1" spans="1:14">
      <c r="A60" s="38" t="s">
        <v>213</v>
      </c>
      <c r="B60" s="39" t="s">
        <v>214</v>
      </c>
      <c r="C60" s="39"/>
      <c r="D60" s="39"/>
      <c r="E60" s="39"/>
      <c r="F60" s="39"/>
      <c r="G60" s="39"/>
      <c r="H60" s="39"/>
      <c r="I60" s="40" t="s">
        <v>215</v>
      </c>
      <c r="J60" s="40"/>
      <c r="K60" s="40"/>
    </row>
    <row r="61" ht="19.5" customHeight="1" spans="1:14">
      <c r="A61" s="38" t="s">
        <v>216</v>
      </c>
      <c r="B61" s="39" t="s">
        <v>217</v>
      </c>
      <c r="C61" s="39"/>
      <c r="D61" s="39"/>
      <c r="E61" s="39"/>
      <c r="F61" s="39"/>
      <c r="G61" s="39"/>
      <c r="H61" s="39"/>
      <c r="I61" s="40" t="s">
        <v>218</v>
      </c>
      <c r="J61" s="40"/>
      <c r="K61" s="40"/>
    </row>
    <row r="62" ht="19.5" customHeight="1" spans="1:14">
      <c r="A62" s="38" t="s">
        <v>219</v>
      </c>
      <c r="B62" s="39" t="s">
        <v>220</v>
      </c>
      <c r="C62" s="39"/>
      <c r="D62" s="39"/>
      <c r="E62" s="39"/>
      <c r="F62" s="39"/>
      <c r="G62" s="39"/>
      <c r="H62" s="39"/>
      <c r="I62" s="40" t="s">
        <v>215</v>
      </c>
      <c r="J62" s="40"/>
      <c r="K62" s="40"/>
    </row>
    <row r="63" ht="19.5" customHeight="1" spans="1:14">
      <c r="A63" s="38" t="s">
        <v>221</v>
      </c>
      <c r="B63" s="39" t="s">
        <v>222</v>
      </c>
      <c r="C63" s="39"/>
      <c r="D63" s="39"/>
      <c r="E63" s="39"/>
      <c r="F63" s="39"/>
      <c r="G63" s="39"/>
      <c r="H63" s="39"/>
      <c r="I63" s="40" t="s">
        <v>223</v>
      </c>
      <c r="J63" s="40"/>
      <c r="K63" s="40"/>
    </row>
    <row r="64" ht="19.5" customHeight="1" spans="1:14">
      <c r="A64" s="38" t="s">
        <v>224</v>
      </c>
      <c r="B64" s="39" t="s">
        <v>225</v>
      </c>
      <c r="C64" s="39"/>
      <c r="D64" s="39"/>
      <c r="E64" s="39"/>
      <c r="F64" s="39"/>
      <c r="G64" s="39"/>
      <c r="H64" s="39"/>
      <c r="I64" s="40" t="s">
        <v>226</v>
      </c>
      <c r="J64" s="40"/>
      <c r="K64" s="40"/>
    </row>
    <row r="65" ht="19.5" customHeight="1" spans="1:11">
      <c r="A65" s="38" t="s">
        <v>227</v>
      </c>
      <c r="B65" s="39" t="s">
        <v>228</v>
      </c>
      <c r="C65" s="39"/>
      <c r="D65" s="39"/>
      <c r="E65" s="39"/>
      <c r="F65" s="39"/>
      <c r="G65" s="39"/>
      <c r="H65" s="39"/>
      <c r="I65" s="40" t="s">
        <v>229</v>
      </c>
      <c r="J65" s="40"/>
      <c r="K65" s="40"/>
    </row>
    <row r="66" ht="19.5" customHeight="1" spans="1:11">
      <c r="A66" s="38" t="s">
        <v>230</v>
      </c>
      <c r="B66" s="39" t="s">
        <v>231</v>
      </c>
      <c r="C66" s="39"/>
      <c r="D66" s="39"/>
      <c r="E66" s="39"/>
      <c r="F66" s="39"/>
      <c r="G66" s="39"/>
      <c r="H66" s="39"/>
      <c r="I66" s="40" t="s">
        <v>215</v>
      </c>
      <c r="J66" s="40"/>
      <c r="K66" s="40"/>
    </row>
    <row r="67" ht="19.5" customHeight="1" spans="1:11">
      <c r="A67" s="41" t="s">
        <v>232</v>
      </c>
      <c r="B67" s="39"/>
      <c r="C67" s="39"/>
      <c r="D67" s="39"/>
      <c r="E67" s="39"/>
      <c r="F67" s="39"/>
      <c r="G67" s="39"/>
      <c r="H67" s="39"/>
      <c r="I67" s="40" t="s">
        <v>233</v>
      </c>
      <c r="J67" s="40"/>
      <c r="K67" s="40"/>
    </row>
    <row r="68" ht="19.5" customHeight="1" spans="1:11">
      <c r="A68" s="38" t="s">
        <v>234</v>
      </c>
      <c r="B68" s="39" t="s">
        <v>235</v>
      </c>
      <c r="C68" s="39"/>
      <c r="D68" s="39"/>
      <c r="E68" s="39"/>
      <c r="F68" s="39"/>
      <c r="G68" s="39"/>
      <c r="H68" s="39"/>
      <c r="I68" s="40" t="s">
        <v>236</v>
      </c>
      <c r="J68" s="40"/>
      <c r="K68" s="40"/>
    </row>
    <row r="69" ht="19.5" customHeight="1" spans="1:11">
      <c r="A69" s="42" t="s">
        <v>237</v>
      </c>
      <c r="B69" s="39"/>
      <c r="C69" s="39"/>
      <c r="D69" s="39"/>
      <c r="E69" s="39"/>
      <c r="F69" s="39"/>
      <c r="G69" s="39"/>
      <c r="H69" s="39"/>
      <c r="I69" s="40" t="s">
        <v>238</v>
      </c>
      <c r="J69" s="40"/>
      <c r="K69" s="40"/>
    </row>
  </sheetData>
  <mergeCells count="44">
    <mergeCell ref="A1:N1"/>
    <mergeCell ref="A3:N3"/>
    <mergeCell ref="A12:N12"/>
    <mergeCell ref="A13:N13"/>
    <mergeCell ref="C14:G14"/>
    <mergeCell ref="C15:G15"/>
    <mergeCell ref="A23:N23"/>
    <mergeCell ref="A24:N24"/>
    <mergeCell ref="A25:N25"/>
    <mergeCell ref="A31:N31"/>
    <mergeCell ref="A32:N32"/>
    <mergeCell ref="A39:N39"/>
    <mergeCell ref="A40:N40"/>
    <mergeCell ref="A47:N47"/>
    <mergeCell ref="A48:N48"/>
    <mergeCell ref="A55:N55"/>
    <mergeCell ref="B56:H56"/>
    <mergeCell ref="I56:K56"/>
    <mergeCell ref="B57:H57"/>
    <mergeCell ref="I57:K57"/>
    <mergeCell ref="B58:H58"/>
    <mergeCell ref="I58:K58"/>
    <mergeCell ref="B59:H59"/>
    <mergeCell ref="I59:K59"/>
    <mergeCell ref="B60:H60"/>
    <mergeCell ref="I60:K60"/>
    <mergeCell ref="B61:H61"/>
    <mergeCell ref="I61:K61"/>
    <mergeCell ref="B62:H62"/>
    <mergeCell ref="I62:K62"/>
    <mergeCell ref="B63:H63"/>
    <mergeCell ref="I63:K63"/>
    <mergeCell ref="B64:H64"/>
    <mergeCell ref="I64:K64"/>
    <mergeCell ref="B65:H65"/>
    <mergeCell ref="I65:K65"/>
    <mergeCell ref="B66:H66"/>
    <mergeCell ref="I66:K66"/>
    <mergeCell ref="B67:H67"/>
    <mergeCell ref="I67:K67"/>
    <mergeCell ref="B68:H68"/>
    <mergeCell ref="I68:K68"/>
    <mergeCell ref="B69:H69"/>
    <mergeCell ref="I69:K6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showGridLines="0" workbookViewId="0">
      <selection activeCell="A1" sqref="A1:T1"/>
    </sheetView>
  </sheetViews>
  <sheetFormatPr defaultColWidth="8.67619047619048" defaultRowHeight="15"/>
  <cols>
    <col min="1" max="21" width="9" style="1" customWidth="1"/>
  </cols>
  <sheetData>
    <row r="1" ht="24" customHeight="1" spans="1:20">
      <c r="A1" s="2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customHeight="1" spans="1:20">
      <c r="A3" s="3" t="s">
        <v>240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Height="1" spans="1:20">
      <c r="A4" s="4"/>
      <c r="B4" s="5" t="s">
        <v>241</v>
      </c>
      <c r="C4" s="5" t="s">
        <v>242</v>
      </c>
      <c r="D4" s="5" t="s">
        <v>243</v>
      </c>
      <c r="E4" s="5" t="s">
        <v>244</v>
      </c>
      <c r="F4" s="5" t="s">
        <v>245</v>
      </c>
      <c r="G4" s="5" t="s">
        <v>246</v>
      </c>
      <c r="H4" s="5" t="s">
        <v>247</v>
      </c>
      <c r="I4" s="5" t="s">
        <v>248</v>
      </c>
      <c r="J4" s="5" t="s">
        <v>249</v>
      </c>
      <c r="K4" s="5" t="s">
        <v>250</v>
      </c>
      <c r="L4" s="5" t="s">
        <v>251</v>
      </c>
      <c r="M4" s="5" t="s">
        <v>252</v>
      </c>
      <c r="N4" s="5" t="s">
        <v>253</v>
      </c>
      <c r="O4" s="5" t="s">
        <v>254</v>
      </c>
      <c r="P4" s="5" t="s">
        <v>255</v>
      </c>
      <c r="Q4" s="5" t="s">
        <v>256</v>
      </c>
      <c r="R4" s="5" t="s">
        <v>257</v>
      </c>
      <c r="S4" s="5" t="s">
        <v>258</v>
      </c>
    </row>
    <row r="5" customHeight="1" spans="1:20">
      <c r="A5" s="6" t="s">
        <v>22</v>
      </c>
      <c r="B5" s="7">
        <f>IFERROR('0. Database'!C12/'0. Database'!C5,"")</f>
        <v>0.0546827833369729</v>
      </c>
      <c r="C5" s="7">
        <f>IFERROR('0. Database'!D12/'0. Database'!D5,"")</f>
        <v>0.0631672290488639</v>
      </c>
      <c r="D5" s="7">
        <f>IFERROR('0. Database'!E12/'0. Database'!E5,"")</f>
        <v>0.0635178456935243</v>
      </c>
      <c r="E5" s="7">
        <f>IFERROR('0. Database'!F12/'0. Database'!F5,"")</f>
        <v>0.104688232536334</v>
      </c>
      <c r="F5" s="7">
        <f>IFERROR('0. Database'!G12/'0. Database'!G5,"")</f>
        <v>0.105621770510816</v>
      </c>
      <c r="G5" s="7">
        <f>IFERROR('0. Database'!H12/'0. Database'!H5,"")</f>
        <v>0.123233055454875</v>
      </c>
      <c r="H5" s="7">
        <f>IFERROR('0. Database'!I12/'0. Database'!I5,"")</f>
        <v>0.134294319111909</v>
      </c>
      <c r="I5" s="7">
        <f>IFERROR('0. Database'!J12/'0. Database'!J5,"")</f>
        <v>0.132853197217075</v>
      </c>
      <c r="J5" s="7">
        <f>IFERROR('0. Database'!K12/'0. Database'!K5,"")</f>
        <v>0.143972205035458</v>
      </c>
      <c r="K5" s="7">
        <f>IFERROR('0. Database'!L12/'0. Database'!L5,"")</f>
        <v>0.147273919402835</v>
      </c>
      <c r="L5" s="7">
        <f>IFERROR('0. Database'!M12/'0. Database'!M5,"")</f>
        <v>0.150532052945757</v>
      </c>
      <c r="M5" s="7">
        <f>IFERROR('0. Database'!N12/'0. Database'!N5,"")</f>
        <v>0.227233785625117</v>
      </c>
      <c r="N5" s="7">
        <f>IFERROR('0. Database'!O12/'0. Database'!O5,"")</f>
        <v>0.313072368701282</v>
      </c>
      <c r="O5" s="7">
        <f>IFERROR('0. Database'!P12/'0. Database'!P5,"")</f>
        <v>0.442785313658101</v>
      </c>
      <c r="P5" s="7">
        <f>IFERROR('0. Database'!Q12/'0. Database'!Q5,"")</f>
        <v>0.633585893558085</v>
      </c>
      <c r="Q5" s="7">
        <f>IFERROR('0. Database'!R12/'0. Database'!R5,"")</f>
        <v>0.618719161846711</v>
      </c>
      <c r="R5" s="7">
        <f>IFERROR('0. Database'!S12/'0. Database'!S5,"")</f>
        <v>0.542176336643655</v>
      </c>
      <c r="S5" s="7">
        <f>IFERROR('0. Database'!T12/'0. Database'!T5,"")</f>
        <v>0.466649535637693</v>
      </c>
    </row>
    <row r="6" customHeight="1" spans="1:20">
      <c r="A6" s="6" t="s">
        <v>38</v>
      </c>
      <c r="B6" s="7">
        <f>IFERROR('0. Database'!C28/'0. Database'!C21,"")</f>
        <v>0.0462439391293836</v>
      </c>
      <c r="C6" s="7">
        <f>IFERROR('0. Database'!D28/'0. Database'!D21,"")</f>
        <v>0.0549734572146482</v>
      </c>
      <c r="D6" s="7">
        <f>IFERROR('0. Database'!E28/'0. Database'!E21,"")</f>
        <v>0.0428758599936826</v>
      </c>
      <c r="E6" s="7">
        <f>IFERROR('0. Database'!F28/'0. Database'!F21,"")</f>
        <v>0.0495341466463706</v>
      </c>
      <c r="F6" s="7">
        <f>IFERROR('0. Database'!G28/'0. Database'!G21,"")</f>
        <v>0.0565425657517457</v>
      </c>
      <c r="G6" s="7">
        <f>IFERROR('0. Database'!H28/'0. Database'!H21,"")</f>
        <v>0.0486158523232297</v>
      </c>
      <c r="H6" s="7">
        <f>IFERROR('0. Database'!I28/'0. Database'!I21,"")</f>
        <v>0.0452370937038806</v>
      </c>
      <c r="I6" s="7">
        <f>IFERROR('0. Database'!J28/'0. Database'!J21,"")</f>
        <v>0.0907776948899664</v>
      </c>
      <c r="J6" s="7">
        <f>IFERROR('0. Database'!K28/'0. Database'!K21,"")</f>
        <v>0.117908484489871</v>
      </c>
      <c r="K6" s="7">
        <f>IFERROR('0. Database'!L28/'0. Database'!L21,"")</f>
        <v>0.113468733401688</v>
      </c>
      <c r="L6" s="7">
        <f>IFERROR('0. Database'!M28/'0. Database'!M21,"")</f>
        <v>0.0837408770235827</v>
      </c>
      <c r="M6" s="7">
        <f>IFERROR('0. Database'!N28/'0. Database'!N21,"")</f>
        <v>0.121728825833635</v>
      </c>
      <c r="N6" s="7">
        <f>IFERROR('0. Database'!O28/'0. Database'!O21,"")</f>
        <v>0.178986894008291</v>
      </c>
      <c r="O6" s="7">
        <f>IFERROR('0. Database'!P28/'0. Database'!P21,"")</f>
        <v>0.24178963083243</v>
      </c>
      <c r="P6" s="7">
        <f>IFERROR('0. Database'!Q28/'0. Database'!Q21,"")</f>
        <v>0.285371750643553</v>
      </c>
      <c r="Q6" s="7">
        <f>IFERROR('0. Database'!R28/'0. Database'!R21,"")</f>
        <v>0.266752546331369</v>
      </c>
      <c r="R6" s="7">
        <f>IFERROR('0. Database'!S28/'0. Database'!S21,"")</f>
        <v>0.251734248389078</v>
      </c>
      <c r="S6" s="7">
        <f>IFERROR('0. Database'!T28/'0. Database'!T21,"")</f>
        <v>0.2395580677502</v>
      </c>
    </row>
    <row r="7" customHeight="1" spans="1:20">
      <c r="A7" s="6" t="s">
        <v>42</v>
      </c>
      <c r="B7" s="7">
        <f>IFERROR('0. Database'!C43/'0. Database'!C36,"")</f>
        <v>0.132531205533241</v>
      </c>
      <c r="C7" s="7">
        <f>IFERROR('0. Database'!D43/'0. Database'!D36,"")</f>
        <v>0.166042938743352</v>
      </c>
      <c r="D7" s="7">
        <f>IFERROR('0. Database'!E43/'0. Database'!E36,"")</f>
        <v>0.132219392177519</v>
      </c>
      <c r="E7" s="7">
        <f>IFERROR('0. Database'!F43/'0. Database'!F36,"")</f>
        <v>0.112803527118043</v>
      </c>
      <c r="F7" s="7">
        <f>IFERROR('0. Database'!G43/'0. Database'!G36,"")</f>
        <v>0.118930133958775</v>
      </c>
      <c r="G7" s="7">
        <f>IFERROR('0. Database'!H43/'0. Database'!H36,"")</f>
        <v>0.183739100563518</v>
      </c>
      <c r="H7" s="7">
        <f>IFERROR('0. Database'!I43/'0. Database'!I36,"")</f>
        <v>0.145486447913899</v>
      </c>
      <c r="I7" s="7">
        <f>IFERROR('0. Database'!J43/'0. Database'!J36,"")</f>
        <v>0.122069611619103</v>
      </c>
      <c r="J7" s="7">
        <f>IFERROR('0. Database'!K43/'0. Database'!K36,"")</f>
        <v>0.0956384370257378</v>
      </c>
      <c r="K7" s="7">
        <f>IFERROR('0. Database'!L43/'0. Database'!L36,"")</f>
        <v>0.111318926869281</v>
      </c>
      <c r="L7" s="7">
        <f>IFERROR('0. Database'!M43/'0. Database'!M36,"")</f>
        <v>0.104917467484726</v>
      </c>
      <c r="M7" s="7">
        <f>IFERROR('0. Database'!N43/'0. Database'!N36,"")</f>
        <v>0.150092280968407</v>
      </c>
      <c r="N7" s="7">
        <f>IFERROR('0. Database'!O43/'0. Database'!O36,"")</f>
        <v>0.227008013186508</v>
      </c>
      <c r="O7" s="7">
        <f>IFERROR('0. Database'!P43/'0. Database'!P36,"")</f>
        <v>0.37936186431271</v>
      </c>
      <c r="P7" s="7">
        <f>IFERROR('0. Database'!Q43/'0. Database'!Q36,"")</f>
        <v>0.438101591905905</v>
      </c>
      <c r="Q7" s="7">
        <f>IFERROR('0. Database'!R43/'0. Database'!R36,"")</f>
        <v>0.406693608510996</v>
      </c>
      <c r="R7" s="7">
        <f>IFERROR('0. Database'!S43/'0. Database'!S36,"")</f>
        <v>0.36738908872284</v>
      </c>
      <c r="S7" s="7">
        <f>IFERROR('0. Database'!T43/'0. Database'!T36,"")</f>
        <v>0.341152582570988</v>
      </c>
    </row>
    <row r="8" customHeight="1" spans="1:20">
      <c r="A8" s="6" t="s">
        <v>48</v>
      </c>
      <c r="B8" s="7">
        <f>IFERROR('0. Database'!C60/'0. Database'!C53,"")</f>
        <v>0.173018292682927</v>
      </c>
      <c r="C8" s="7">
        <f>IFERROR('0. Database'!D60/'0. Database'!D53,"")</f>
        <v>0.146879512273384</v>
      </c>
      <c r="D8" s="7">
        <f>IFERROR('0. Database'!E60/'0. Database'!E53,"")</f>
        <v>0.140737435153679</v>
      </c>
      <c r="E8" s="7">
        <f>IFERROR('0. Database'!F60/'0. Database'!F53,"")</f>
        <v>0.162493668138071</v>
      </c>
      <c r="F8" s="7">
        <f>IFERROR('0. Database'!G60/'0. Database'!G53,"")</f>
        <v>0.165596634934691</v>
      </c>
      <c r="G8" s="7">
        <f>IFERROR('0. Database'!H60/'0. Database'!H53,"")</f>
        <v>0.25036713349332</v>
      </c>
      <c r="H8" s="7">
        <f>IFERROR('0. Database'!I60/'0. Database'!I53,"")</f>
        <v>0.213617364367402</v>
      </c>
      <c r="I8" s="7">
        <f>IFERROR('0. Database'!J60/'0. Database'!J53,"")</f>
        <v>0.17582532629179</v>
      </c>
      <c r="J8" s="7">
        <f>IFERROR('0. Database'!K60/'0. Database'!K53,"")</f>
        <v>0.157442189792163</v>
      </c>
      <c r="K8" s="7">
        <f>IFERROR('0. Database'!L60/'0. Database'!L53,"")</f>
        <v>0.267440763577425</v>
      </c>
      <c r="L8" s="7">
        <f>IFERROR('0. Database'!M60/'0. Database'!M53,"")</f>
        <v>0.200480352258323</v>
      </c>
      <c r="M8" s="7">
        <f>IFERROR('0. Database'!N60/'0. Database'!N53,"")</f>
        <v>0.226480243161094</v>
      </c>
      <c r="N8" s="7">
        <f>IFERROR('0. Database'!O60/'0. Database'!O53,"")</f>
        <v>0.346781777921529</v>
      </c>
      <c r="O8" s="7">
        <f>IFERROR('0. Database'!P60/'0. Database'!P53,"")</f>
        <v>0.531335014999085</v>
      </c>
      <c r="P8" s="7">
        <f>IFERROR('0. Database'!Q60/'0. Database'!Q53,"")</f>
        <v>0.540824903792468</v>
      </c>
      <c r="Q8" s="7">
        <f>IFERROR('0. Database'!R60/'0. Database'!R53,"")</f>
        <v>0.519399482957318</v>
      </c>
      <c r="R8" s="7">
        <f>IFERROR('0. Database'!S60/'0. Database'!S53,"")</f>
        <v>0.482963614978958</v>
      </c>
      <c r="S8" s="7">
        <f>IFERROR('0. Database'!T60/'0. Database'!T53,"")</f>
        <v>0.457132170555652</v>
      </c>
    </row>
    <row r="9" customHeight="1" spans="1:20">
      <c r="A9" s="6" t="s">
        <v>55</v>
      </c>
      <c r="B9" s="7">
        <f>IFERROR('0. Database'!C78/'0. Database'!C71,"")</f>
        <v>0.0174482592006013</v>
      </c>
      <c r="C9" s="7">
        <f>IFERROR('0. Database'!D78/'0. Database'!D71,"")</f>
        <v>0.0151416264195275</v>
      </c>
      <c r="D9" s="7">
        <f>IFERROR('0. Database'!E78/'0. Database'!E71,"")</f>
        <v>0.0363631610592633</v>
      </c>
      <c r="E9" s="7">
        <f>IFERROR('0. Database'!F78/'0. Database'!F71,"")</f>
        <v>0.0320857058045713</v>
      </c>
      <c r="F9" s="7">
        <f>IFERROR('0. Database'!G78/'0. Database'!G71,"")</f>
        <v>0.0533259452756009</v>
      </c>
      <c r="G9" s="7">
        <f>IFERROR('0. Database'!H78/'0. Database'!H71,"")</f>
        <v>0.0440262737440085</v>
      </c>
      <c r="H9" s="7">
        <f>IFERROR('0. Database'!I78/'0. Database'!I71,"")</f>
        <v>0.0419987349778621</v>
      </c>
      <c r="I9" s="7">
        <f>IFERROR('0. Database'!J78/'0. Database'!J71,"")</f>
        <v>0.0400276405702147</v>
      </c>
      <c r="J9" s="7">
        <f>IFERROR('0. Database'!K78/'0. Database'!K71,"")</f>
        <v>0.0527407919764828</v>
      </c>
      <c r="K9" s="7">
        <f>IFERROR('0. Database'!L78/'0. Database'!L71,"")</f>
        <v>0.106288730237271</v>
      </c>
      <c r="L9" s="7">
        <f>IFERROR('0. Database'!M78/'0. Database'!M71,"")</f>
        <v>0.174056650985887</v>
      </c>
      <c r="M9" s="7">
        <f>IFERROR('0. Database'!N78/'0. Database'!N71,"")</f>
        <v>0.12964256717207</v>
      </c>
      <c r="N9" s="7">
        <f>IFERROR('0. Database'!O78/'0. Database'!O71,"")</f>
        <v>0.369605742260318</v>
      </c>
      <c r="O9" s="7">
        <f>IFERROR('0. Database'!P78/'0. Database'!P71,"")</f>
        <v>0.77105819496409</v>
      </c>
      <c r="P9" s="7">
        <f>IFERROR('0. Database'!Q78/'0. Database'!Q71,"")</f>
        <v>0.587296954946508</v>
      </c>
      <c r="Q9" s="7">
        <f>IFERROR('0. Database'!R78/'0. Database'!R71,"")</f>
        <v>0.556972873780193</v>
      </c>
      <c r="R9" s="7">
        <f>IFERROR('0. Database'!S78/'0. Database'!S71,"")</f>
        <v>0.490629927570763</v>
      </c>
      <c r="S9" s="7">
        <f>IFERROR('0. Database'!T78/'0. Database'!T71,"")</f>
        <v>0.358167828118745</v>
      </c>
    </row>
    <row r="12" customHeight="1" spans="1:20">
      <c r="A12" s="3" t="s">
        <v>259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Height="1" spans="1:20">
      <c r="A13" s="4"/>
      <c r="B13" s="5" t="s">
        <v>241</v>
      </c>
      <c r="C13" s="5" t="s">
        <v>242</v>
      </c>
      <c r="D13" s="5" t="s">
        <v>243</v>
      </c>
      <c r="E13" s="5" t="s">
        <v>244</v>
      </c>
      <c r="F13" s="5" t="s">
        <v>245</v>
      </c>
      <c r="G13" s="5" t="s">
        <v>246</v>
      </c>
      <c r="H13" s="5" t="s">
        <v>247</v>
      </c>
      <c r="I13" s="5" t="s">
        <v>248</v>
      </c>
      <c r="J13" s="5" t="s">
        <v>249</v>
      </c>
      <c r="K13" s="5" t="s">
        <v>250</v>
      </c>
      <c r="L13" s="5" t="s">
        <v>251</v>
      </c>
      <c r="M13" s="5" t="s">
        <v>252</v>
      </c>
      <c r="N13" s="5" t="s">
        <v>253</v>
      </c>
      <c r="O13" s="5" t="s">
        <v>254</v>
      </c>
      <c r="P13" s="5" t="s">
        <v>255</v>
      </c>
      <c r="Q13" s="5" t="s">
        <v>256</v>
      </c>
      <c r="R13" s="5" t="s">
        <v>257</v>
      </c>
      <c r="S13" s="5" t="s">
        <v>258</v>
      </c>
    </row>
    <row r="14" customHeight="1" spans="1:20">
      <c r="A14" s="6" t="s">
        <v>22</v>
      </c>
      <c r="B14" s="7">
        <f>IFERROR('0. Database'!C14/'0. Database'!C5,"")</f>
        <v>0.315688062788218</v>
      </c>
      <c r="C14" s="7">
        <f>IFERROR('0. Database'!D14/'0. Database'!D5,"")</f>
        <v>0.308016537491507</v>
      </c>
      <c r="D14" s="7">
        <f>IFERROR('0. Database'!E14/'0. Database'!E5,"")</f>
        <v>0.247232314597136</v>
      </c>
      <c r="E14" s="7">
        <f>IFERROR('0. Database'!F14/'0. Database'!F5,"")</f>
        <v>0.285900140646976</v>
      </c>
      <c r="F14" s="7">
        <f>IFERROR('0. Database'!G14/'0. Database'!G5,"")</f>
        <v>0.303476198858871</v>
      </c>
      <c r="G14" s="7">
        <f>IFERROR('0. Database'!H14/'0. Database'!H5,"")</f>
        <v>0.274411018484958</v>
      </c>
      <c r="H14" s="7">
        <f>IFERROR('0. Database'!I14/'0. Database'!I5,"")</f>
        <v>0.280389056204954</v>
      </c>
      <c r="I14" s="7">
        <f>IFERROR('0. Database'!J14/'0. Database'!J5,"")</f>
        <v>0.291402999685348</v>
      </c>
      <c r="J14" s="7">
        <f>IFERROR('0. Database'!K14/'0. Database'!K5,"")</f>
        <v>0.312574365808386</v>
      </c>
      <c r="K14" s="7">
        <f>IFERROR('0. Database'!L14/'0. Database'!L5,"")</f>
        <v>0.301785444091391</v>
      </c>
      <c r="L14" s="7">
        <f>IFERROR('0. Database'!M14/'0. Database'!M5,"")</f>
        <v>0.262756293797041</v>
      </c>
      <c r="M14" s="7">
        <f>IFERROR('0. Database'!N14/'0. Database'!N5,"")</f>
        <v>0.256394774846811</v>
      </c>
      <c r="N14" s="7">
        <f>IFERROR('0. Database'!O14/'0. Database'!O5,"")</f>
        <v>0.170244636594681</v>
      </c>
      <c r="O14" s="7">
        <f>IFERROR('0. Database'!P14/'0. Database'!P5,"")</f>
        <v>0.0870776441882145</v>
      </c>
      <c r="P14" s="7">
        <f>IFERROR('0. Database'!Q14/'0. Database'!Q5,"")</f>
        <v>-0.0340107047798638</v>
      </c>
      <c r="Q14" s="7">
        <f>IFERROR('0. Database'!R14/'0. Database'!R5,"")</f>
        <v>0.0168509930121888</v>
      </c>
      <c r="R14" s="7">
        <f>IFERROR('0. Database'!S14/'0. Database'!S5,"")</f>
        <v>0.107386474170842</v>
      </c>
      <c r="S14" s="7">
        <f>IFERROR('0. Database'!T14/'0. Database'!T5,"")</f>
        <v>0.205175364126026</v>
      </c>
    </row>
    <row r="15" customHeight="1" spans="1:20">
      <c r="A15" s="6" t="s">
        <v>38</v>
      </c>
      <c r="B15" s="7">
        <f>IFERROR('0. Database'!C30/'0. Database'!C21,"")</f>
        <v>0.0272789545082132</v>
      </c>
      <c r="C15" s="7">
        <f>IFERROR('0. Database'!D30/'0. Database'!D21,"")</f>
        <v>0.0219062259800154</v>
      </c>
      <c r="D15" s="7">
        <f>IFERROR('0. Database'!E30/'0. Database'!E21,"")</f>
        <v>0.0685200725936531</v>
      </c>
      <c r="E15" s="7">
        <f>IFERROR('0. Database'!F30/'0. Database'!F21,"")</f>
        <v>0.0774706405759374</v>
      </c>
      <c r="F15" s="7">
        <f>IFERROR('0. Database'!G30/'0. Database'!G21,"")</f>
        <v>0.0470972529882046</v>
      </c>
      <c r="G15" s="7">
        <f>IFERROR('0. Database'!H30/'0. Database'!H21,"")</f>
        <v>0.0833107902115618</v>
      </c>
      <c r="H15" s="7">
        <f>IFERROR('0. Database'!I30/'0. Database'!I21,"")</f>
        <v>0.0920605157527752</v>
      </c>
      <c r="I15" s="7">
        <f>IFERROR('0. Database'!J30/'0. Database'!J21,"")</f>
        <v>0.0803441916366198</v>
      </c>
      <c r="J15" s="7">
        <f>IFERROR('0. Database'!K30/'0. Database'!K21,"")</f>
        <v>-0.0193030551996288</v>
      </c>
      <c r="K15" s="7">
        <f>IFERROR('0. Database'!L30/'0. Database'!L21,"")</f>
        <v>-0.0225085265465978</v>
      </c>
      <c r="L15" s="7">
        <f>IFERROR('0. Database'!M30/'0. Database'!M21,"")</f>
        <v>0.0640465565385318</v>
      </c>
      <c r="M15" s="7">
        <f>IFERROR('0. Database'!N30/'0. Database'!N21,"")</f>
        <v>0.0599082386172152</v>
      </c>
      <c r="N15" s="7">
        <f>IFERROR('0. Database'!O30/'0. Database'!O21,"")</f>
        <v>0.0156139283940836</v>
      </c>
      <c r="O15" s="7">
        <f>IFERROR('0. Database'!P30/'0. Database'!P21,"")</f>
        <v>-0.023079605254962</v>
      </c>
      <c r="P15" s="7">
        <f>IFERROR('0. Database'!Q30/'0. Database'!Q21,"")</f>
        <v>-0.0482743797157437</v>
      </c>
      <c r="Q15" s="7">
        <f>IFERROR('0. Database'!R30/'0. Database'!R21,"")</f>
        <v>-0.00204741549459708</v>
      </c>
      <c r="R15" s="7">
        <f>IFERROR('0. Database'!S30/'0. Database'!S21,"")</f>
        <v>0.0380208742034563</v>
      </c>
      <c r="S15" s="7">
        <f>IFERROR('0. Database'!T30/'0. Database'!T21,"")</f>
        <v>0.0676854238008576</v>
      </c>
    </row>
    <row r="16" customHeight="1" spans="1:20">
      <c r="A16" s="6" t="s">
        <v>42</v>
      </c>
      <c r="B16" s="7">
        <f>IFERROR('0. Database'!C45/'0. Database'!C36,"")</f>
        <v>0.202201048289775</v>
      </c>
      <c r="C16" s="7">
        <f>IFERROR('0. Database'!D45/'0. Database'!D36,"")</f>
        <v>0.171406493841002</v>
      </c>
      <c r="D16" s="7">
        <f>IFERROR('0. Database'!E45/'0. Database'!E36,"")</f>
        <v>0.212217791942818</v>
      </c>
      <c r="E16" s="7">
        <f>IFERROR('0. Database'!F45/'0. Database'!F36,"")</f>
        <v>0.286390021269054</v>
      </c>
      <c r="F16" s="7">
        <f>IFERROR('0. Database'!G45/'0. Database'!G36,"")</f>
        <v>0.215660096522484</v>
      </c>
      <c r="G16" s="7">
        <f>IFERROR('0. Database'!H45/'0. Database'!H36,"")</f>
        <v>0.16687740737763</v>
      </c>
      <c r="H16" s="7">
        <f>IFERROR('0. Database'!I45/'0. Database'!I36,"")</f>
        <v>0.191354096517296</v>
      </c>
      <c r="I16" s="7">
        <f>IFERROR('0. Database'!J45/'0. Database'!J36,"")</f>
        <v>0.234721438472116</v>
      </c>
      <c r="J16" s="7">
        <f>IFERROR('0. Database'!K45/'0. Database'!K36,"")</f>
        <v>0.260102392125355</v>
      </c>
      <c r="K16" s="7">
        <f>IFERROR('0. Database'!L45/'0. Database'!L36,"")</f>
        <v>0.212172425009546</v>
      </c>
      <c r="L16" s="7">
        <f>IFERROR('0. Database'!M45/'0. Database'!M36,"")</f>
        <v>0.226077932555613</v>
      </c>
      <c r="M16" s="7">
        <f>IFERROR('0. Database'!N45/'0. Database'!N36,"")</f>
        <v>0.20788645155392</v>
      </c>
      <c r="N16" s="7">
        <f>IFERROR('0. Database'!O45/'0. Database'!O36,"")</f>
        <v>0.181875502685957</v>
      </c>
      <c r="O16" s="7">
        <f>IFERROR('0. Database'!P45/'0. Database'!P36,"")</f>
        <v>0.0547867344585653</v>
      </c>
      <c r="P16" s="7">
        <f>IFERROR('0. Database'!Q45/'0. Database'!Q36,"")</f>
        <v>0.038886349386506</v>
      </c>
      <c r="Q16" s="7">
        <f>IFERROR('0. Database'!R45/'0. Database'!R36,"")</f>
        <v>0.0964950267850896</v>
      </c>
      <c r="R16" s="7">
        <f>IFERROR('0. Database'!S45/'0. Database'!S36,"")</f>
        <v>0.152957839304851</v>
      </c>
      <c r="S16" s="7">
        <f>IFERROR('0. Database'!T45/'0. Database'!T36,"")</f>
        <v>0.191313724274643</v>
      </c>
    </row>
    <row r="17" customHeight="1" spans="1:19">
      <c r="A17" s="6" t="s">
        <v>48</v>
      </c>
      <c r="B17" s="7">
        <f>IFERROR('0. Database'!C62/'0. Database'!C53,"")</f>
        <v>0.363313008130081</v>
      </c>
      <c r="C17" s="7">
        <f>IFERROR('0. Database'!D62/'0. Database'!D53,"")</f>
        <v>0.294946253810364</v>
      </c>
      <c r="D17" s="7">
        <f>IFERROR('0. Database'!E62/'0. Database'!E53,"")</f>
        <v>0.339376359680928</v>
      </c>
      <c r="E17" s="7">
        <f>IFERROR('0. Database'!F62/'0. Database'!F53,"")</f>
        <v>0.41862652869238</v>
      </c>
      <c r="F17" s="7">
        <f>IFERROR('0. Database'!G62/'0. Database'!G53,"")</f>
        <v>0.430078960962291</v>
      </c>
      <c r="G17" s="7">
        <f>IFERROR('0. Database'!H62/'0. Database'!H53,"")</f>
        <v>0.275063576775673</v>
      </c>
      <c r="H17" s="7">
        <f>IFERROR('0. Database'!I62/'0. Database'!I53,"")</f>
        <v>0.300021924706315</v>
      </c>
      <c r="I17" s="7">
        <f>IFERROR('0. Database'!J62/'0. Database'!J53,"")</f>
        <v>0.274899378824186</v>
      </c>
      <c r="J17" s="7">
        <f>IFERROR('0. Database'!K62/'0. Database'!K53,"")</f>
        <v>0.331691102273402</v>
      </c>
      <c r="K17" s="7">
        <f>IFERROR('0. Database'!L62/'0. Database'!L53,"")</f>
        <v>0.165416048503975</v>
      </c>
      <c r="L17" s="7">
        <f>IFERROR('0. Database'!M62/'0. Database'!M53,"")</f>
        <v>0.326669187033454</v>
      </c>
      <c r="M17" s="7">
        <f>IFERROR('0. Database'!N62/'0. Database'!N53,"")</f>
        <v>0.328705167173252</v>
      </c>
      <c r="N17" s="7">
        <f>IFERROR('0. Database'!O62/'0. Database'!O53,"")</f>
        <v>0.22943796183415</v>
      </c>
      <c r="O17" s="7">
        <f>IFERROR('0. Database'!P62/'0. Database'!P53,"")</f>
        <v>0.175043918782818</v>
      </c>
      <c r="P17" s="7">
        <f>IFERROR('0. Database'!Q62/'0. Database'!Q53,"")</f>
        <v>0.131811792884918</v>
      </c>
      <c r="Q17" s="7">
        <f>IFERROR('0. Database'!R62/'0. Database'!R53,"")</f>
        <v>0.161332271886239</v>
      </c>
      <c r="R17" s="7">
        <f>IFERROR('0. Database'!S62/'0. Database'!S53,"")</f>
        <v>0.201986994195707</v>
      </c>
      <c r="S17" s="7">
        <f>IFERROR('0. Database'!T62/'0. Database'!T53,"")</f>
        <v>0.232222402165681</v>
      </c>
    </row>
    <row r="18" customHeight="1" spans="1:19">
      <c r="A18" s="6" t="s">
        <v>55</v>
      </c>
      <c r="B18" s="7">
        <f>IFERROR('0. Database'!C80/'0. Database'!C71,"")</f>
        <v>0.364400182535635</v>
      </c>
      <c r="C18" s="7">
        <f>IFERROR('0. Database'!D80/'0. Database'!D71,"")</f>
        <v>0.374389766349041</v>
      </c>
      <c r="D18" s="7">
        <f>IFERROR('0. Database'!E80/'0. Database'!E71,"")</f>
        <v>0.338404830993648</v>
      </c>
      <c r="E18" s="7">
        <f>IFERROR('0. Database'!F80/'0. Database'!F71,"")</f>
        <v>0.333837061823677</v>
      </c>
      <c r="F18" s="7">
        <f>IFERROR('0. Database'!G80/'0. Database'!G71,"")</f>
        <v>0.319375181403203</v>
      </c>
      <c r="G18" s="7">
        <f>IFERROR('0. Database'!H80/'0. Database'!H71,"")</f>
        <v>0.346174329842002</v>
      </c>
      <c r="H18" s="7">
        <f>IFERROR('0. Database'!I80/'0. Database'!I71,"")</f>
        <v>0.326148007590133</v>
      </c>
      <c r="I18" s="7">
        <f>IFERROR('0. Database'!J80/'0. Database'!J71,"")</f>
        <v>0.296240370588386</v>
      </c>
      <c r="J18" s="7">
        <f>IFERROR('0. Database'!K80/'0. Database'!K71,"")</f>
        <v>0.339739630937971</v>
      </c>
      <c r="K18" s="7">
        <f>IFERROR('0. Database'!L80/'0. Database'!L71,"")</f>
        <v>0.118493909191584</v>
      </c>
      <c r="L18" s="7">
        <f>IFERROR('0. Database'!M80/'0. Database'!M71,"")</f>
        <v>0.169572615353818</v>
      </c>
      <c r="M18" s="7">
        <f>IFERROR('0. Database'!N80/'0. Database'!N71,"")</f>
        <v>0.222937633352845</v>
      </c>
      <c r="N18" s="7">
        <f>IFERROR('0. Database'!O80/'0. Database'!O71,"")</f>
        <v>-0.00686423108416523</v>
      </c>
      <c r="O18" s="7">
        <f>IFERROR('0. Database'!P80/'0. Database'!P71,"")</f>
        <v>-0.392719666204713</v>
      </c>
      <c r="P18" s="7">
        <f>IFERROR('0. Database'!Q80/'0. Database'!Q71,"")</f>
        <v>-0.207778894870831</v>
      </c>
      <c r="Q18" s="7">
        <f>IFERROR('0. Database'!R80/'0. Database'!R71,"")</f>
        <v>-0.157332154596774</v>
      </c>
      <c r="R18" s="7">
        <f>IFERROR('0. Database'!S80/'0. Database'!S71,"")</f>
        <v>-0.0878947867996312</v>
      </c>
      <c r="S18" s="7">
        <f>IFERROR('0. Database'!T80/'0. Database'!T71,"")</f>
        <v>0.0997238124658188</v>
      </c>
    </row>
    <row r="21" customHeight="1" spans="1:19">
      <c r="A21" s="3" t="s">
        <v>260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Height="1" spans="1:19">
      <c r="A22" s="4"/>
      <c r="B22" s="5" t="s">
        <v>241</v>
      </c>
      <c r="C22" s="5" t="s">
        <v>242</v>
      </c>
      <c r="D22" s="5" t="s">
        <v>243</v>
      </c>
      <c r="E22" s="5" t="s">
        <v>244</v>
      </c>
      <c r="F22" s="5" t="s">
        <v>245</v>
      </c>
      <c r="G22" s="5" t="s">
        <v>246</v>
      </c>
      <c r="H22" s="5" t="s">
        <v>247</v>
      </c>
      <c r="I22" s="5" t="s">
        <v>248</v>
      </c>
      <c r="J22" s="5" t="s">
        <v>249</v>
      </c>
      <c r="K22" s="5" t="s">
        <v>250</v>
      </c>
      <c r="L22" s="5" t="s">
        <v>251</v>
      </c>
      <c r="M22" s="5" t="s">
        <v>252</v>
      </c>
      <c r="N22" s="5" t="s">
        <v>253</v>
      </c>
      <c r="O22" s="5" t="s">
        <v>254</v>
      </c>
      <c r="P22" s="5" t="s">
        <v>255</v>
      </c>
      <c r="Q22" s="5" t="s">
        <v>256</v>
      </c>
      <c r="R22" s="5" t="s">
        <v>257</v>
      </c>
      <c r="S22" s="5" t="s">
        <v>258</v>
      </c>
    </row>
    <row r="23" customHeight="1" spans="1:19">
      <c r="A23" s="6" t="s">
        <v>22</v>
      </c>
      <c r="B23" s="8">
        <f>'0. Database'!C12</f>
        <v>4257</v>
      </c>
      <c r="C23" s="8">
        <f>'0. Database'!D12</f>
        <v>5485</v>
      </c>
      <c r="D23" s="8">
        <f>'0. Database'!E12</f>
        <v>5944</v>
      </c>
      <c r="E23" s="8">
        <f>'0. Database'!F12</f>
        <v>8932</v>
      </c>
      <c r="F23" s="8">
        <f>'0. Database'!G12</f>
        <v>10200</v>
      </c>
      <c r="G23" s="8">
        <f>'0. Database'!H12</f>
        <v>13600</v>
      </c>
      <c r="H23" s="8">
        <f>'0. Database'!I12</f>
        <v>16900</v>
      </c>
      <c r="I23" s="8">
        <f>'0. Database'!J12</f>
        <v>19000</v>
      </c>
      <c r="J23" s="8">
        <f>'0. Database'!K12</f>
        <v>24200</v>
      </c>
      <c r="K23" s="8">
        <f>'0. Database'!L12</f>
        <v>29200</v>
      </c>
      <c r="L23" s="8">
        <f>'0. Database'!M12</f>
        <v>31900</v>
      </c>
      <c r="M23" s="8">
        <f>'0. Database'!N12</f>
        <v>55700</v>
      </c>
      <c r="N23" s="8">
        <f>'0. Database'!O12</f>
        <v>88200</v>
      </c>
      <c r="O23" s="8">
        <f>'0. Database'!P12</f>
        <v>145871.3</v>
      </c>
      <c r="P23" s="8">
        <f>'0. Database'!Q12</f>
        <v>245263.45</v>
      </c>
      <c r="Q23" s="8">
        <f>'0. Database'!R12</f>
        <v>286760.35</v>
      </c>
      <c r="R23" s="8">
        <f>'0. Database'!S12</f>
        <v>300210.91</v>
      </c>
      <c r="S23" s="8">
        <f>'0. Database'!T12</f>
        <v>304616.04</v>
      </c>
    </row>
    <row r="24" customHeight="1" spans="1:19">
      <c r="A24" s="6" t="s">
        <v>38</v>
      </c>
      <c r="B24" s="8">
        <f>'0. Database'!C28</f>
        <v>3443</v>
      </c>
      <c r="C24" s="8">
        <f>'0. Database'!D28</f>
        <v>4892</v>
      </c>
      <c r="D24" s="8">
        <f>'0. Database'!E28</f>
        <v>4588</v>
      </c>
      <c r="E24" s="8">
        <f>'0. Database'!F28</f>
        <v>6736</v>
      </c>
      <c r="F24" s="8">
        <f>'0. Database'!G28</f>
        <v>10057</v>
      </c>
      <c r="G24" s="8">
        <f>'0. Database'!H28</f>
        <v>11322</v>
      </c>
      <c r="H24" s="8">
        <f>'0. Database'!I28</f>
        <v>12690</v>
      </c>
      <c r="I24" s="8">
        <f>'0. Database'!J28</f>
        <v>35046</v>
      </c>
      <c r="J24" s="8">
        <f>'0. Database'!K28</f>
        <v>55396</v>
      </c>
      <c r="K24" s="8">
        <f>'0. Database'!L28</f>
        <v>58321</v>
      </c>
      <c r="L24" s="8">
        <f>'0. Database'!M28</f>
        <v>48133</v>
      </c>
      <c r="M24" s="8">
        <f>'0. Database'!N28</f>
        <v>77658</v>
      </c>
      <c r="N24" s="8">
        <f>'0. Database'!O28</f>
        <v>128320</v>
      </c>
      <c r="O24" s="8">
        <f>'0. Database'!P28</f>
        <v>200104.98</v>
      </c>
      <c r="P24" s="8">
        <f>'0. Database'!Q28</f>
        <v>270141.72</v>
      </c>
      <c r="Q24" s="8">
        <f>'0. Database'!R28</f>
        <v>283648.81</v>
      </c>
      <c r="R24" s="8">
        <f>'0. Database'!S28</f>
        <v>297831.25</v>
      </c>
      <c r="S24" s="8">
        <f>'0. Database'!T28</f>
        <v>312722.81</v>
      </c>
    </row>
    <row r="25" customHeight="1" spans="1:19">
      <c r="A25" s="6" t="s">
        <v>42</v>
      </c>
      <c r="B25" s="8">
        <f>'0. Database'!C43</f>
        <v>7358</v>
      </c>
      <c r="C25" s="8">
        <f>'0. Database'!D43</f>
        <v>10959</v>
      </c>
      <c r="D25" s="8">
        <f>'0. Database'!E43</f>
        <v>9915</v>
      </c>
      <c r="E25" s="8">
        <f>'0. Database'!F43</f>
        <v>10183</v>
      </c>
      <c r="F25" s="8">
        <f>'0. Database'!G43</f>
        <v>13184</v>
      </c>
      <c r="G25" s="8">
        <f>'0. Database'!H43</f>
        <v>25139</v>
      </c>
      <c r="H25" s="8">
        <f>'0. Database'!I43</f>
        <v>23548</v>
      </c>
      <c r="I25" s="8">
        <f>'0. Database'!J43</f>
        <v>22281</v>
      </c>
      <c r="J25" s="8">
        <f>'0. Database'!K43</f>
        <v>24640</v>
      </c>
      <c r="K25" s="8">
        <f>'0. Database'!L43</f>
        <v>31485</v>
      </c>
      <c r="L25" s="8">
        <f>'0. Database'!M43</f>
        <v>32251</v>
      </c>
      <c r="M25" s="8">
        <f>'0. Database'!N43</f>
        <v>52535</v>
      </c>
      <c r="N25" s="8">
        <f>'0. Database'!O43</f>
        <v>91447</v>
      </c>
      <c r="O25" s="8">
        <f>'0. Database'!P43</f>
        <v>185234.28</v>
      </c>
      <c r="P25" s="8">
        <f>'0. Database'!Q43</f>
        <v>259327.99</v>
      </c>
      <c r="Q25" s="8">
        <f>'0. Database'!R43</f>
        <v>285260.79</v>
      </c>
      <c r="R25" s="8">
        <f>'0. Database'!S43</f>
        <v>299523.83</v>
      </c>
      <c r="S25" s="8">
        <f>'0. Database'!T43</f>
        <v>314500.02</v>
      </c>
    </row>
    <row r="26" customHeight="1" spans="1:19">
      <c r="A26" s="6" t="s">
        <v>48</v>
      </c>
      <c r="B26" s="8">
        <f>'0. Database'!C60</f>
        <v>1362</v>
      </c>
      <c r="C26" s="8">
        <f>'0. Database'!D60</f>
        <v>1831</v>
      </c>
      <c r="D26" s="8">
        <f>'0. Database'!E60</f>
        <v>2523</v>
      </c>
      <c r="E26" s="8">
        <f>'0. Database'!F60</f>
        <v>4491</v>
      </c>
      <c r="F26" s="8">
        <f>'0. Database'!G60</f>
        <v>6732</v>
      </c>
      <c r="G26" s="8">
        <f>'0. Database'!H60</f>
        <v>13980</v>
      </c>
      <c r="H26" s="8">
        <f>'0. Database'!I60</f>
        <v>15102</v>
      </c>
      <c r="I26" s="8">
        <f>'0. Database'!J60</f>
        <v>15115</v>
      </c>
      <c r="J26" s="8">
        <f>'0. Database'!K60</f>
        <v>18567</v>
      </c>
      <c r="K26" s="8">
        <f>'0. Database'!L60</f>
        <v>31186</v>
      </c>
      <c r="L26" s="8">
        <f>'0. Database'!M60</f>
        <v>27045</v>
      </c>
      <c r="M26" s="8">
        <f>'0. Database'!N60</f>
        <v>37256</v>
      </c>
      <c r="N26" s="8">
        <f>'0. Database'!O60</f>
        <v>69691</v>
      </c>
      <c r="O26" s="8">
        <f>'0. Database'!P60</f>
        <v>135583.71</v>
      </c>
      <c r="P26" s="8">
        <f>'0. Database'!Q60</f>
        <v>165714.44</v>
      </c>
      <c r="Q26" s="8">
        <f>'0. Database'!R60</f>
        <v>185600.17</v>
      </c>
      <c r="R26" s="8">
        <f>'0. Database'!S60</f>
        <v>196736.18</v>
      </c>
      <c r="S26" s="8">
        <f>'0. Database'!T60</f>
        <v>208540.35</v>
      </c>
    </row>
    <row r="27" customHeight="1" spans="1:19">
      <c r="A27" s="6" t="s">
        <v>55</v>
      </c>
      <c r="B27" s="8">
        <f>'0. Database'!C78</f>
        <v>650</v>
      </c>
      <c r="C27" s="8">
        <f>'0. Database'!D78</f>
        <v>580</v>
      </c>
      <c r="D27" s="8">
        <f>'0. Database'!E78</f>
        <v>1391</v>
      </c>
      <c r="E27" s="8">
        <f>'0. Database'!F78</f>
        <v>1189</v>
      </c>
      <c r="F27" s="8">
        <f>'0. Database'!G78</f>
        <v>2021</v>
      </c>
      <c r="G27" s="8">
        <f>'0. Database'!H78</f>
        <v>1736</v>
      </c>
      <c r="H27" s="8">
        <f>'0. Database'!I78</f>
        <v>1660</v>
      </c>
      <c r="I27" s="8">
        <f>'0. Database'!J78</f>
        <v>1564</v>
      </c>
      <c r="J27" s="8">
        <f>'0. Database'!K78</f>
        <v>2135</v>
      </c>
      <c r="K27" s="8">
        <f>'0. Database'!L78</f>
        <v>4511</v>
      </c>
      <c r="L27" s="8">
        <f>'0. Database'!M78</f>
        <v>8695</v>
      </c>
      <c r="M27" s="8">
        <f>'0. Database'!N78</f>
        <v>6866</v>
      </c>
      <c r="N27" s="8">
        <f>'0. Database'!O78</f>
        <v>21215</v>
      </c>
      <c r="O27" s="8">
        <f>'0. Database'!P78</f>
        <v>51882</v>
      </c>
      <c r="P27" s="8">
        <f>'0. Database'!Q78</f>
        <v>52141.41</v>
      </c>
      <c r="Q27" s="8">
        <f>'0. Database'!R78</f>
        <v>69869.49</v>
      </c>
      <c r="R27" s="8">
        <f>'0. Database'!S78</f>
        <v>81048.61</v>
      </c>
      <c r="S27" s="8">
        <f>'0. Database'!T78</f>
        <v>66459.86</v>
      </c>
    </row>
    <row r="30" customHeight="1" spans="1:19">
      <c r="A30" s="3" t="s">
        <v>261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customHeight="1" spans="1:19">
      <c r="A31" s="4"/>
      <c r="B31" s="5" t="s">
        <v>241</v>
      </c>
      <c r="C31" s="5" t="s">
        <v>242</v>
      </c>
      <c r="D31" s="5" t="s">
        <v>243</v>
      </c>
      <c r="E31" s="5" t="s">
        <v>244</v>
      </c>
      <c r="F31" s="5" t="s">
        <v>245</v>
      </c>
      <c r="G31" s="5" t="s">
        <v>246</v>
      </c>
      <c r="H31" s="5" t="s">
        <v>247</v>
      </c>
      <c r="I31" s="5" t="s">
        <v>248</v>
      </c>
      <c r="J31" s="5" t="s">
        <v>249</v>
      </c>
      <c r="K31" s="5" t="s">
        <v>250</v>
      </c>
      <c r="L31" s="5" t="s">
        <v>251</v>
      </c>
      <c r="M31" s="5" t="s">
        <v>252</v>
      </c>
      <c r="N31" s="5" t="s">
        <v>253</v>
      </c>
      <c r="O31" s="5" t="s">
        <v>254</v>
      </c>
      <c r="P31" s="5" t="s">
        <v>255</v>
      </c>
      <c r="Q31" s="5" t="s">
        <v>256</v>
      </c>
      <c r="R31" s="5" t="s">
        <v>257</v>
      </c>
      <c r="S31" s="5" t="s">
        <v>258</v>
      </c>
    </row>
    <row r="32" customHeight="1" spans="1:19">
      <c r="A32" s="6" t="s">
        <v>22</v>
      </c>
      <c r="B32" s="7"/>
      <c r="C32" s="7">
        <f>IFERROR('0. Database'!D5/'0. Database'!C5-1,"")</f>
        <v>0.115402895348688</v>
      </c>
      <c r="D32" s="7">
        <f>IFERROR('0. Database'!E5/'0. Database'!D5-1,"")</f>
        <v>0.0777008740916472</v>
      </c>
      <c r="E32" s="7">
        <f>IFERROR('0. Database'!F5/'0. Database'!E5-1,"")</f>
        <v>-0.0882667236589014</v>
      </c>
      <c r="F32" s="7">
        <f>IFERROR('0. Database'!G5/'0. Database'!F5-1,"")</f>
        <v>0.131868260665729</v>
      </c>
      <c r="G32" s="7">
        <f>IFERROR('0. Database'!H5/'0. Database'!G5-1,"")</f>
        <v>0.142786136624867</v>
      </c>
      <c r="H32" s="7">
        <f>IFERROR('0. Database'!I5/'0. Database'!H5-1,"")</f>
        <v>0.140295396882929</v>
      </c>
      <c r="I32" s="7">
        <f>IFERROR('0. Database'!J5/'0. Database'!I5-1,"")</f>
        <v>0.136455742472764</v>
      </c>
      <c r="J32" s="7">
        <f>IFERROR('0. Database'!K5/'0. Database'!J5-1,"")</f>
        <v>0.175317274411775</v>
      </c>
      <c r="K32" s="7">
        <f>IFERROR('0. Database'!L5/'0. Database'!K5-1,"")</f>
        <v>0.179560706296702</v>
      </c>
      <c r="L32" s="7">
        <f>IFERROR('0. Database'!M5/'0. Database'!L5-1,"")</f>
        <v>0.0688202955565642</v>
      </c>
      <c r="M32" s="7">
        <f>IFERROR('0. Database'!N5/'0. Database'!M5-1,"")</f>
        <v>0.156699620130713</v>
      </c>
      <c r="N32" s="7">
        <f>IFERROR('0. Database'!O5/'0. Database'!N5-1,"")</f>
        <v>0.149321562324067</v>
      </c>
      <c r="O32" s="7">
        <f>IFERROR('0. Database'!P5/'0. Database'!O5-1,"")</f>
        <v>0.169372293450327</v>
      </c>
      <c r="P32" s="7">
        <f>IFERROR('0. Database'!Q5/'0. Database'!P5-1,"")</f>
        <v>0.175034689144228</v>
      </c>
      <c r="Q32" s="7">
        <f>IFERROR('0. Database'!R5/'0. Database'!Q5-1,"")</f>
        <v>0.197286820113401</v>
      </c>
      <c r="R32" s="7">
        <f>IFERROR('0. Database'!S5/'0. Database'!R5-1,"")</f>
        <v>0.19470416226216</v>
      </c>
      <c r="S32" s="7">
        <f>IFERROR('0. Database'!T5/'0. Database'!S5-1,"")</f>
        <v>0.178897421725549</v>
      </c>
    </row>
    <row r="33" customHeight="1" spans="1:19">
      <c r="A33" s="6" t="s">
        <v>38</v>
      </c>
      <c r="B33" s="7"/>
      <c r="C33" s="7">
        <f>IFERROR('0. Database'!D21/'0. Database'!C21-1,"")</f>
        <v>0.195229205001813</v>
      </c>
      <c r="D33" s="7">
        <f>IFERROR('0. Database'!E21/'0. Database'!D21-1,"")</f>
        <v>0.202478075794149</v>
      </c>
      <c r="E33" s="7">
        <f>IFERROR('0. Database'!F21/'0. Database'!E21-1,"")</f>
        <v>0.270828154525048</v>
      </c>
      <c r="F33" s="7">
        <f>IFERROR('0. Database'!G21/'0. Database'!F21-1,"")</f>
        <v>0.307963261194085</v>
      </c>
      <c r="G33" s="7">
        <f>IFERROR('0. Database'!H21/'0. Database'!G21-1,"")</f>
        <v>0.309339615215949</v>
      </c>
      <c r="H33" s="7">
        <f>IFERROR('0. Database'!I21/'0. Database'!H21-1,"")</f>
        <v>0.20454125820677</v>
      </c>
      <c r="I33" s="7">
        <f>IFERROR('0. Database'!J21/'0. Database'!I21-1,"")</f>
        <v>0.376234306043733</v>
      </c>
      <c r="J33" s="7">
        <f>IFERROR('0. Database'!K21/'0. Database'!J21-1,"")</f>
        <v>0.216953665713457</v>
      </c>
      <c r="K33" s="7">
        <f>IFERROR('0. Database'!L21/'0. Database'!K21-1,"")</f>
        <v>0.0939951726398509</v>
      </c>
      <c r="L33" s="7">
        <f>IFERROR('0. Database'!M21/'0. Database'!L21-1,"")</f>
        <v>0.118295741298837</v>
      </c>
      <c r="M33" s="7">
        <f>IFERROR('0. Database'!N21/'0. Database'!M21-1,"")</f>
        <v>0.109908922466661</v>
      </c>
      <c r="N33" s="7">
        <f>IFERROR('0. Database'!O21/'0. Database'!N21-1,"")</f>
        <v>0.123777546832947</v>
      </c>
      <c r="O33" s="7">
        <f>IFERROR('0. Database'!P21/'0. Database'!O21-1,"")</f>
        <v>0.154375512606636</v>
      </c>
      <c r="P33" s="7">
        <f>IFERROR('0. Database'!Q21/'0. Database'!P21-1,"")</f>
        <v>0.143827296369472</v>
      </c>
      <c r="Q33" s="7">
        <f>IFERROR('0. Database'!R21/'0. Database'!Q21-1,"")</f>
        <v>0.123289530023903</v>
      </c>
      <c r="R33" s="7">
        <f>IFERROR('0. Database'!S21/'0. Database'!R21-1,"")</f>
        <v>0.112642300243612</v>
      </c>
      <c r="S33" s="7">
        <f>IFERROR('0. Database'!T21/'0. Database'!S21-1,"")</f>
        <v>0.103369054433569</v>
      </c>
    </row>
    <row r="34" customHeight="1" spans="1:19">
      <c r="A34" s="6" t="s">
        <v>42</v>
      </c>
      <c r="B34" s="7"/>
      <c r="C34" s="7">
        <f>IFERROR('0. Database'!D36/'0. Database'!C36-1,"")</f>
        <v>0.188800230551703</v>
      </c>
      <c r="D34" s="7">
        <f>IFERROR('0. Database'!E36/'0. Database'!D36-1,"")</f>
        <v>0.136179754852199</v>
      </c>
      <c r="E34" s="7">
        <f>IFERROR('0. Database'!F36/'0. Database'!E36-1,"")</f>
        <v>0.203803224472923</v>
      </c>
      <c r="F34" s="7">
        <f>IFERROR('0. Database'!G36/'0. Database'!F36-1,"")</f>
        <v>0.228010900389933</v>
      </c>
      <c r="G34" s="7">
        <f>IFERROR('0. Database'!H36/'0. Database'!G36-1,"")</f>
        <v>0.23421586757476</v>
      </c>
      <c r="H34" s="7">
        <f>IFERROR('0. Database'!I36/'0. Database'!H36-1,"")</f>
        <v>0.183000898997946</v>
      </c>
      <c r="I34" s="7">
        <f>IFERROR('0. Database'!J36/'0. Database'!I36-1,"")</f>
        <v>0.127705320128261</v>
      </c>
      <c r="J34" s="7">
        <f>IFERROR('0. Database'!K36/'0. Database'!J36-1,"")</f>
        <v>0.411500764270492</v>
      </c>
      <c r="K34" s="7">
        <f>IFERROR('0. Database'!L36/'0. Database'!K36-1,"")</f>
        <v>0.0978081564371578</v>
      </c>
      <c r="L34" s="7">
        <f>IFERROR('0. Database'!M36/'0. Database'!L36-1,"")</f>
        <v>0.0868277022726951</v>
      </c>
      <c r="M34" s="7">
        <f>IFERROR('0. Database'!N36/'0. Database'!M36-1,"")</f>
        <v>0.138662433229016</v>
      </c>
      <c r="N34" s="7">
        <f>IFERROR('0. Database'!O36/'0. Database'!N36-1,"")</f>
        <v>0.150900810815444</v>
      </c>
      <c r="O34" s="7">
        <f>IFERROR('0. Database'!P36/'0. Database'!O36-1,"")</f>
        <v>0.212102691914327</v>
      </c>
      <c r="P34" s="7">
        <f>IFERROR('0. Database'!Q36/'0. Database'!P36-1,"")</f>
        <v>0.212290974865579</v>
      </c>
      <c r="Q34" s="7">
        <f>IFERROR('0. Database'!R36/'0. Database'!Q36-1,"")</f>
        <v>0.184950396811654</v>
      </c>
      <c r="R34" s="7">
        <f>IFERROR('0. Database'!S36/'0. Database'!R36-1,"")</f>
        <v>0.162332531795857</v>
      </c>
      <c r="S34" s="7">
        <f>IFERROR('0. Database'!T36/'0. Database'!S36-1,"")</f>
        <v>0.13075075795109</v>
      </c>
    </row>
    <row r="35" customHeight="1" spans="1:19">
      <c r="A35" s="6" t="s">
        <v>48</v>
      </c>
      <c r="B35" s="7"/>
      <c r="C35" s="7">
        <f>IFERROR('0. Database'!D53/'0. Database'!C53-1,"")</f>
        <v>0.583587398373984</v>
      </c>
      <c r="D35" s="7">
        <f>IFERROR('0. Database'!E53/'0. Database'!D53-1,"")</f>
        <v>0.43807155462859</v>
      </c>
      <c r="E35" s="7">
        <f>IFERROR('0. Database'!F53/'0. Database'!E53-1,"")</f>
        <v>0.541696881798405</v>
      </c>
      <c r="F35" s="7">
        <f>IFERROR('0. Database'!G53/'0. Database'!F53-1,"")</f>
        <v>0.470909617193719</v>
      </c>
      <c r="G35" s="7">
        <f>IFERROR('0. Database'!H53/'0. Database'!G53-1,"")</f>
        <v>0.37352716896662</v>
      </c>
      <c r="H35" s="7">
        <f>IFERROR('0. Database'!I53/'0. Database'!H53-1,"")</f>
        <v>0.266100146853397</v>
      </c>
      <c r="I35" s="7">
        <f>IFERROR('0. Database'!J53/'0. Database'!I53-1,"")</f>
        <v>0.215986647146606</v>
      </c>
      <c r="J35" s="7">
        <f>IFERROR('0. Database'!K53/'0. Database'!J53-1,"")</f>
        <v>0.371809785263941</v>
      </c>
      <c r="K35" s="7">
        <f>IFERROR('0. Database'!L53/'0. Database'!K53-1,"")</f>
        <v>-0.0111931755547829</v>
      </c>
      <c r="L35" s="7">
        <f>IFERROR('0. Database'!M53/'0. Database'!L53-1,"")</f>
        <v>0.156866108104863</v>
      </c>
      <c r="M35" s="7">
        <f>IFERROR('0. Database'!N53/'0. Database'!M53-1,"")</f>
        <v>0.219412754538513</v>
      </c>
      <c r="N35" s="7">
        <f>IFERROR('0. Database'!O53/'0. Database'!N53-1,"")</f>
        <v>0.221671732522796</v>
      </c>
      <c r="O35" s="7">
        <f>IFERROR('0. Database'!P53/'0. Database'!O53-1,"")</f>
        <v>0.2697512502177</v>
      </c>
      <c r="P35" s="7">
        <f>IFERROR('0. Database'!Q53/'0. Database'!P53-1,"")</f>
        <v>0.20078317845173</v>
      </c>
      <c r="Q35" s="7">
        <f>IFERROR('0. Database'!R53/'0. Database'!Q53-1,"")</f>
        <v>0.166200396774889</v>
      </c>
      <c r="R35" s="7">
        <f>IFERROR('0. Database'!S53/'0. Database'!R53-1,"")</f>
        <v>0.13996879744046</v>
      </c>
      <c r="S35" s="7">
        <f>IFERROR('0. Database'!T53/'0. Database'!S53-1,"")</f>
        <v>0.119898057691976</v>
      </c>
    </row>
    <row r="36" customHeight="1" spans="1:19">
      <c r="A36" s="6" t="s">
        <v>55</v>
      </c>
      <c r="B36" s="7"/>
      <c r="C36" s="7">
        <f>IFERROR('0. Database'!D71/'0. Database'!C71-1,"")</f>
        <v>0.0282393364292808</v>
      </c>
      <c r="D36" s="7">
        <f>IFERROR('0. Database'!E71/'0. Database'!D71-1,"")</f>
        <v>-0.00135752512726794</v>
      </c>
      <c r="E36" s="7">
        <f>IFERROR('0. Database'!F71/'0. Database'!E71-1,"")</f>
        <v>-0.031265521658432</v>
      </c>
      <c r="F36" s="7">
        <f>IFERROR('0. Database'!G71/'0. Database'!F71-1,"")</f>
        <v>0.0227217529751464</v>
      </c>
      <c r="G36" s="7">
        <f>IFERROR('0. Database'!H71/'0. Database'!G71-1,"")</f>
        <v>0.0404232301643843</v>
      </c>
      <c r="H36" s="7">
        <f>IFERROR('0. Database'!I71/'0. Database'!H71-1,"")</f>
        <v>0.0023839111359083</v>
      </c>
      <c r="I36" s="7">
        <f>IFERROR('0. Database'!J71/'0. Database'!I71-1,"")</f>
        <v>-0.0114358001265022</v>
      </c>
      <c r="J36" s="7">
        <f>IFERROR('0. Database'!K71/'0. Database'!J71-1,"")</f>
        <v>0.036035113761421</v>
      </c>
      <c r="K36" s="7">
        <f>IFERROR('0. Database'!L71/'0. Database'!K71-1,"")</f>
        <v>0.0484177762407054</v>
      </c>
      <c r="L36" s="7">
        <f>IFERROR('0. Database'!M71/'0. Database'!L71-1,"")</f>
        <v>0.17704578120214</v>
      </c>
      <c r="M36" s="7">
        <f>IFERROR('0. Database'!N71/'0. Database'!M71-1,"")</f>
        <v>0.060174156741067</v>
      </c>
      <c r="N36" s="7">
        <f>IFERROR('0. Database'!O71/'0. Database'!N71-1,"")</f>
        <v>0.0837975113762959</v>
      </c>
      <c r="O36" s="7">
        <f>IFERROR('0. Database'!P71/'0. Database'!O71-1,"")</f>
        <v>0.172263454067144</v>
      </c>
      <c r="P36" s="7">
        <f>IFERROR('0. Database'!Q71/'0. Database'!P71-1,"")</f>
        <v>0.319457694122543</v>
      </c>
      <c r="Q36" s="7">
        <f>IFERROR('0. Database'!R71/'0. Database'!Q71-1,"")</f>
        <v>0.412955573662325</v>
      </c>
      <c r="R36" s="7">
        <f>IFERROR('0. Database'!S71/'0. Database'!R71-1,"")</f>
        <v>0.316855148927758</v>
      </c>
      <c r="S36" s="7">
        <f>IFERROR('0. Database'!T71/'0. Database'!S71-1,"")</f>
        <v>0.123262637826697</v>
      </c>
    </row>
    <row r="39" customHeight="1" spans="1:19">
      <c r="A39" s="3" t="s">
        <v>262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customHeight="1" spans="1:19">
      <c r="A40" s="4"/>
      <c r="B40" s="5" t="s">
        <v>241</v>
      </c>
      <c r="C40" s="5" t="s">
        <v>242</v>
      </c>
      <c r="D40" s="5" t="s">
        <v>243</v>
      </c>
      <c r="E40" s="5" t="s">
        <v>244</v>
      </c>
      <c r="F40" s="5" t="s">
        <v>245</v>
      </c>
      <c r="G40" s="5" t="s">
        <v>246</v>
      </c>
      <c r="H40" s="5" t="s">
        <v>247</v>
      </c>
      <c r="I40" s="5" t="s">
        <v>248</v>
      </c>
      <c r="J40" s="5" t="s">
        <v>249</v>
      </c>
      <c r="K40" s="5" t="s">
        <v>250</v>
      </c>
      <c r="L40" s="5" t="s">
        <v>251</v>
      </c>
      <c r="M40" s="5" t="s">
        <v>252</v>
      </c>
      <c r="N40" s="5" t="s">
        <v>253</v>
      </c>
      <c r="O40" s="5" t="s">
        <v>254</v>
      </c>
      <c r="P40" s="5" t="s">
        <v>255</v>
      </c>
      <c r="Q40" s="5" t="s">
        <v>256</v>
      </c>
      <c r="R40" s="5" t="s">
        <v>257</v>
      </c>
      <c r="S40" s="5" t="s">
        <v>258</v>
      </c>
    </row>
    <row r="41" customHeight="1" spans="1:19">
      <c r="A41" s="6" t="s">
        <v>22</v>
      </c>
      <c r="B41" s="7">
        <f>IFERROR('0. Database'!C6/'0. Database'!C5,"")</f>
        <v>0.343793754576167</v>
      </c>
      <c r="C41" s="7">
        <f>IFERROR('0. Database'!D6/'0. Database'!D5,"")</f>
        <v>0.319682609146292</v>
      </c>
      <c r="D41" s="7">
        <f>IFERROR('0. Database'!E6/'0. Database'!E5,"")</f>
        <v>0.194069245565292</v>
      </c>
      <c r="E41" s="7">
        <f>IFERROR('0. Database'!F6/'0. Database'!F5,"")</f>
        <v>0.236544772620722</v>
      </c>
      <c r="F41" s="7">
        <f>IFERROR('0. Database'!G6/'0. Database'!G5,"")</f>
        <v>0.300556067556513</v>
      </c>
      <c r="G41" s="7">
        <f>IFERROR('0. Database'!H6/'0. Database'!H5,"")</f>
        <v>0.31766944545125</v>
      </c>
      <c r="H41" s="7">
        <f>IFERROR('0. Database'!I6/'0. Database'!I5,"")</f>
        <v>0.341369802054941</v>
      </c>
      <c r="I41" s="7">
        <f>IFERROR('0. Database'!J6/'0. Database'!J5,"")</f>
        <v>0.370303814285215</v>
      </c>
      <c r="J41" s="7">
        <f>IFERROR('0. Database'!K6/'0. Database'!K5,"")</f>
        <v>0.415948788729713</v>
      </c>
      <c r="K41" s="7">
        <f>IFERROR('0. Database'!L6/'0. Database'!L5,"")</f>
        <v>0.420552781560498</v>
      </c>
      <c r="L41" s="7">
        <f>IFERROR('0. Database'!M6/'0. Database'!M5,"")</f>
        <v>0.417728806361041</v>
      </c>
      <c r="M41" s="7">
        <f>IFERROR('0. Database'!N6/'0. Database'!N5,"")</f>
        <v>0.446442995732737</v>
      </c>
      <c r="N41" s="7">
        <f>IFERROR('0. Database'!O6/'0. Database'!O5,"")</f>
        <v>0.456219562408599</v>
      </c>
      <c r="O41" s="7">
        <f>IFERROR('0. Database'!P6/'0. Database'!P5,"")</f>
        <v>0.465802538269156</v>
      </c>
      <c r="P41" s="7">
        <f>IFERROR('0. Database'!Q6/'0. Database'!Q5,"")</f>
        <v>0.463117571257584</v>
      </c>
      <c r="Q41" s="7">
        <f>IFERROR('0. Database'!R6/'0. Database'!R5,"")</f>
        <v>0.469393623381428</v>
      </c>
      <c r="R41" s="7">
        <f>IFERROR('0. Database'!S6/'0. Database'!S5,"")</f>
        <v>0.480824089640994</v>
      </c>
      <c r="S41" s="7">
        <f>IFERROR('0. Database'!T6/'0. Database'!T5,"")</f>
        <v>0.487820996536282</v>
      </c>
    </row>
    <row r="42" customHeight="1" spans="1:19">
      <c r="A42" s="6" t="s">
        <v>38</v>
      </c>
      <c r="B42" s="7">
        <f>IFERROR('0. Database'!C22/'0. Database'!C21,"")</f>
        <v>0.0100063127073456</v>
      </c>
      <c r="C42" s="7">
        <f>IFERROR('0. Database'!D22/'0. Database'!D21,"")</f>
        <v>0.0020047556760207</v>
      </c>
      <c r="D42" s="7">
        <f>IFERROR('0. Database'!E22/'0. Database'!E21,"")</f>
        <v>0.0208641336141883</v>
      </c>
      <c r="E42" s="7">
        <f>IFERROR('0. Database'!F22/'0. Database'!F21,"")</f>
        <v>0.0307823541956216</v>
      </c>
      <c r="F42" s="7">
        <f>IFERROR('0. Database'!G22/'0. Database'!G21,"")</f>
        <v>0.023090416380871</v>
      </c>
      <c r="G42" s="7">
        <f>IFERROR('0. Database'!H22/'0. Database'!H21,"")</f>
        <v>0.0533305852194412</v>
      </c>
      <c r="H42" s="7">
        <f>IFERROR('0. Database'!I22/'0. Database'!I21,"")</f>
        <v>0.0518319418797813</v>
      </c>
      <c r="I42" s="7">
        <f>IFERROR('0. Database'!J22/'0. Database'!J21,"")</f>
        <v>0.0593139997513366</v>
      </c>
      <c r="J42" s="7">
        <f>IFERROR('0. Database'!K22/'0. Database'!K21,"")</f>
        <v>0.0529540975092695</v>
      </c>
      <c r="K42" s="7">
        <f>IFERROR('0. Database'!L22/'0. Database'!L21,"")</f>
        <v>0.0238295819122422</v>
      </c>
      <c r="L42" s="7">
        <f>IFERROR('0. Database'!M22/'0. Database'!M21,"")</f>
        <v>0.0641144079960333</v>
      </c>
      <c r="M42" s="7">
        <f>IFERROR('0. Database'!N22/'0. Database'!N21,"")</f>
        <v>0.107519448742004</v>
      </c>
      <c r="N42" s="7">
        <f>IFERROR('0. Database'!O22/'0. Database'!O21,"")</f>
        <v>0.111552967957552</v>
      </c>
      <c r="O42" s="7">
        <f>IFERROR('0. Database'!P22/'0. Database'!P21,"")</f>
        <v>0.131708463674658</v>
      </c>
      <c r="P42" s="7">
        <f>IFERROR('0. Database'!Q22/'0. Database'!Q21,"")</f>
        <v>0.154365760146159</v>
      </c>
      <c r="Q42" s="7">
        <f>IFERROR('0. Database'!R22/'0. Database'!R21,"")</f>
        <v>0.172540408713261</v>
      </c>
      <c r="R42" s="7">
        <f>IFERROR('0. Database'!S22/'0. Database'!S21,"")</f>
        <v>0.188661589820496</v>
      </c>
      <c r="S42" s="7">
        <f>IFERROR('0. Database'!T22/'0. Database'!T21,"")</f>
        <v>0.202680597904355</v>
      </c>
    </row>
    <row r="43" customHeight="1" spans="1:19">
      <c r="A43" s="6" t="s">
        <v>42</v>
      </c>
      <c r="B43" s="7">
        <f>IFERROR('0. Database'!C37/'0. Database'!C36,"")</f>
        <v>0.27743655325204</v>
      </c>
      <c r="C43" s="7">
        <f>IFERROR('0. Database'!D37/'0. Database'!D36,"")</f>
        <v>0.249935607036257</v>
      </c>
      <c r="D43" s="7">
        <f>IFERROR('0. Database'!E37/'0. Database'!E36,"")</f>
        <v>0.258171198442438</v>
      </c>
      <c r="E43" s="7">
        <f>IFERROR('0. Database'!F37/'0. Database'!F36,"")</f>
        <v>0.262717121588089</v>
      </c>
      <c r="F43" s="7">
        <f>IFERROR('0. Database'!G37/'0. Database'!G36,"")</f>
        <v>0.235857651887601</v>
      </c>
      <c r="G43" s="7">
        <f>IFERROR('0. Database'!H37/'0. Database'!H36,"")</f>
        <v>0.196997493038248</v>
      </c>
      <c r="H43" s="7">
        <f>IFERROR('0. Database'!I37/'0. Database'!I36,"")</f>
        <v>0.211489154006314</v>
      </c>
      <c r="I43" s="7">
        <f>IFERROR('0. Database'!J37/'0. Database'!J36,"")</f>
        <v>0.225851517857632</v>
      </c>
      <c r="J43" s="7">
        <f>IFERROR('0. Database'!K37/'0. Database'!K36,"")</f>
        <v>0.305522886852432</v>
      </c>
      <c r="K43" s="7">
        <f>IFERROR('0. Database'!L37/'0. Database'!L36,"")</f>
        <v>0.26461270842467</v>
      </c>
      <c r="L43" s="7">
        <f>IFERROR('0. Database'!M37/'0. Database'!M36,"")</f>
        <v>0.274218104452266</v>
      </c>
      <c r="M43" s="7">
        <f>IFERROR('0. Database'!N37/'0. Database'!N36,"")</f>
        <v>0.321097772114577</v>
      </c>
      <c r="N43" s="7">
        <f>IFERROR('0. Database'!O37/'0. Database'!O36,"")</f>
        <v>0.3203263859238</v>
      </c>
      <c r="O43" s="7">
        <f>IFERROR('0. Database'!P37/'0. Database'!P36,"")</f>
        <v>0.342669553816202</v>
      </c>
      <c r="P43" s="7">
        <f>IFERROR('0. Database'!Q37/'0. Database'!Q36,"")</f>
        <v>0.355253646282618</v>
      </c>
      <c r="Q43" s="7">
        <f>IFERROR('0. Database'!R37/'0. Database'!R36,"")</f>
        <v>0.36181091725094</v>
      </c>
      <c r="R43" s="7">
        <f>IFERROR('0. Database'!S37/'0. Database'!S36,"")</f>
        <v>0.366157445799273</v>
      </c>
      <c r="S43" s="7">
        <f>IFERROR('0. Database'!T37/'0. Database'!T36,"")</f>
        <v>0.367020570414675</v>
      </c>
    </row>
    <row r="44" customHeight="1" spans="1:19">
      <c r="A44" s="6" t="s">
        <v>48</v>
      </c>
      <c r="B44" s="7">
        <f>IFERROR('0. Database'!C54/'0. Database'!C53,"")</f>
        <v>0.35619918699187</v>
      </c>
      <c r="C44" s="7">
        <f>IFERROR('0. Database'!D54/'0. Database'!D53,"")</f>
        <v>0.400673832825285</v>
      </c>
      <c r="D44" s="7">
        <f>IFERROR('0. Database'!E54/'0. Database'!E53,"")</f>
        <v>0.347241590896413</v>
      </c>
      <c r="E44" s="7">
        <f>IFERROR('0. Database'!F54/'0. Database'!F53,"")</f>
        <v>0.449634561111513</v>
      </c>
      <c r="F44" s="7">
        <f>IFERROR('0. Database'!G54/'0. Database'!G53,"")</f>
        <v>0.496937495387794</v>
      </c>
      <c r="G44" s="7">
        <f>IFERROR('0. Database'!H54/'0. Database'!H53,"")</f>
        <v>0.446165693613668</v>
      </c>
      <c r="H44" s="7">
        <f>IFERROR('0. Database'!I54/'0. Database'!I53,"")</f>
        <v>0.339274221496114</v>
      </c>
      <c r="I44" s="7">
        <f>IFERROR('0. Database'!J54/'0. Database'!J53,"")</f>
        <v>0.380045599423028</v>
      </c>
      <c r="J44" s="7">
        <f>IFERROR('0. Database'!K54/'0. Database'!K53,"")</f>
        <v>0.396450406600582</v>
      </c>
      <c r="K44" s="7">
        <f>IFERROR('0. Database'!L54/'0. Database'!L53,"")</f>
        <v>0.248222692931077</v>
      </c>
      <c r="L44" s="7">
        <f>IFERROR('0. Database'!M54/'0. Database'!M53,"")</f>
        <v>0.346557846124195</v>
      </c>
      <c r="M44" s="7">
        <f>IFERROR('0. Database'!N54/'0. Database'!N53,"")</f>
        <v>0.421762917933131</v>
      </c>
      <c r="N44" s="7">
        <f>IFERROR('0. Database'!O54/'0. Database'!O53,"")</f>
        <v>0.414380613539671</v>
      </c>
      <c r="O44" s="7">
        <f>IFERROR('0. Database'!P54/'0. Database'!P53,"")</f>
        <v>0.354617777658644</v>
      </c>
      <c r="P44" s="7">
        <f>IFERROR('0. Database'!Q54/'0. Database'!Q53,"")</f>
        <v>0.340842115995234</v>
      </c>
      <c r="Q44" s="7">
        <f>IFERROR('0. Database'!R54/'0. Database'!R53,"")</f>
        <v>0.331377350179063</v>
      </c>
      <c r="R44" s="7">
        <f>IFERROR('0. Database'!S54/'0. Database'!S53,"")</f>
        <v>0.32287495749683</v>
      </c>
      <c r="S44" s="7">
        <f>IFERROR('0. Database'!T54/'0. Database'!T53,"")</f>
        <v>0.313057785144645</v>
      </c>
    </row>
    <row r="45" customHeight="1" spans="1:19">
      <c r="A45" s="6" t="s">
        <v>55</v>
      </c>
      <c r="B45" s="7">
        <f>IFERROR('0. Database'!C72/'0. Database'!C71,"")</f>
        <v>0.39416959707943</v>
      </c>
      <c r="C45" s="7">
        <f>IFERROR('0. Database'!D72/'0. Database'!D71,"")</f>
        <v>0.385276073619632</v>
      </c>
      <c r="D45" s="7">
        <f>IFERROR('0. Database'!E72/'0. Database'!E71,"")</f>
        <v>0.36258594097195</v>
      </c>
      <c r="E45" s="7">
        <f>IFERROR('0. Database'!F72/'0. Database'!F71,"")</f>
        <v>0.34012467280136</v>
      </c>
      <c r="F45" s="7">
        <f>IFERROR('0. Database'!G72/'0. Database'!G71,"")</f>
        <v>0.335365049209742</v>
      </c>
      <c r="G45" s="7">
        <f>IFERROR('0. Database'!H72/'0. Database'!H71,"")</f>
        <v>0.336385077730719</v>
      </c>
      <c r="H45" s="7">
        <f>IFERROR('0. Database'!I72/'0. Database'!I71,"")</f>
        <v>0.342441492726123</v>
      </c>
      <c r="I45" s="7">
        <f>IFERROR('0. Database'!J72/'0. Database'!J71,"")</f>
        <v>0.355667596550047</v>
      </c>
      <c r="J45" s="7">
        <f>IFERROR('0. Database'!K72/'0. Database'!K71,"")</f>
        <v>0.375830636594946</v>
      </c>
      <c r="K45" s="7">
        <f>IFERROR('0. Database'!L72/'0. Database'!L71,"")</f>
        <v>0.257463301995712</v>
      </c>
      <c r="L45" s="7">
        <f>IFERROR('0. Database'!M72/'0. Database'!M71,"")</f>
        <v>0.262115904313882</v>
      </c>
      <c r="M45" s="7">
        <f>IFERROR('0. Database'!N72/'0. Database'!N71,"")</f>
        <v>0.289911444270312</v>
      </c>
      <c r="N45" s="7">
        <f>IFERROR('0. Database'!O72/'0. Database'!O71,"")</f>
        <v>0.307984459659576</v>
      </c>
      <c r="O45" s="7">
        <f>IFERROR('0. Database'!P72/'0. Database'!P71,"")</f>
        <v>0.289246248332696</v>
      </c>
      <c r="P45" s="7">
        <f>IFERROR('0. Database'!Q72/'0. Database'!Q71,"")</f>
        <v>0.23797825280389</v>
      </c>
      <c r="Q45" s="7">
        <f>IFERROR('0. Database'!R72/'0. Database'!R71,"")</f>
        <v>0.294398702858343</v>
      </c>
      <c r="R45" s="7">
        <f>IFERROR('0. Database'!S72/'0. Database'!S71,"")</f>
        <v>0.32118626604911</v>
      </c>
      <c r="S45" s="7">
        <f>IFERROR('0. Database'!T72/'0. Database'!T71,"")</f>
        <v>0.312321387266789</v>
      </c>
    </row>
    <row r="48" customHeight="1" spans="1:19">
      <c r="A48" s="3" t="s">
        <v>263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Height="1" spans="1:19">
      <c r="A49" s="4"/>
      <c r="B49" s="5" t="s">
        <v>241</v>
      </c>
      <c r="C49" s="5" t="s">
        <v>242</v>
      </c>
      <c r="D49" s="5" t="s">
        <v>243</v>
      </c>
      <c r="E49" s="5" t="s">
        <v>244</v>
      </c>
      <c r="F49" s="5" t="s">
        <v>245</v>
      </c>
      <c r="G49" s="5" t="s">
        <v>246</v>
      </c>
      <c r="H49" s="5" t="s">
        <v>247</v>
      </c>
      <c r="I49" s="5" t="s">
        <v>248</v>
      </c>
      <c r="J49" s="5" t="s">
        <v>249</v>
      </c>
      <c r="K49" s="5" t="s">
        <v>250</v>
      </c>
      <c r="L49" s="5" t="s">
        <v>251</v>
      </c>
      <c r="M49" s="5" t="s">
        <v>252</v>
      </c>
      <c r="N49" s="5" t="s">
        <v>253</v>
      </c>
      <c r="O49" s="5" t="s">
        <v>254</v>
      </c>
      <c r="P49" s="5" t="s">
        <v>255</v>
      </c>
      <c r="Q49" s="5" t="s">
        <v>256</v>
      </c>
      <c r="R49" s="5" t="s">
        <v>257</v>
      </c>
      <c r="S49" s="5" t="s">
        <v>258</v>
      </c>
    </row>
    <row r="50" customHeight="1" spans="1:19">
      <c r="A50" s="6" t="s">
        <v>22</v>
      </c>
      <c r="B50" s="7">
        <f>IFERROR('0. Database'!C11/'0. Database'!C5,"")</f>
        <v>0.0428907243509872</v>
      </c>
      <c r="C50" s="7">
        <f>IFERROR('0. Database'!D11/'0. Database'!D5,"")</f>
        <v>0.0488869439038154</v>
      </c>
      <c r="D50" s="7">
        <f>IFERROR('0. Database'!E11/'0. Database'!E5,"")</f>
        <v>0.0577046377431075</v>
      </c>
      <c r="E50" s="7">
        <f>IFERROR('0. Database'!F11/'0. Database'!F5,"")</f>
        <v>0.0688935771214252</v>
      </c>
      <c r="F50" s="7">
        <f>IFERROR('0. Database'!G11/'0. Database'!G5,"")</f>
        <v>0.0807695892141533</v>
      </c>
      <c r="G50" s="7">
        <f>IFERROR('0. Database'!H11/'0. Database'!H5,"")</f>
        <v>0.0897064153678869</v>
      </c>
      <c r="H50" s="7">
        <f>IFERROR('0. Database'!I11/'0. Database'!I5,"")</f>
        <v>0.0921783492129081</v>
      </c>
      <c r="I50" s="7">
        <f>IFERROR('0. Database'!J11/'0. Database'!J5,"")</f>
        <v>0.0860049645142118</v>
      </c>
      <c r="J50" s="7">
        <f>IFERROR('0. Database'!K11/'0. Database'!K5,"")</f>
        <v>0.0648469849126648</v>
      </c>
      <c r="K50" s="7">
        <f>IFERROR('0. Database'!L11/'0. Database'!L5,"")</f>
        <v>0.0736369597014173</v>
      </c>
      <c r="L50" s="7">
        <f>IFERROR('0. Database'!M11/'0. Database'!M5,"")</f>
        <v>0.0637047872967935</v>
      </c>
      <c r="M50" s="7">
        <f>IFERROR('0. Database'!N11/'0. Database'!N5,"")</f>
        <v>0.0815920235637764</v>
      </c>
      <c r="N50" s="7">
        <f>IFERROR('0. Database'!O11/'0. Database'!O5,"")</f>
        <v>0.0993880535559626</v>
      </c>
      <c r="O50" s="7">
        <f>IFERROR('0. Database'!P11/'0. Database'!P5,"")</f>
        <v>0.120322156151902</v>
      </c>
      <c r="P50" s="7">
        <f>IFERROR('0. Database'!Q11/'0. Database'!Q5,"")</f>
        <v>0.161305506475254</v>
      </c>
      <c r="Q50" s="7">
        <f>IFERROR('0. Database'!R11/'0. Database'!R5,"")</f>
        <v>0.204963806289356</v>
      </c>
      <c r="R50" s="7">
        <f>IFERROR('0. Database'!S11/'0. Database'!S5,"")</f>
        <v>0.23749503625081</v>
      </c>
      <c r="S50" s="7">
        <f>IFERROR('0. Database'!T11/'0. Database'!T5,"")</f>
        <v>0.256198827702056</v>
      </c>
    </row>
    <row r="51" customHeight="1" spans="1:19">
      <c r="A51" s="6" t="s">
        <v>38</v>
      </c>
      <c r="B51" s="7">
        <f>IFERROR('0. Database'!C27/'0. Database'!C21,"")</f>
        <v>0.0436919936067049</v>
      </c>
      <c r="C51" s="7">
        <f>IFERROR('0. Database'!D27/'0. Database'!D21,"")</f>
        <v>0.0533215565174787</v>
      </c>
      <c r="D51" s="7">
        <f>IFERROR('0. Database'!E27/'0. Database'!E21,"")</f>
        <v>0.0586973139974544</v>
      </c>
      <c r="E51" s="7">
        <f>IFERROR('0. Database'!F27/'0. Database'!F21,"")</f>
        <v>0.0596895291461684</v>
      </c>
      <c r="F51" s="7">
        <f>IFERROR('0. Database'!G27/'0. Database'!G21,"")</f>
        <v>0.0645317261309075</v>
      </c>
      <c r="G51" s="7">
        <f>IFERROR('0. Database'!H27/'0. Database'!H21,"")</f>
        <v>0.0658731487803098</v>
      </c>
      <c r="H51" s="7">
        <f>IFERROR('0. Database'!I27/'0. Database'!I21,"")</f>
        <v>0.0776730523809184</v>
      </c>
      <c r="I51" s="7">
        <f>IFERROR('0. Database'!J27/'0. Database'!J21,"")</f>
        <v>0.0654062538853662</v>
      </c>
      <c r="J51" s="7">
        <f>IFERROR('0. Database'!K27/'0. Database'!K21,"")</f>
        <v>0.0729978587635317</v>
      </c>
      <c r="K51" s="7">
        <f>IFERROR('0. Database'!L27/'0. Database'!L21,"")</f>
        <v>0.080666092069193</v>
      </c>
      <c r="L51" s="7">
        <f>IFERROR('0. Database'!M27/'0. Database'!M21,"")</f>
        <v>0.0846629609332185</v>
      </c>
      <c r="M51" s="7">
        <f>IFERROR('0. Database'!N27/'0. Database'!N21,"")</f>
        <v>0.0827561018811554</v>
      </c>
      <c r="N51" s="7">
        <f>IFERROR('0. Database'!O27/'0. Database'!O21,"")</f>
        <v>0.0917196243953334</v>
      </c>
      <c r="O51" s="7">
        <f>IFERROR('0. Database'!P27/'0. Database'!P21,"")</f>
        <v>0.0980858724771357</v>
      </c>
      <c r="P51" s="7">
        <f>IFERROR('0. Database'!Q27/'0. Database'!Q21,"")</f>
        <v>0.0958313626162915</v>
      </c>
      <c r="Q51" s="7">
        <f>IFERROR('0. Database'!R27/'0. Database'!R21,"")</f>
        <v>0.113353361221732</v>
      </c>
      <c r="R51" s="7">
        <f>IFERROR('0. Database'!S27/'0. Database'!S21,"")</f>
        <v>0.127377899470562</v>
      </c>
      <c r="S51" s="7">
        <f>IFERROR('0. Database'!T27/'0. Database'!T21,"")</f>
        <v>0.13440275735048</v>
      </c>
    </row>
    <row r="52" customHeight="1" spans="1:19">
      <c r="A52" s="6" t="s">
        <v>42</v>
      </c>
      <c r="B52" s="7">
        <f>IFERROR('0. Database'!C42/'0. Database'!C36,"")</f>
        <v>0.0500909598515823</v>
      </c>
      <c r="C52" s="7">
        <f>IFERROR('0. Database'!D42/'0. Database'!D36,"")</f>
        <v>0.0533779791215285</v>
      </c>
      <c r="D52" s="7">
        <f>IFERROR('0. Database'!E42/'0. Database'!E36,"")</f>
        <v>0.0551014148741815</v>
      </c>
      <c r="E52" s="7">
        <f>IFERROR('0. Database'!F42/'0. Database'!F36,"")</f>
        <v>0.0583458879829848</v>
      </c>
      <c r="F52" s="7">
        <f>IFERROR('0. Database'!G42/'0. Database'!G36,"")</f>
        <v>0.055053899237743</v>
      </c>
      <c r="G52" s="7">
        <f>IFERROR('0. Database'!H42/'0. Database'!H36,"")</f>
        <v>0.059670075062674</v>
      </c>
      <c r="H52" s="7">
        <f>IFERROR('0. Database'!I42/'0. Database'!I36,"")</f>
        <v>0.0670715508133723</v>
      </c>
      <c r="I52" s="7">
        <f>IFERROR('0. Database'!J42/'0. Database'!J36,"")</f>
        <v>0.0707018687646211</v>
      </c>
      <c r="J52" s="7">
        <f>IFERROR('0. Database'!K42/'0. Database'!K36,"")</f>
        <v>0.0448499245061851</v>
      </c>
      <c r="K52" s="7">
        <f>IFERROR('0. Database'!L42/'0. Database'!L36,"")</f>
        <v>0.0540489895204288</v>
      </c>
      <c r="L52" s="7">
        <f>IFERROR('0. Database'!M42/'0. Database'!M36,"")</f>
        <v>0.0433515293076638</v>
      </c>
      <c r="M52" s="7">
        <f>IFERROR('0. Database'!N42/'0. Database'!N36,"")</f>
        <v>0.0437434646218194</v>
      </c>
      <c r="N52" s="7">
        <f>IFERROR('0. Database'!O42/'0. Database'!O36,"")</f>
        <v>0.0524680018667646</v>
      </c>
      <c r="O52" s="7">
        <f>IFERROR('0. Database'!P42/'0. Database'!P36,"")</f>
        <v>0.0878078621508295</v>
      </c>
      <c r="P52" s="7">
        <f>IFERROR('0. Database'!Q42/'0. Database'!Q36,"")</f>
        <v>0.117551138236728</v>
      </c>
      <c r="Q52" s="7">
        <f>IFERROR('0. Database'!R42/'0. Database'!R36,"")</f>
        <v>0.140202635391807</v>
      </c>
      <c r="R52" s="7">
        <f>IFERROR('0. Database'!S42/'0. Database'!S36,"")</f>
        <v>0.156603153029435</v>
      </c>
      <c r="S52" s="7">
        <f>IFERROR('0. Database'!T42/'0. Database'!T36,"")</f>
        <v>0.169388668170233</v>
      </c>
    </row>
    <row r="53" customHeight="1" spans="1:19">
      <c r="A53" s="6" t="s">
        <v>48</v>
      </c>
      <c r="B53" s="7">
        <f>IFERROR('0. Database'!C59/'0. Database'!C53,"")</f>
        <v>0.12842987804878</v>
      </c>
      <c r="C53" s="7">
        <f>IFERROR('0. Database'!D59/'0. Database'!D53,"")</f>
        <v>0.0997112145034494</v>
      </c>
      <c r="D53" s="7">
        <f>IFERROR('0. Database'!E59/'0. Database'!E53,"")</f>
        <v>0.108495565348357</v>
      </c>
      <c r="E53" s="7">
        <f>IFERROR('0. Database'!F59/'0. Database'!F53,"")</f>
        <v>0.0847384036471525</v>
      </c>
      <c r="F53" s="7">
        <f>IFERROR('0. Database'!G59/'0. Database'!G53,"")</f>
        <v>0.0744102526258825</v>
      </c>
      <c r="G53" s="7">
        <f>IFERROR('0. Database'!H59/'0. Database'!H53,"")</f>
        <v>0.0772771231061284</v>
      </c>
      <c r="H53" s="7">
        <f>IFERROR('0. Database'!I59/'0. Database'!I53,"")</f>
        <v>0.0812062831964807</v>
      </c>
      <c r="I53" s="7">
        <f>IFERROR('0. Database'!J59/'0. Database'!J53,"")</f>
        <v>0.0798222553102389</v>
      </c>
      <c r="J53" s="7">
        <f>IFERROR('0. Database'!K59/'0. Database'!K53,"")</f>
        <v>0.0675491185374251</v>
      </c>
      <c r="K53" s="7">
        <f>IFERROR('0. Database'!L59/'0. Database'!L53,"")</f>
        <v>0.0744882470478265</v>
      </c>
      <c r="L53" s="7">
        <f>IFERROR('0. Database'!M59/'0. Database'!M53,"")</f>
        <v>0.0828533517171852</v>
      </c>
      <c r="M53" s="7">
        <f>IFERROR('0. Database'!N59/'0. Database'!N53,"")</f>
        <v>0.0942127659574468</v>
      </c>
      <c r="N53" s="7">
        <f>IFERROR('0. Database'!O59/'0. Database'!O53,"")</f>
        <v>0.0926330455551962</v>
      </c>
      <c r="O53" s="7">
        <f>IFERROR('0. Database'!P59/'0. Database'!P53,"")</f>
        <v>0.140906872115809</v>
      </c>
      <c r="P53" s="7">
        <f>IFERROR('0. Database'!Q59/'0. Database'!Q53,"")</f>
        <v>0.184728970793823</v>
      </c>
      <c r="Q53" s="7">
        <f>IFERROR('0. Database'!R59/'0. Database'!R53,"")</f>
        <v>0.22007811861814</v>
      </c>
      <c r="R53" s="7">
        <f>IFERROR('0. Database'!S59/'0. Database'!S53,"")</f>
        <v>0.245661608068325</v>
      </c>
      <c r="S53" s="7">
        <f>IFERROR('0. Database'!T59/'0. Database'!T53,"")</f>
        <v>0.265100899909223</v>
      </c>
    </row>
    <row r="54" customHeight="1" spans="1:19">
      <c r="A54" s="6" t="s">
        <v>55</v>
      </c>
      <c r="B54" s="7">
        <f>IFERROR('0. Database'!C77/'0. Database'!C71,"")</f>
        <v>0.0146565377285051</v>
      </c>
      <c r="C54" s="7">
        <f>IFERROR('0. Database'!D77/'0. Database'!D71,"")</f>
        <v>0.0158726014880564</v>
      </c>
      <c r="D54" s="7">
        <f>IFERROR('0. Database'!E77/'0. Database'!E71,"")</f>
        <v>0.0186129192481635</v>
      </c>
      <c r="E54" s="7">
        <f>IFERROR('0. Database'!F77/'0. Database'!F71,"")</f>
        <v>0.0235043311655018</v>
      </c>
      <c r="F54" s="7">
        <f>IFERROR('0. Database'!G77/'0. Database'!G71,"")</f>
        <v>0.0263859204728357</v>
      </c>
      <c r="G54" s="7">
        <f>IFERROR('0. Database'!H77/'0. Database'!H71,"")</f>
        <v>0.0295452816312039</v>
      </c>
      <c r="H54" s="7">
        <f>IFERROR('0. Database'!I77/'0. Database'!I71,"")</f>
        <v>0.0311195445920304</v>
      </c>
      <c r="I54" s="7">
        <f>IFERROR('0. Database'!J77/'0. Database'!J71,"")</f>
        <v>0.035369692626622</v>
      </c>
      <c r="J54" s="7">
        <f>IFERROR('0. Database'!K77/'0. Database'!K71,"")</f>
        <v>0.0379684296336553</v>
      </c>
      <c r="K54" s="7">
        <f>IFERROR('0. Database'!L77/'0. Database'!L71,"")</f>
        <v>0.0464645036639099</v>
      </c>
      <c r="L54" s="7">
        <f>IFERROR('0. Database'!M77/'0. Database'!M71,"")</f>
        <v>0.0505655089580623</v>
      </c>
      <c r="M54" s="7">
        <f>IFERROR('0. Database'!N77/'0. Database'!N71,"")</f>
        <v>0.0590812107022148</v>
      </c>
      <c r="N54" s="7">
        <f>IFERROR('0. Database'!O77/'0. Database'!O71,"")</f>
        <v>0.0673705116813882</v>
      </c>
      <c r="O54" s="7">
        <f>IFERROR('0. Database'!P77/'0. Database'!P71,"")</f>
        <v>0.111485990926891</v>
      </c>
      <c r="P54" s="7">
        <f>IFERROR('0. Database'!Q77/'0. Database'!Q71,"")</f>
        <v>0.189999957198541</v>
      </c>
      <c r="Q54" s="7">
        <f>IFERROR('0. Database'!R77/'0. Database'!R71,"")</f>
        <v>0.219999992028382</v>
      </c>
      <c r="R54" s="7">
        <f>IFERROR('0. Database'!S77/'0. Database'!S71,"")</f>
        <v>0.239999997578589</v>
      </c>
      <c r="S54" s="7">
        <f>IFERROR('0. Database'!T77/'0. Database'!T71,"")</f>
        <v>0.259999995688612</v>
      </c>
    </row>
  </sheetData>
  <mergeCells count="7">
    <mergeCell ref="A1:T1"/>
    <mergeCell ref="A3:S3"/>
    <mergeCell ref="A12:S12"/>
    <mergeCell ref="A21:S21"/>
    <mergeCell ref="A30:S30"/>
    <mergeCell ref="A39:S39"/>
    <mergeCell ref="A48:S48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0. Database</vt:lpstr>
      <vt:lpstr>1. Summary</vt:lpstr>
      <vt:lpstr>2. Revenue</vt:lpstr>
      <vt:lpstr>3. Capex &amp; D&amp;A</vt:lpstr>
      <vt:lpstr>4. FCF &amp; Cash</vt:lpstr>
      <vt:lpstr>5. EPS &amp; Margins</vt:lpstr>
      <vt:lpstr>6. Depreciation Sensitivity</vt:lpstr>
      <vt:lpstr>7. SP500 AI EPS Split</vt:lpstr>
      <vt:lpstr>8. 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卡琦末 淋雨的雨季</cp:lastModifiedBy>
  <cp:revision>2</cp:revision>
  <dcterms:created xsi:type="dcterms:W3CDTF">2026-05-07T01:12:00Z</dcterms:created>
  <dcterms:modified xsi:type="dcterms:W3CDTF">2026-05-07T01:22:43Z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E8007BEAAB1844E589517BC9DEC7C281_12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
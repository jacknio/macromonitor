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Database" sheetId="1" state="visible" r:id="rId3"/>
    <sheet name="1. Summary" sheetId="2" state="visible" r:id="rId4"/>
    <sheet name="2. Revenue" sheetId="3" state="visible" r:id="rId5"/>
    <sheet name="3. Capex &amp; D&amp;A" sheetId="4" state="visible" r:id="rId6"/>
    <sheet name="4. FCF &amp; Cash" sheetId="5" state="visible" r:id="rId7"/>
    <sheet name="5. EPS &amp; Margins" sheetId="6" state="visible" r:id="rId8"/>
    <sheet name="6. 折旧敏感性 Depreciation" sheetId="7" state="visible" r:id="rId9"/>
    <sheet name="7. SP500 AI EPS Split" sheetId="8" state="visible" r:id="rId10"/>
    <sheet name="8. Char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<sst xmlns="http://schemas.openxmlformats.org/spreadsheetml/2006/main" count="1329" uniqueCount="278">
  <si>
    <t xml:space="preserve">Centralized Database (USD mm except EPS/shares) — Blue = input</t>
  </si>
  <si>
    <t xml:space="preserve">Ticker</t>
  </si>
  <si>
    <t xml:space="preserve">Metric</t>
  </si>
  <si>
    <t xml:space="preserve">2013A</t>
  </si>
  <si>
    <t xml:space="preserve">2014A</t>
  </si>
  <si>
    <t xml:space="preserve">2015A</t>
  </si>
  <si>
    <t xml:space="preserve">2016A</t>
  </si>
  <si>
    <t xml:space="preserve">2017A</t>
  </si>
  <si>
    <t xml:space="preserve">2018A</t>
  </si>
  <si>
    <t xml:space="preserve">2019A</t>
  </si>
  <si>
    <t xml:space="preserve">2020A</t>
  </si>
  <si>
    <t xml:space="preserve">2021A</t>
  </si>
  <si>
    <t xml:space="preserve">2022A</t>
  </si>
  <si>
    <t xml:space="preserve">2023A</t>
  </si>
  <si>
    <t xml:space="preserve">2024A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</si>
  <si>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</si>
  <si>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</si>
  <si>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</si>
  <si>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</si>
  <si>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</si>
  <si>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</si>
  <si>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MSFT (FY(Jun))</t>
  </si>
  <si>
    <t xml:space="preserve">MSFT</t>
  </si>
  <si>
    <t xml:space="preserve">Revenue</t>
  </si>
  <si>
    <t xml:space="preserve">Operating Income</t>
  </si>
  <si>
    <t xml:space="preserve">Net Income</t>
  </si>
  <si>
    <t xml:space="preserve">EPS</t>
  </si>
  <si>
    <t xml:space="preserve">Diluted Shares (mm)</t>
  </si>
  <si>
    <t xml:space="preserve">SBC</t>
  </si>
  <si>
    <t xml:space="preserve">D&amp;A</t>
  </si>
  <si>
    <t xml:space="preserve">Capex</t>
  </si>
  <si>
    <t xml:space="preserve">CFO</t>
  </si>
  <si>
    <t xml:space="preserve">FCF</t>
  </si>
  <si>
    <t xml:space="preserve">Buybacks</t>
  </si>
  <si>
    <t xml:space="preserve">Intell Cloud</t>
  </si>
  <si>
    <t xml:space="preserve">PP&amp;E Net</t>
  </si>
  <si>
    <t xml:space="preserve">Useful Life(yr)</t>
  </si>
  <si>
    <t xml:space="preserve">AMZN (CY)</t>
  </si>
  <si>
    <t xml:space="preserve">AMZN</t>
  </si>
  <si>
    <t xml:space="preserve">AWS Rev</t>
  </si>
  <si>
    <t xml:space="preserve">AWS OI</t>
  </si>
  <si>
    <t xml:space="preserve">GOOGL (CY)</t>
  </si>
  <si>
    <t xml:space="preserve">GOOGL</t>
  </si>
  <si>
    <t xml:space="preserve">Cloud Rev</t>
  </si>
  <si>
    <t xml:space="preserve">Search Rev</t>
  </si>
  <si>
    <t xml:space="preserve">YouTube Rev</t>
  </si>
  <si>
    <t xml:space="preserve">GCloud OI</t>
  </si>
  <si>
    <t xml:space="preserve">META (CY)</t>
  </si>
  <si>
    <t xml:space="preserve">META</t>
  </si>
  <si>
    <t xml:space="preserve">Ad Rev(META)</t>
  </si>
  <si>
    <t xml:space="preserve">FOA Rev</t>
  </si>
  <si>
    <t xml:space="preserve">FOA OI</t>
  </si>
  <si>
    <t xml:space="preserve">RL Rev</t>
  </si>
  <si>
    <t xml:space="preserve">RL OI</t>
  </si>
  <si>
    <t xml:space="preserve">ORCL (FY(May))</t>
  </si>
  <si>
    <t xml:space="preserve">ORCL</t>
  </si>
  <si>
    <t xml:space="preserve">Cloud Total(ORCL)</t>
  </si>
  <si>
    <t xml:space="preserve">IaaS Rev</t>
  </si>
  <si>
    <t xml:space="preserve">SaaS Rev</t>
  </si>
  <si>
    <t xml:space="preserve">RPO</t>
  </si>
  <si>
    <t xml:space="preserve">OpInc(Adj)</t>
  </si>
  <si>
    <t xml:space="preserve">EPS(Adj)</t>
  </si>
  <si>
    <t xml:space="preserve">AI Capex Cycle: Hyperscaler Deep-Dive (2013-2030)</t>
  </si>
  <si>
    <t xml:space="preserve">MSFT | AMZN | GOOGL | META | ORCL + S&amp;P 500 AI EPS Decomposition</t>
  </si>
  <si>
    <t xml:space="preserve">SHEETS</t>
  </si>
  <si>
    <t xml:space="preserve">0. Database — 2013-2030 centralized data. Blue=input. All other sheets reference this.</t>
  </si>
  <si>
    <t xml:space="preserve">1. Summary — This page</t>
  </si>
  <si>
    <t xml:space="preserve">2. Revenue — Total rev, YoY%, Cloud/AI proxy. Derived metrics reference SAME sheet cells (black font).</t>
  </si>
  <si>
    <t xml:space="preserve">3. Capex &amp; D&amp;A — Capex, Capex/Rev, D&amp;A, D&amp;A/Rev. Local formulas reference raw data on same sheet.</t>
  </si>
  <si>
    <t xml:space="preserve">4. FCF &amp; Cash — CFO, FCF margin, FCF/NI, Capex/CFO. All ratios use same-sheet references.</t>
  </si>
  <si>
    <t xml:space="preserve">5. EPS &amp; Margins — OpMargin, Net Margin, EPS YoY. Same-sheet referencing pattern.</t>
  </si>
  <si>
    <t xml:space="preserve">6. Burry Sensitivity — GPU life compression on 2026E EPS. Editable tax rate assumptions.</t>
  </si>
  <si>
    <t xml:space="preserve">7. S&amp;P 500 AI EPS Split — AI vs Non-AI EPS decomposition + dual P/E valuation + 4 stress scenarios.</t>
  </si>
  <si>
    <t xml:space="preserve">8. Charts — 6 visualizations (Capex/Rev, FCF Margin, Capex absolute, Rev YoY, OpMargin, D&amp;A/Rev).</t>
  </si>
  <si>
    <t xml:space="preserve">Revenue &amp; AI/Cloud Detail (2013-2030E)</t>
  </si>
  <si>
    <t xml:space="preserve">A. Total Revenue ($mm)</t>
  </si>
  <si>
    <t xml:space="preserve">Company</t>
  </si>
  <si>
    <t xml:space="preserve">C. Cloud / AI Proxy Revenue ($mm)</t>
  </si>
  <si>
    <t xml:space="preserve">MSFT — Azure</t>
  </si>
  <si>
    <t xml:space="preserve">AMZN — AWS</t>
  </si>
  <si>
    <t xml:space="preserve">GOOGL — Cloud</t>
  </si>
  <si>
    <t xml:space="preserve">META — Advertising</t>
  </si>
  <si>
    <t xml:space="preserve">ORCL — Cloud Total</t>
  </si>
  <si>
    <t xml:space="preserve">B. Revenue YoY %</t>
  </si>
  <si>
    <t xml:space="preserve">Capex &amp; Depreciation (2013-2030E)</t>
  </si>
  <si>
    <t xml:space="preserve">A. Capex ($mm)</t>
  </si>
  <si>
    <t xml:space="preserve">D. D&amp;A ($mm)</t>
  </si>
  <si>
    <t xml:space="preserve">(Revenue — for ratios)</t>
  </si>
  <si>
    <t xml:space="preserve">B. Capex YoY %</t>
  </si>
  <si>
    <t xml:space="preserve">C. Capex / Revenue %</t>
  </si>
  <si>
    <t xml:space="preserve">E. D&amp;A / Revenue %</t>
  </si>
  <si>
    <t xml:space="preserve">F. D&amp;A YoY %</t>
  </si>
  <si>
    <t xml:space="preserve">FCF &amp; Cash Quality (2013-2030E)</t>
  </si>
  <si>
    <t xml:space="preserve">A. CFO ($mm)</t>
  </si>
  <si>
    <t xml:space="preserve">B. FCF ($mm)</t>
  </si>
  <si>
    <t xml:space="preserve">E. Buybacks ($mm)</t>
  </si>
  <si>
    <t xml:space="preserve">(Revenue)</t>
  </si>
  <si>
    <t xml:space="preserve">(NI)</t>
  </si>
  <si>
    <t xml:space="preserve">(Capex)</t>
  </si>
  <si>
    <t xml:space="preserve">C. FCF Margin %</t>
  </si>
  <si>
    <t xml:space="preserve">D. FCF / Net Income %</t>
  </si>
  <si>
    <t xml:space="preserve">F. Capex / CFO %</t>
  </si>
  <si>
    <t xml:space="preserve">EPS, OpMargin &amp; Profitability (2013-2030E)</t>
  </si>
  <si>
    <t xml:space="preserve">A. Operating Income ($mm)</t>
  </si>
  <si>
    <t xml:space="preserve">C. Net Income ($mm)</t>
  </si>
  <si>
    <t xml:space="preserve">E. EPS ($)</t>
  </si>
  <si>
    <t xml:space="preserve">G. Diluted Shares (mm)</t>
  </si>
  <si>
    <t xml:space="preserve">H. SBC ($mm)</t>
  </si>
  <si>
    <t xml:space="preserve">B. Operating Margin %</t>
  </si>
  <si>
    <t xml:space="preserve">D. Net Margin %</t>
  </si>
  <si>
    <t xml:space="preserve">F. EPS YoY %</t>
  </si>
  <si>
    <t xml:space="preserve">折旧敏感性分析: 基于 MSFT 实际 PP&amp;E 拆分的 Proxy 方法</t>
  </si>
  <si>
    <r>
      <rPr>
        <b val="true"/>
        <sz val="10"/>
        <color rgb="FFFFFFFF"/>
        <rFont val="Arial"/>
        <family val="0"/>
        <charset val="1"/>
      </rPr>
      <t xml:space="preserve">A. MSFT </t>
    </r>
    <r>
      <rPr>
        <b val="true"/>
        <sz val="10"/>
        <color rgb="FFFFFFFF"/>
        <rFont val="Noto Sans CJK SC"/>
        <family val="2"/>
      </rPr>
      <t xml:space="preserve">实际 </t>
    </r>
    <r>
      <rPr>
        <b val="true"/>
        <sz val="10"/>
        <color rgb="FFFFFFFF"/>
        <rFont val="Arial"/>
        <family val="0"/>
        <charset val="1"/>
      </rPr>
      <t xml:space="preserve">PP&amp;E/Capex </t>
    </r>
    <r>
      <rPr>
        <b val="true"/>
        <sz val="10"/>
        <color rgb="FFFFFFFF"/>
        <rFont val="Noto Sans CJK SC"/>
        <family val="2"/>
      </rPr>
      <t xml:space="preserve">拆分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来源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你的模型 </t>
    </r>
    <r>
      <rPr>
        <b val="true"/>
        <sz val="10"/>
        <color rgb="FFFFFFFF"/>
        <rFont val="Arial"/>
        <family val="0"/>
        <charset val="1"/>
      </rPr>
      <t xml:space="preserve">Capex sheet — ✅ </t>
    </r>
    <r>
      <rPr>
        <b val="true"/>
        <sz val="10"/>
        <color rgb="FFFFFFFF"/>
        <rFont val="Noto Sans CJK SC"/>
        <family val="2"/>
      </rPr>
      <t xml:space="preserve">硬数据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</si>
  <si>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蓝字 = 直接从 MSFT 模型 Capex sheet 提取的实际数据. 这是整个分析的基石 — 唯一有公司级 PP&amp;E 明细的标的.</t>
  </si>
  <si>
    <t xml:space="preserve">指标 (MSFT FY)</t>
  </si>
  <si>
    <t xml:space="preserve">FY2020A</t>
  </si>
  <si>
    <t xml:space="preserve">FY2021A</t>
  </si>
  <si>
    <t xml:space="preserve">FY2022A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</si>
  <si>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</si>
  <si>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</si>
  <si>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</si>
  <si>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</si>
  <si>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</si>
  <si>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</si>
  <si>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</si>
  <si>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</si>
  <si>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r>
      <rPr>
        <b val="true"/>
        <sz val="9"/>
        <color rgb="FF000000"/>
        <rFont val="Arial"/>
        <family val="0"/>
        <charset val="1"/>
      </rPr>
      <t xml:space="preserve">IT</t>
    </r>
    <r>
      <rPr>
        <b val="true"/>
        <sz val="9"/>
        <color rgb="FF000000"/>
        <rFont val="Noto Sans CJK SC"/>
        <family val="2"/>
      </rPr>
      <t xml:space="preserve">设备 </t>
    </r>
    <r>
      <rPr>
        <b val="true"/>
        <sz val="9"/>
        <color rgb="FF000000"/>
        <rFont val="Arial"/>
        <family val="0"/>
        <charset val="1"/>
      </rPr>
      <t xml:space="preserve">Capex ($mm)</t>
    </r>
  </si>
  <si>
    <t xml:space="preserve">建筑 Capex ($mm)</t>
  </si>
  <si>
    <t xml:space="preserve">融资租赁 Capex ($mm)</t>
  </si>
  <si>
    <t xml:space="preserve">其他 Capex ($mm)</t>
  </si>
  <si>
    <t xml:space="preserve">总 Capex ($mm)</t>
  </si>
  <si>
    <r>
      <rPr>
        <b val="true"/>
        <sz val="9"/>
        <color rgb="FF000000"/>
        <rFont val="Arial"/>
        <family val="0"/>
        <charset val="1"/>
      </rPr>
      <t xml:space="preserve">IT</t>
    </r>
    <r>
      <rPr>
        <b val="true"/>
        <sz val="9"/>
        <color rgb="FF000000"/>
        <rFont val="Noto Sans CJK SC"/>
        <family val="2"/>
      </rPr>
      <t xml:space="preserve">设备 </t>
    </r>
    <r>
      <rPr>
        <b val="true"/>
        <sz val="9"/>
        <color rgb="FF000000"/>
        <rFont val="Arial"/>
        <family val="0"/>
        <charset val="1"/>
      </rPr>
      <t xml:space="preserve">% of Capex</t>
    </r>
  </si>
  <si>
    <r>
      <rPr>
        <b val="true"/>
        <sz val="9"/>
        <color rgb="FF000000"/>
        <rFont val="Arial"/>
        <family val="0"/>
        <charset val="1"/>
      </rPr>
      <t xml:space="preserve">IT</t>
    </r>
    <r>
      <rPr>
        <b val="true"/>
        <sz val="9"/>
        <color rgb="FF000000"/>
        <rFont val="Noto Sans CJK SC"/>
        <family val="2"/>
      </rPr>
      <t xml:space="preserve">设备 </t>
    </r>
    <r>
      <rPr>
        <b val="true"/>
        <sz val="9"/>
        <color rgb="FF000000"/>
        <rFont val="Arial"/>
        <family val="0"/>
        <charset val="1"/>
      </rPr>
      <t xml:space="preserve">D&amp;A ($mm)</t>
    </r>
  </si>
  <si>
    <t xml:space="preserve">建筑 D&amp;A ($mm)</t>
  </si>
  <si>
    <t xml:space="preserve">总 D&amp;A ($mm)</t>
  </si>
  <si>
    <r>
      <rPr>
        <b val="true"/>
        <sz val="9"/>
        <color rgb="FF000000"/>
        <rFont val="Arial"/>
        <family val="0"/>
        <charset val="1"/>
      </rPr>
      <t xml:space="preserve">IT D&amp;A % of </t>
    </r>
    <r>
      <rPr>
        <b val="true"/>
        <sz val="9"/>
        <color rgb="FF000000"/>
        <rFont val="Noto Sans CJK SC"/>
        <family val="2"/>
      </rPr>
      <t xml:space="preserve">总</t>
    </r>
    <r>
      <rPr>
        <b val="true"/>
        <sz val="9"/>
        <color rgb="FF000000"/>
        <rFont val="Arial"/>
        <family val="0"/>
        <charset val="1"/>
      </rPr>
      <t xml:space="preserve">D&amp;A</t>
    </r>
  </si>
  <si>
    <r>
      <rPr>
        <sz val="9"/>
        <color rgb="FF000000"/>
        <rFont val="Arial"/>
        <family val="0"/>
        <charset val="1"/>
      </rPr>
      <t xml:space="preserve">IT</t>
    </r>
    <r>
      <rPr>
        <sz val="9"/>
        <color rgb="FF000000"/>
        <rFont val="Noto Sans CJK SC"/>
        <family val="2"/>
      </rPr>
      <t xml:space="preserve">设备折旧年限</t>
    </r>
  </si>
  <si>
    <t xml:space="preserve">建筑折旧年限</t>
  </si>
  <si>
    <t xml:space="preserve">📌 关键发现: IT设备从 pre-AI 的 ~35% 跳到 AI 时代的 59%. IT 贡献了 66-73% 的总折旧 (因为 IT 6年 vs 建筑 15年). 这就是 Burry 论点的真正攻击面.</t>
  </si>
  <si>
    <r>
      <rPr>
        <b val="true"/>
        <sz val="10"/>
        <color rgb="FFFFFFFF"/>
        <rFont val="Arial"/>
        <family val="0"/>
        <charset val="1"/>
      </rPr>
      <t xml:space="preserve">B. IT</t>
    </r>
    <r>
      <rPr>
        <b val="true"/>
        <sz val="10"/>
        <color rgb="FFFFFFFF"/>
        <rFont val="Noto Sans CJK SC"/>
        <family val="2"/>
      </rPr>
      <t xml:space="preserve">设备占比估算</t>
    </r>
    <r>
      <rPr>
        <b val="true"/>
        <sz val="10"/>
        <color rgb="FFFFFFFF"/>
        <rFont val="Arial"/>
        <family val="0"/>
        <charset val="1"/>
      </rPr>
      <t xml:space="preserve">: MSFT </t>
    </r>
    <r>
      <rPr>
        <b val="true"/>
        <sz val="10"/>
        <color rgb="FFFFFFFF"/>
        <rFont val="Noto Sans CJK SC"/>
        <family val="2"/>
      </rPr>
      <t xml:space="preserve">硬数据 → 其他 </t>
    </r>
    <r>
      <rPr>
        <b val="true"/>
        <sz val="10"/>
        <color rgb="FFFFFFFF"/>
        <rFont val="Arial"/>
        <family val="0"/>
        <charset val="1"/>
      </rPr>
      <t xml:space="preserve">4 </t>
    </r>
    <r>
      <rPr>
        <b val="true"/>
        <sz val="10"/>
        <color rgb="FFFFFFFF"/>
        <rFont val="Noto Sans CJK SC"/>
        <family val="2"/>
      </rPr>
      <t xml:space="preserve">家 </t>
    </r>
    <r>
      <rPr>
        <b val="true"/>
        <sz val="10"/>
        <color rgb="FFFFFFFF"/>
        <rFont val="Arial"/>
        <family val="0"/>
        <charset val="1"/>
      </rPr>
      <t xml:space="preserve">Proxy (⚠️ </t>
    </r>
    <r>
      <rPr>
        <b val="true"/>
        <sz val="10"/>
        <color rgb="FFFFFFFF"/>
        <rFont val="Noto Sans CJK SC"/>
        <family val="2"/>
      </rPr>
      <t xml:space="preserve">估计值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有据但不可完全验证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</si>
  <si>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公司</t>
  </si>
  <si>
    <r>
      <rPr>
        <b val="true"/>
        <sz val="7"/>
        <color rgb="FFFFFFFF"/>
        <rFont val="Arial"/>
        <family val="0"/>
        <charset val="1"/>
      </rPr>
      <t xml:space="preserve">IT</t>
    </r>
    <r>
      <rPr>
        <b val="true"/>
        <sz val="7"/>
        <color rgb="FFFFFFFF"/>
        <rFont val="Noto Sans CJK SC"/>
        <family val="2"/>
      </rPr>
      <t xml:space="preserve">设备占
</t>
    </r>
    <r>
      <rPr>
        <b val="true"/>
        <sz val="7"/>
        <color rgb="FFFFFFFF"/>
        <rFont val="Arial"/>
        <family val="0"/>
        <charset val="1"/>
      </rPr>
      <t xml:space="preserve">Capex</t>
    </r>
    <r>
      <rPr>
        <b val="true"/>
        <sz val="7"/>
        <color rgb="FFFFFFFF"/>
        <rFont val="Noto Sans CJK SC"/>
        <family val="2"/>
      </rPr>
      <t xml:space="preserve">比例</t>
    </r>
  </si>
  <si>
    <t xml:space="preserve">估算依据
(可信度)</t>
  </si>
  <si>
    <r>
      <rPr>
        <b val="true"/>
        <sz val="7"/>
        <color rgb="FFFFFFFF"/>
        <rFont val="Arial"/>
        <family val="0"/>
        <charset val="1"/>
      </rPr>
      <t xml:space="preserve">IT</t>
    </r>
    <r>
      <rPr>
        <b val="true"/>
        <sz val="7"/>
        <color rgb="FFFFFFFF"/>
        <rFont val="Noto Sans CJK SC"/>
        <family val="2"/>
      </rPr>
      <t xml:space="preserve">设备
折旧年限</t>
    </r>
  </si>
  <si>
    <t xml:space="preserve">建筑+电力
占Capex%</t>
  </si>
  <si>
    <t xml:space="preserve">建筑
折旧年限</t>
  </si>
  <si>
    <t xml:space="preserve">其他
(物流/办公)%</t>
  </si>
  <si>
    <t xml:space="preserve">其他
折旧年限</t>
  </si>
  <si>
    <t xml:space="preserve">✅ 硬数据: 模型 Capex sheet Row 90 = 50.1% gross PP&amp;E; capex share 59%</t>
  </si>
  <si>
    <t xml:space="preserve">⚠️ 估计: 10-K Equipment $185B 含卡车/飞机/机器人; AWS服务器仅 ~40-45% (Behind the Balance Sheet分析)</t>
  </si>
  <si>
    <t xml:space="preserve">⚠️ 估计: MBI Deep Dives确认 IT assets 稳定 ~45% of PP&amp;E; capex share应更高 (自研TPU集中在IT)</t>
  </si>
  <si>
    <t xml:space="preserve">⚠️ 估计: 纯数据中心公司, 无物流/零售; 1.3M GPU; server+network是PP&amp;E最大最快增长项 (MBI)</t>
  </si>
  <si>
    <t xml:space="preserve">⚠️ 估计: OCI从零建起, 新建期 buildings比例偏高; 但策略偏租赁+GPU采购; IT占比中等</t>
  </si>
  <si>
    <r>
      <rPr>
        <b val="true"/>
        <sz val="10"/>
        <color rgb="FFFFFFFF"/>
        <rFont val="Arial"/>
        <family val="0"/>
        <charset val="1"/>
      </rPr>
      <t xml:space="preserve">C. 2026E </t>
    </r>
    <r>
      <rPr>
        <b val="true"/>
        <sz val="10"/>
        <color rgb="FFFFFFFF"/>
        <rFont val="Noto Sans CJK SC"/>
        <family val="2"/>
      </rPr>
      <t xml:space="preserve">基础数据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从 </t>
    </r>
    <r>
      <rPr>
        <b val="true"/>
        <sz val="10"/>
        <color rgb="FFFFFFFF"/>
        <rFont val="Arial"/>
        <family val="0"/>
        <charset val="1"/>
      </rPr>
      <t xml:space="preserve">Database sheet </t>
    </r>
    <r>
      <rPr>
        <b val="true"/>
        <sz val="10"/>
        <color rgb="FFFFFFFF"/>
        <rFont val="Noto Sans CJK SC"/>
        <family val="2"/>
      </rPr>
      <t xml:space="preserve">拉取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</si>
  <si>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2026E Capex
($mm)</t>
  </si>
  <si>
    <t xml:space="preserve">2026E D&amp;A
($mm)</t>
  </si>
  <si>
    <t xml:space="preserve">2026E NI
($mm)</t>
  </si>
  <si>
    <t xml:space="preserve">2026E EPS
($)</t>
  </si>
  <si>
    <t xml:space="preserve">Shares
(mm)</t>
  </si>
  <si>
    <r>
      <rPr>
        <b val="true"/>
        <sz val="7"/>
        <color rgb="FFFFFFFF"/>
        <rFont val="Arial"/>
        <family val="0"/>
        <charset val="1"/>
      </rPr>
      <t xml:space="preserve">Tax Rate
(</t>
    </r>
    <r>
      <rPr>
        <b val="true"/>
        <sz val="7"/>
        <color rgb="FFFFFFFF"/>
        <rFont val="Noto Sans CJK SC"/>
        <family val="2"/>
      </rPr>
      <t xml:space="preserve">可编辑</t>
    </r>
    <r>
      <rPr>
        <b val="true"/>
        <sz val="7"/>
        <color rgb="FFFFFFFF"/>
        <rFont val="Arial"/>
        <family val="0"/>
        <charset val="1"/>
      </rPr>
      <t xml:space="preserve">)</t>
    </r>
  </si>
  <si>
    <t xml:space="preserve">Depr Base
= Capex×wtd life</t>
  </si>
  <si>
    <r>
      <rPr>
        <b val="true"/>
        <sz val="10"/>
        <color rgb="FFFFFFFF"/>
        <rFont val="Arial"/>
        <family val="0"/>
        <charset val="1"/>
      </rPr>
      <t xml:space="preserve">D. </t>
    </r>
    <r>
      <rPr>
        <b val="true"/>
        <sz val="10"/>
        <color rgb="FFFFFFFF"/>
        <rFont val="Noto Sans CJK SC"/>
        <family val="2"/>
      </rPr>
      <t xml:space="preserve">核心敏感性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仅压缩 </t>
    </r>
    <r>
      <rPr>
        <b val="true"/>
        <sz val="10"/>
        <color rgb="FFFFFFFF"/>
        <rFont val="Arial"/>
        <family val="0"/>
        <charset val="1"/>
      </rPr>
      <t xml:space="preserve">IT</t>
    </r>
    <r>
      <rPr>
        <b val="true"/>
        <sz val="10"/>
        <color rgb="FFFFFFFF"/>
        <rFont val="Noto Sans CJK SC"/>
        <family val="2"/>
      </rPr>
      <t xml:space="preserve">设备寿命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建筑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电力不变</t>
    </r>
    <r>
      <rPr>
        <b val="true"/>
        <sz val="10"/>
        <color rgb="FFFFFFFF"/>
        <rFont val="Arial"/>
        <family val="0"/>
        <charset val="1"/>
      </rPr>
      <t xml:space="preserve">) — Straight-Line</t>
    </r>
  </si>
  <si>
    <t xml:space="preserve">逻辑: 新D&amp;A = IT部分按新寿命折旧 + 建筑按原寿命不变 + 其他按原寿命不变. 仅IT部分受Burry论点影响.</t>
  </si>
  <si>
    <r>
      <rPr>
        <b val="true"/>
        <sz val="10"/>
        <color rgb="FF000000"/>
        <rFont val="Arial"/>
        <family val="0"/>
        <charset val="1"/>
      </rPr>
      <t xml:space="preserve">IT</t>
    </r>
    <r>
      <rPr>
        <b val="true"/>
        <sz val="10"/>
        <color rgb="FF000000"/>
        <rFont val="Noto Sans CJK SC"/>
        <family val="2"/>
      </rPr>
      <t xml:space="preserve">设备寿命 </t>
    </r>
    <r>
      <rPr>
        <b val="true"/>
        <sz val="10"/>
        <color rgb="FF000000"/>
        <rFont val="Arial"/>
        <family val="0"/>
        <charset val="1"/>
      </rPr>
      <t xml:space="preserve">= 6 </t>
    </r>
    <r>
      <rPr>
        <b val="true"/>
        <sz val="10"/>
        <color rgb="FF000000"/>
        <rFont val="Noto Sans CJK SC"/>
        <family val="2"/>
      </rPr>
      <t xml:space="preserve">年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建筑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其他不变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</si>
  <si>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7"/>
        <color rgb="FFFFFFFF"/>
        <rFont val="Arial"/>
        <family val="0"/>
        <charset val="1"/>
      </rPr>
      <t xml:space="preserve">IT</t>
    </r>
    <r>
      <rPr>
        <b val="true"/>
        <sz val="7"/>
        <color rgb="FFFFFFFF"/>
        <rFont val="Noto Sans CJK SC"/>
        <family val="2"/>
      </rPr>
      <t xml:space="preserve">新</t>
    </r>
    <r>
      <rPr>
        <b val="true"/>
        <sz val="7"/>
        <color rgb="FFFFFFFF"/>
        <rFont val="Arial"/>
        <family val="0"/>
        <charset val="1"/>
      </rPr>
      <t xml:space="preserve">D&amp;A
($mm)</t>
    </r>
  </si>
  <si>
    <t xml:space="preserve">建筑D&amp;A
(不变,$mm)</t>
  </si>
  <si>
    <t xml:space="preserve">其他D&amp;A
(不变,$mm)</t>
  </si>
  <si>
    <t xml:space="preserve">新总D&amp;A
($mm)</t>
  </si>
  <si>
    <t xml:space="preserve">当前D&amp;A
($mm)</t>
  </si>
  <si>
    <t xml:space="preserve">ΔD&amp;A
($mm)</t>
  </si>
  <si>
    <r>
      <rPr>
        <b val="true"/>
        <sz val="7"/>
        <color rgb="FFFFFFFF"/>
        <rFont val="Arial"/>
        <family val="0"/>
        <charset val="1"/>
      </rPr>
      <t xml:space="preserve">Δ</t>
    </r>
    <r>
      <rPr>
        <b val="true"/>
        <sz val="7"/>
        <color rgb="FFFFFFFF"/>
        <rFont val="Noto Sans CJK SC"/>
        <family val="2"/>
      </rPr>
      <t xml:space="preserve">税后
</t>
    </r>
    <r>
      <rPr>
        <b val="true"/>
        <sz val="7"/>
        <color rgb="FFFFFFFF"/>
        <rFont val="Arial"/>
        <family val="0"/>
        <charset val="1"/>
      </rPr>
      <t xml:space="preserve">($mm)</t>
    </r>
  </si>
  <si>
    <t xml:space="preserve">调整NI
($mm)</t>
  </si>
  <si>
    <t xml:space="preserve">调整EPS
($)</t>
  </si>
  <si>
    <r>
      <rPr>
        <b val="true"/>
        <sz val="7"/>
        <color rgb="FFFFFFFF"/>
        <rFont val="Arial"/>
        <family val="0"/>
        <charset val="1"/>
      </rPr>
      <t xml:space="preserve">EPS</t>
    </r>
    <r>
      <rPr>
        <b val="true"/>
        <sz val="7"/>
        <color rgb="FFFFFFFF"/>
        <rFont val="Noto Sans CJK SC"/>
        <family val="2"/>
      </rPr>
      <t xml:space="preserve">变化</t>
    </r>
    <r>
      <rPr>
        <b val="true"/>
        <sz val="7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</si>
  <si>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000000"/>
        <rFont val="Arial"/>
        <family val="0"/>
        <charset val="1"/>
      </rPr>
      <t xml:space="preserve">IT</t>
    </r>
    <r>
      <rPr>
        <b val="true"/>
        <sz val="10"/>
        <color rgb="FF000000"/>
        <rFont val="Noto Sans CJK SC"/>
        <family val="2"/>
      </rPr>
      <t xml:space="preserve">设备寿命 </t>
    </r>
    <r>
      <rPr>
        <b val="true"/>
        <sz val="10"/>
        <color rgb="FF000000"/>
        <rFont val="Arial"/>
        <family val="0"/>
        <charset val="1"/>
      </rPr>
      <t xml:space="preserve">= 5 </t>
    </r>
    <r>
      <rPr>
        <b val="true"/>
        <sz val="10"/>
        <color rgb="FF000000"/>
        <rFont val="Noto Sans CJK SC"/>
        <family val="2"/>
      </rPr>
      <t xml:space="preserve">年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建筑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其他不变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</si>
  <si>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IT</t>
    </r>
    <r>
      <rPr>
        <b val="true"/>
        <sz val="10"/>
        <color rgb="FF000000"/>
        <rFont val="Noto Sans CJK SC"/>
        <family val="2"/>
      </rPr>
      <t xml:space="preserve">设备寿命 </t>
    </r>
    <r>
      <rPr>
        <b val="true"/>
        <sz val="10"/>
        <color rgb="FF000000"/>
        <rFont val="Arial"/>
        <family val="0"/>
        <charset val="1"/>
      </rPr>
      <t xml:space="preserve">= 4 </t>
    </r>
    <r>
      <rPr>
        <b val="true"/>
        <sz val="10"/>
        <color rgb="FF000000"/>
        <rFont val="Noto Sans CJK SC"/>
        <family val="2"/>
      </rPr>
      <t xml:space="preserve">年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建筑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其他不变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</si>
  <si>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IT</t>
    </r>
    <r>
      <rPr>
        <b val="true"/>
        <sz val="10"/>
        <color rgb="FF000000"/>
        <rFont val="Noto Sans CJK SC"/>
        <family val="2"/>
      </rPr>
      <t xml:space="preserve">设备寿命 </t>
    </r>
    <r>
      <rPr>
        <b val="true"/>
        <sz val="10"/>
        <color rgb="FF000000"/>
        <rFont val="Arial"/>
        <family val="0"/>
        <charset val="1"/>
      </rPr>
      <t xml:space="preserve">= 3 </t>
    </r>
    <r>
      <rPr>
        <b val="true"/>
        <sz val="10"/>
        <color rgb="FF000000"/>
        <rFont val="Noto Sans CJK SC"/>
        <family val="2"/>
      </rPr>
      <t xml:space="preserve">年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建筑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其他不变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</si>
  <si>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IT</t>
    </r>
    <r>
      <rPr>
        <b val="true"/>
        <sz val="10"/>
        <color rgb="FF000000"/>
        <rFont val="Noto Sans CJK SC"/>
        <family val="2"/>
      </rPr>
      <t xml:space="preserve">设备寿命 </t>
    </r>
    <r>
      <rPr>
        <b val="true"/>
        <sz val="10"/>
        <color rgb="FF000000"/>
        <rFont val="Arial"/>
        <family val="0"/>
        <charset val="1"/>
      </rPr>
      <t xml:space="preserve">= 2 </t>
    </r>
    <r>
      <rPr>
        <b val="true"/>
        <sz val="10"/>
        <color rgb="FF000000"/>
        <rFont val="Noto Sans CJK SC"/>
        <family val="2"/>
      </rPr>
      <t xml:space="preserve">年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建筑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其他不变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</si>
  <si>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E. </t>
    </r>
    <r>
      <rPr>
        <b val="true"/>
        <sz val="10"/>
        <color rgb="FFFFFFFF"/>
        <rFont val="Noto Sans CJK SC"/>
        <family val="2"/>
      </rPr>
      <t xml:space="preserve">汇总</t>
    </r>
    <r>
      <rPr>
        <b val="true"/>
        <sz val="10"/>
        <color rgb="FFFFFFFF"/>
        <rFont val="Arial"/>
        <family val="0"/>
        <charset val="1"/>
      </rPr>
      <t xml:space="preserve">: 2026E EPS </t>
    </r>
    <r>
      <rPr>
        <b val="true"/>
        <sz val="10"/>
        <color rgb="FFFFFFFF"/>
        <rFont val="Noto Sans CJK SC"/>
        <family val="2"/>
      </rPr>
      <t xml:space="preserve">影响 </t>
    </r>
    <r>
      <rPr>
        <b val="true"/>
        <sz val="10"/>
        <color rgb="FFFFFFFF"/>
        <rFont val="Arial"/>
        <family val="0"/>
        <charset val="1"/>
      </rPr>
      <t xml:space="preserve">(%) — </t>
    </r>
    <r>
      <rPr>
        <b val="true"/>
        <sz val="10"/>
        <color rgb="FFFFFFFF"/>
        <rFont val="Noto Sans CJK SC"/>
        <family val="2"/>
      </rPr>
      <t xml:space="preserve">仅压缩</t>
    </r>
    <r>
      <rPr>
        <b val="true"/>
        <sz val="10"/>
        <color rgb="FFFFFFFF"/>
        <rFont val="Arial"/>
        <family val="0"/>
        <charset val="1"/>
      </rPr>
      <t xml:space="preserve">IT</t>
    </r>
    <r>
      <rPr>
        <b val="true"/>
        <sz val="10"/>
        <color rgb="FFFFFFFF"/>
        <rFont val="Noto Sans CJK SC"/>
        <family val="2"/>
      </rPr>
      <t xml:space="preserve">设备 </t>
    </r>
    <r>
      <rPr>
        <b val="true"/>
        <sz val="10"/>
        <color rgb="FFFFFFFF"/>
        <rFont val="Arial"/>
        <family val="0"/>
        <charset val="1"/>
      </rPr>
      <t xml:space="preserve">vs Burry</t>
    </r>
    <r>
      <rPr>
        <b val="true"/>
        <sz val="10"/>
        <color rgb="FFFFFFFF"/>
        <rFont val="Noto Sans CJK SC"/>
        <family val="2"/>
      </rPr>
      <t xml:space="preserve">的全压法 对比</t>
    </r>
  </si>
  <si>
    <t xml:space="preserve">★ 修正法 = 只压缩IT设备寿命, 建筑/电力不变. Burry全压法 = 对全部D&amp;A做寿命压缩 (过于激进).</t>
  </si>
  <si>
    <r>
      <rPr>
        <b val="true"/>
        <sz val="7"/>
        <color rgb="FFFFFFFF"/>
        <rFont val="Arial"/>
        <family val="0"/>
        <charset val="1"/>
      </rPr>
      <t xml:space="preserve">IT</t>
    </r>
    <r>
      <rPr>
        <b val="true"/>
        <sz val="7"/>
        <color rgb="FFFFFFFF"/>
        <rFont val="Noto Sans CJK SC"/>
        <family val="2"/>
      </rPr>
      <t xml:space="preserve">占比
</t>
    </r>
    <r>
      <rPr>
        <b val="true"/>
        <sz val="7"/>
        <color rgb="FFFFFFFF"/>
        <rFont val="Arial"/>
        <family val="0"/>
        <charset val="1"/>
      </rPr>
      <t xml:space="preserve">(</t>
    </r>
    <r>
      <rPr>
        <b val="true"/>
        <sz val="7"/>
        <color rgb="FFFFFFFF"/>
        <rFont val="Noto Sans CJK SC"/>
        <family val="2"/>
      </rPr>
      <t xml:space="preserve">来源</t>
    </r>
    <r>
      <rPr>
        <b val="true"/>
        <sz val="7"/>
        <color rgb="FFFFFFFF"/>
        <rFont val="Arial"/>
        <family val="0"/>
        <charset val="1"/>
      </rPr>
      <t xml:space="preserve">)</t>
    </r>
  </si>
  <si>
    <t xml:space="preserve">当前
加权寿命</t>
  </si>
  <si>
    <t xml:space="preserve">★修正法
IT→4yr
EPS Δ%</t>
  </si>
  <si>
    <t xml:space="preserve">★修正法
IT→3yr
EPS Δ%</t>
  </si>
  <si>
    <r>
      <rPr>
        <b val="true"/>
        <sz val="7"/>
        <color rgb="FFFFFFFF"/>
        <rFont val="Arial"/>
        <family val="0"/>
        <charset val="1"/>
      </rPr>
      <t xml:space="preserve">Burry</t>
    </r>
    <r>
      <rPr>
        <b val="true"/>
        <sz val="7"/>
        <color rgb="FFFFFFFF"/>
        <rFont val="Noto Sans CJK SC"/>
        <family val="2"/>
      </rPr>
      <t xml:space="preserve">全压
→</t>
    </r>
    <r>
      <rPr>
        <b val="true"/>
        <sz val="7"/>
        <color rgb="FFFFFFFF"/>
        <rFont val="Arial"/>
        <family val="0"/>
        <charset val="1"/>
      </rPr>
      <t xml:space="preserve">4yr
EPS Δ%</t>
    </r>
  </si>
  <si>
    <r>
      <rPr>
        <b val="true"/>
        <sz val="7"/>
        <color rgb="FFFFFFFF"/>
        <rFont val="Arial"/>
        <family val="0"/>
        <charset val="1"/>
      </rPr>
      <t xml:space="preserve">Burry</t>
    </r>
    <r>
      <rPr>
        <b val="true"/>
        <sz val="7"/>
        <color rgb="FFFFFFFF"/>
        <rFont val="Noto Sans CJK SC"/>
        <family val="2"/>
      </rPr>
      <t xml:space="preserve">全压
→</t>
    </r>
    <r>
      <rPr>
        <b val="true"/>
        <sz val="7"/>
        <color rgb="FFFFFFFF"/>
        <rFont val="Arial"/>
        <family val="0"/>
        <charset val="1"/>
      </rPr>
      <t xml:space="preserve">3yr
EPS Δ%</t>
    </r>
  </si>
  <si>
    <t xml:space="preserve">修正法
杀伤力
(vs全压)</t>
  </si>
  <si>
    <t xml:space="preserve">结论</t>
  </si>
  <si>
    <t xml:space="preserve">最安全. IT占比有硬数据支撑. 已主动缩寿到4.9yr.</t>
  </si>
  <si>
    <t xml:space="preserve">物流资产大幅稀释. 但D&amp;A绝对额最大, 仍需关注.</t>
  </si>
  <si>
    <t xml:space="preserve">自研TPU增加不确定性. IT占比估计中等可信.</t>
  </si>
  <si>
    <r>
      <rPr>
        <sz val="7"/>
        <color rgb="FF595959"/>
        <rFont val="Arial"/>
        <family val="0"/>
        <charset val="1"/>
      </rPr>
      <t xml:space="preserve">GPU</t>
    </r>
    <r>
      <rPr>
        <sz val="7"/>
        <color rgb="FF595959"/>
        <rFont val="Noto Sans CJK SC"/>
        <family val="2"/>
      </rPr>
      <t xml:space="preserve">浓度最高的纯</t>
    </r>
    <r>
      <rPr>
        <sz val="7"/>
        <color rgb="FF595959"/>
        <rFont val="Arial"/>
        <family val="0"/>
        <charset val="1"/>
      </rPr>
      <t xml:space="preserve">DC</t>
    </r>
    <r>
      <rPr>
        <sz val="7"/>
        <color rgb="FF595959"/>
        <rFont val="Noto Sans CJK SC"/>
        <family val="2"/>
      </rPr>
      <t xml:space="preserve">公司</t>
    </r>
    <r>
      <rPr>
        <sz val="7"/>
        <color rgb="FF595959"/>
        <rFont val="Arial"/>
        <family val="0"/>
        <charset val="1"/>
      </rPr>
      <t xml:space="preserve">. </t>
    </r>
    <r>
      <rPr>
        <sz val="7"/>
        <color rgb="FF595959"/>
        <rFont val="Noto Sans CJK SC"/>
        <family val="2"/>
      </rPr>
      <t xml:space="preserve">冲击比例最大</t>
    </r>
    <r>
      <rPr>
        <sz val="7"/>
        <color rgb="FF595959"/>
        <rFont val="Arial"/>
        <family val="0"/>
        <charset val="1"/>
      </rPr>
      <t xml:space="preserve">.</t>
    </r>
  </si>
  <si>
    <r>
      <rPr>
        <sz val="7"/>
        <color rgb="FF595959"/>
        <rFont val="Arial"/>
        <family val="0"/>
        <charset val="1"/>
      </rPr>
      <t xml:space="preserve">OCI</t>
    </r>
    <r>
      <rPr>
        <sz val="7"/>
        <color rgb="FF595959"/>
        <rFont val="Noto Sans CJK SC"/>
        <family val="2"/>
      </rPr>
      <t xml:space="preserve">新建期</t>
    </r>
    <r>
      <rPr>
        <sz val="7"/>
        <color rgb="FF595959"/>
        <rFont val="Arial"/>
        <family val="0"/>
        <charset val="1"/>
      </rPr>
      <t xml:space="preserve">, building</t>
    </r>
    <r>
      <rPr>
        <sz val="7"/>
        <color rgb="FF595959"/>
        <rFont val="Noto Sans CJK SC"/>
        <family val="2"/>
      </rPr>
      <t xml:space="preserve">比例暂高</t>
    </r>
    <r>
      <rPr>
        <sz val="7"/>
        <color rgb="FF595959"/>
        <rFont val="Arial"/>
        <family val="0"/>
        <charset val="1"/>
      </rPr>
      <t xml:space="preserve">. </t>
    </r>
    <r>
      <rPr>
        <sz val="7"/>
        <color rgb="FF595959"/>
        <rFont val="Noto Sans CJK SC"/>
        <family val="2"/>
      </rPr>
      <t xml:space="preserve">但</t>
    </r>
    <r>
      <rPr>
        <sz val="7"/>
        <color rgb="FF595959"/>
        <rFont val="Arial"/>
        <family val="0"/>
        <charset val="1"/>
      </rPr>
      <t xml:space="preserve">NI</t>
    </r>
    <r>
      <rPr>
        <sz val="7"/>
        <color rgb="FF595959"/>
        <rFont val="Noto Sans CJK SC"/>
        <family val="2"/>
      </rPr>
      <t xml:space="preserve">基数小</t>
    </r>
    <r>
      <rPr>
        <sz val="7"/>
        <color rgb="FF595959"/>
        <rFont val="Arial"/>
        <family val="0"/>
        <charset val="1"/>
      </rPr>
      <t xml:space="preserve">, </t>
    </r>
    <r>
      <rPr>
        <sz val="7"/>
        <color rgb="FF595959"/>
        <rFont val="Noto Sans CJK SC"/>
        <family val="2"/>
      </rPr>
      <t xml:space="preserve">相对冲击大</t>
    </r>
    <r>
      <rPr>
        <sz val="7"/>
        <color rgb="FF595959"/>
        <rFont val="Arial"/>
        <family val="0"/>
        <charset val="1"/>
      </rPr>
      <t xml:space="preserve">.</t>
    </r>
  </si>
  <si>
    <t xml:space="preserve">数据可信度说明</t>
  </si>
  <si>
    <r>
      <rPr>
        <sz val="9"/>
        <color rgb="FF000000"/>
        <rFont val="Arial"/>
        <family val="0"/>
        <charset val="1"/>
      </rPr>
      <t xml:space="preserve">✅ MSFT IT</t>
    </r>
    <r>
      <rPr>
        <sz val="9"/>
        <color rgb="FF000000"/>
        <rFont val="Noto Sans CJK SC"/>
        <family val="2"/>
      </rPr>
      <t xml:space="preserve">设备占比 </t>
    </r>
    <r>
      <rPr>
        <sz val="9"/>
        <color rgb="FF000000"/>
        <rFont val="Arial"/>
        <family val="0"/>
        <charset val="1"/>
      </rPr>
      <t xml:space="preserve">(59% capex, 44.5% PP&amp;E): </t>
    </r>
    <r>
      <rPr>
        <sz val="9"/>
        <color rgb="FF000000"/>
        <rFont val="Noto Sans CJK SC"/>
        <family val="2"/>
      </rPr>
      <t xml:space="preserve">来自你的模型 </t>
    </r>
    <r>
      <rPr>
        <sz val="9"/>
        <color rgb="FF000000"/>
        <rFont val="Arial"/>
        <family val="0"/>
        <charset val="1"/>
      </rPr>
      <t xml:space="preserve">Capex sheet Row 74/90/114 — </t>
    </r>
    <r>
      <rPr>
        <sz val="9"/>
        <color rgb="FF000000"/>
        <rFont val="Noto Sans CJK SC"/>
        <family val="2"/>
      </rPr>
      <t xml:space="preserve">完全可验证</t>
    </r>
  </si>
  <si>
    <r>
      <rPr>
        <sz val="9"/>
        <color rgb="FF000000"/>
        <rFont val="Arial"/>
        <family val="0"/>
        <charset val="1"/>
      </rPr>
      <t xml:space="preserve">✅ MSFT </t>
    </r>
    <r>
      <rPr>
        <sz val="9"/>
        <color rgb="FF000000"/>
        <rFont val="Noto Sans CJK SC"/>
        <family val="2"/>
      </rPr>
      <t xml:space="preserve">折旧年限 </t>
    </r>
    <r>
      <rPr>
        <sz val="9"/>
        <color rgb="FF000000"/>
        <rFont val="Arial"/>
        <family val="0"/>
        <charset val="1"/>
      </rPr>
      <t xml:space="preserve">(IT 6yr, </t>
    </r>
    <r>
      <rPr>
        <sz val="9"/>
        <color rgb="FF000000"/>
        <rFont val="Noto Sans CJK SC"/>
        <family val="2"/>
      </rPr>
      <t xml:space="preserve">建筑 </t>
    </r>
    <r>
      <rPr>
        <sz val="9"/>
        <color rgb="FF000000"/>
        <rFont val="Arial"/>
        <family val="0"/>
        <charset val="1"/>
      </rPr>
      <t xml:space="preserve">15yr): </t>
    </r>
    <r>
      <rPr>
        <sz val="9"/>
        <color rgb="FF000000"/>
        <rFont val="Noto Sans CJK SC"/>
        <family val="2"/>
      </rPr>
      <t xml:space="preserve">来自模型 </t>
    </r>
    <r>
      <rPr>
        <sz val="9"/>
        <color rgb="FF000000"/>
        <rFont val="Arial"/>
        <family val="0"/>
        <charset val="1"/>
      </rPr>
      <t xml:space="preserve">Capex sheet Row 121-125 — </t>
    </r>
    <r>
      <rPr>
        <sz val="9"/>
        <color rgb="FF000000"/>
        <rFont val="Noto Sans CJK SC"/>
        <family val="2"/>
      </rPr>
      <t xml:space="preserve">完全可验证</t>
    </r>
  </si>
  <si>
    <r>
      <rPr>
        <sz val="9"/>
        <color rgb="FF000000"/>
        <rFont val="Arial"/>
        <family val="0"/>
        <charset val="1"/>
      </rPr>
      <t xml:space="preserve">✅ 5</t>
    </r>
    <r>
      <rPr>
        <sz val="9"/>
        <color rgb="FF000000"/>
        <rFont val="Noto Sans CJK SC"/>
        <family val="2"/>
      </rPr>
      <t xml:space="preserve">家的 </t>
    </r>
    <r>
      <rPr>
        <sz val="9"/>
        <color rgb="FF000000"/>
        <rFont val="Arial"/>
        <family val="0"/>
        <charset val="1"/>
      </rPr>
      <t xml:space="preserve">D&amp;A, NI, EPS, Shares, Capex: </t>
    </r>
    <r>
      <rPr>
        <sz val="9"/>
        <color rgb="FF000000"/>
        <rFont val="Noto Sans CJK SC"/>
        <family val="2"/>
      </rPr>
      <t xml:space="preserve">来自各自模型 — 完全可验证</t>
    </r>
  </si>
  <si>
    <r>
      <rPr>
        <sz val="9"/>
        <color rgb="FF000000"/>
        <rFont val="Arial"/>
        <family val="0"/>
        <charset val="1"/>
      </rPr>
      <t xml:space="preserve">⚠️ AMZN/GOOGL/META/ORCL IT</t>
    </r>
    <r>
      <rPr>
        <sz val="9"/>
        <color rgb="FF000000"/>
        <rFont val="Noto Sans CJK SC"/>
        <family val="2"/>
      </rPr>
      <t xml:space="preserve">设备占比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基于 </t>
    </r>
    <r>
      <rPr>
        <sz val="9"/>
        <color rgb="FF000000"/>
        <rFont val="Arial"/>
        <family val="0"/>
        <charset val="1"/>
      </rPr>
      <t xml:space="preserve">MSFT proxy + </t>
    </r>
    <r>
      <rPr>
        <sz val="9"/>
        <color rgb="FF000000"/>
        <rFont val="Noto Sans CJK SC"/>
        <family val="2"/>
      </rPr>
      <t xml:space="preserve">行业报告 </t>
    </r>
    <r>
      <rPr>
        <sz val="9"/>
        <color rgb="FF000000"/>
        <rFont val="Arial"/>
        <family val="0"/>
        <charset val="1"/>
      </rPr>
      <t xml:space="preserve">(MBI, Epoch AI, Behind the Balance Sheet) — </t>
    </r>
    <r>
      <rPr>
        <sz val="9"/>
        <color rgb="FF000000"/>
        <rFont val="Noto Sans CJK SC"/>
        <family val="2"/>
      </rPr>
      <t xml:space="preserve">方向正确但具体数字是估计</t>
    </r>
  </si>
  <si>
    <r>
      <rPr>
        <sz val="9"/>
        <color rgb="FF000000"/>
        <rFont val="Arial"/>
        <family val="0"/>
        <charset val="1"/>
      </rPr>
      <t xml:space="preserve">⚠️ IT</t>
    </r>
    <r>
      <rPr>
        <sz val="9"/>
        <color rgb="FF000000"/>
        <rFont val="Noto Sans CJK SC"/>
        <family val="2"/>
      </rPr>
      <t xml:space="preserve">设备中 </t>
    </r>
    <r>
      <rPr>
        <sz val="9"/>
        <color rgb="FF000000"/>
        <rFont val="Arial"/>
        <family val="0"/>
        <charset val="1"/>
      </rPr>
      <t xml:space="preserve">'AI GPU' </t>
    </r>
    <r>
      <rPr>
        <sz val="9"/>
        <color rgb="FF000000"/>
        <rFont val="Noto Sans CJK SC"/>
        <family val="2"/>
      </rPr>
      <t xml:space="preserve">占多少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任何公司的 </t>
    </r>
    <r>
      <rPr>
        <sz val="9"/>
        <color rgb="FF000000"/>
        <rFont val="Arial"/>
        <family val="0"/>
        <charset val="1"/>
      </rPr>
      <t xml:space="preserve">10-K </t>
    </r>
    <r>
      <rPr>
        <sz val="9"/>
        <color rgb="FF000000"/>
        <rFont val="Noto Sans CJK SC"/>
        <family val="2"/>
      </rPr>
      <t xml:space="preserve">都不披露这个细项 — 完全不可知</t>
    </r>
  </si>
  <si>
    <r>
      <rPr>
        <sz val="9"/>
        <color rgb="FF000000"/>
        <rFont val="Arial"/>
        <family val="0"/>
        <charset val="1"/>
      </rPr>
      <t xml:space="preserve">❌ DDB </t>
    </r>
    <r>
      <rPr>
        <sz val="9"/>
        <color rgb="FF000000"/>
        <rFont val="Noto Sans CJK SC"/>
        <family val="2"/>
      </rPr>
      <t xml:space="preserve">方法</t>
    </r>
    <r>
      <rPr>
        <sz val="9"/>
        <color rgb="FF000000"/>
        <rFont val="Arial"/>
        <family val="0"/>
        <charset val="1"/>
      </rPr>
      <t xml:space="preserve">: GAAP</t>
    </r>
    <r>
      <rPr>
        <sz val="9"/>
        <color rgb="FF000000"/>
        <rFont val="Noto Sans CJK SC"/>
        <family val="2"/>
      </rPr>
      <t xml:space="preserve">下无任何</t>
    </r>
    <r>
      <rPr>
        <sz val="9"/>
        <color rgb="FF000000"/>
        <rFont val="Arial"/>
        <family val="0"/>
        <charset val="1"/>
      </rPr>
      <t xml:space="preserve">hyperscaler</t>
    </r>
    <r>
      <rPr>
        <sz val="9"/>
        <color rgb="FF000000"/>
        <rFont val="Noto Sans CJK SC"/>
        <family val="2"/>
      </rPr>
      <t xml:space="preserve">使用</t>
    </r>
    <r>
      <rPr>
        <sz val="9"/>
        <color rgb="FF000000"/>
        <rFont val="Arial"/>
        <family val="0"/>
        <charset val="1"/>
      </rPr>
      <t xml:space="preserve">DDB</t>
    </r>
    <r>
      <rPr>
        <sz val="9"/>
        <color rgb="FF000000"/>
        <rFont val="Noto Sans CJK SC"/>
        <family val="2"/>
      </rPr>
      <t xml:space="preserve">折旧</t>
    </r>
    <r>
      <rPr>
        <sz val="9"/>
        <color rgb="FF000000"/>
        <rFont val="Arial"/>
        <family val="0"/>
        <charset val="1"/>
      </rPr>
      <t xml:space="preserve">IT</t>
    </r>
    <r>
      <rPr>
        <sz val="9"/>
        <color rgb="FF000000"/>
        <rFont val="Noto Sans CJK SC"/>
        <family val="2"/>
      </rPr>
      <t xml:space="preserve">设备 — 仅作极端压力测试参考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不代表现实可能性</t>
    </r>
  </si>
  <si>
    <t xml:space="preserve">S&amp;P 500: AI vs Non-AI EPS Decomposition + Dual P/E Valuation</t>
  </si>
  <si>
    <t xml:space="preserve">A. S&amp;P 500 Actual Operating EPS + sell-side Cash Spending Framework</t>
  </si>
  <si>
    <t xml:space="preserve">EPS: FactSet actual (2018-2024), consensus estimates (2025+). Capex/Buybacks: sell-side research (May 7 2026 report). Yellow = editable.</t>
  </si>
  <si>
    <t xml:space="preserve">2025A</t>
  </si>
  <si>
    <t xml:space="preserve">S&amp;P 500 Operating EPS ($)</t>
  </si>
  <si>
    <t xml:space="preserve">S&amp;P 500 Capex ($B) — sell-side research</t>
  </si>
  <si>
    <t xml:space="preserve">Hyperscaler AI Capex ($B) — 5 cos</t>
  </si>
  <si>
    <t xml:space="preserve">S&amp;P 500 Buybacks ($B) — sell-side research</t>
  </si>
  <si>
    <t xml:space="preserve">Hyperscaler % of S&amp;P Capex</t>
  </si>
  <si>
    <t xml:space="preserve">B. AI-Driven EPS Estimation: Hyperscaler Capex → Supply Chain Profit → S&amp;P 500 EPS</t>
  </si>
  <si>
    <t xml:space="preserve">Logic: Hyperscaler capex = revenue for NVDA/AVGO/MU/ANET/etc. Their net margin × capex = AI-driven NI. Divide by S&amp;P 500 share count ≈ AI EPS.</t>
  </si>
  <si>
    <t xml:space="preserve">% of Hyp Capex → S&amp;P 500 co revenue (editable)</t>
  </si>
  <si>
    <t xml:space="preserve">Wtd avg net margin of AI supply chain (editable)</t>
  </si>
  <si>
    <t xml:space="preserve">AI Revenue to S&amp;P 500 cos ($B)</t>
  </si>
  <si>
    <t xml:space="preserve">AI Net Income to S&amp;P 500 cos ($B)</t>
  </si>
  <si>
    <t xml:space="preserve">S&amp;P 500 Aggregate NI ($B) ≈ EPS × 7.7B shares</t>
  </si>
  <si>
    <t xml:space="preserve">AI-Driven EPS ($) = AI NI / 7.7B shares</t>
  </si>
  <si>
    <t xml:space="preserve">Non-AI EPS ($) = Total - AI</t>
  </si>
  <si>
    <t xml:space="preserve">AI % of Total EPS</t>
  </si>
  <si>
    <t xml:space="preserve">AI EPS YoY %</t>
  </si>
  <si>
    <t xml:space="preserve">C. Dual P/E Valuation — Separate Multiples for AI vs Non-AI EPS</t>
  </si>
  <si>
    <t xml:space="preserve">Non-AI P/E (editable) — hist avg ~18x</t>
  </si>
  <si>
    <t xml:space="preserve">AI P/E (editable) — NVDA ~30-40x fwd</t>
  </si>
  <si>
    <t xml:space="preserve">Valuation Component</t>
  </si>
  <si>
    <t xml:space="preserve">Non-AI Value = Non-AI EPS × P/E</t>
  </si>
  <si>
    <t xml:space="preserve">AI Value = AI EPS × P/E</t>
  </si>
  <si>
    <t xml:space="preserve">Implied S&amp;P 500 Level</t>
  </si>
  <si>
    <t xml:space="preserve">Blended P/E (implied)</t>
  </si>
  <si>
    <t xml:space="preserve">D. Scenario Grid: 2026E Implied S&amp;P 500 Under Different P/E Assumptions</t>
  </si>
  <si>
    <t xml:space="preserve">Reads: 'If Non-AI trades at Xpe and AI trades at Ype, 2026E S&amp;P 500 = Z'. Uses AI/Non-AI EPS from Section B. Change yellow cells above to update.</t>
  </si>
  <si>
    <t xml:space="preserve">AI P/E ↓  Non-AI P/E →</t>
  </si>
  <si>
    <t xml:space="preserve">22x</t>
  </si>
  <si>
    <t xml:space="preserve">20x</t>
  </si>
  <si>
    <t xml:space="preserve">18x</t>
  </si>
  <si>
    <t xml:space="preserve">16x</t>
  </si>
  <si>
    <t xml:space="preserve">14x</t>
  </si>
  <si>
    <t xml:space="preserve">40x</t>
  </si>
  <si>
    <t xml:space="preserve">35x</t>
  </si>
  <si>
    <t xml:space="preserve">30x</t>
  </si>
  <si>
    <t xml:space="preserve">25x</t>
  </si>
  <si>
    <t xml:space="preserve">15x</t>
  </si>
  <si>
    <t xml:space="preserve">10x</t>
  </si>
  <si>
    <t xml:space="preserve">E. Stress Test: What Happens to S&amp;P 500 if AI Capex Slows?</t>
  </si>
  <si>
    <t xml:space="preserve">Base Case (AI PE=35x, Non-AI PE=18x)</t>
  </si>
  <si>
    <t xml:space="preserve">Current trajectory. AI capex sustains. NVDA margin holds.</t>
  </si>
  <si>
    <t xml:space="preserve">AI EPS ($)</t>
  </si>
  <si>
    <t xml:space="preserve">Non-AI EPS ($)</t>
  </si>
  <si>
    <t xml:space="preserve">Implied S&amp;P 500</t>
  </si>
  <si>
    <t xml:space="preserve">Capex Slowdown (AI PE=25x, Non-AI PE=18x)</t>
  </si>
  <si>
    <t xml:space="preserve">2027+ capex growth decelerates to +10%. NVDA margin compresses. AI PE de-rates.</t>
  </si>
  <si>
    <t xml:space="preserve">Δ vs Base</t>
  </si>
  <si>
    <t xml:space="preserve">AI Bust (AI PE=15x, Non-AI PE=17x)</t>
  </si>
  <si>
    <t xml:space="preserve">Customer crack. Capex cut 30% from 2027. Massive write-downs. AI PE crashes to market avg.</t>
  </si>
  <si>
    <t xml:space="preserve">Visual Summary (2013-2030)</t>
  </si>
  <si>
    <t xml:space="preserve">Capex/Rev %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</si>
  <si>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</si>
  <si>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</si>
  <si>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</si>
  <si>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</si>
  <si>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</si>
  <si>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</si>
  <si>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</si>
  <si>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</si>
  <si>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</si>
  <si>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</si>
  <si>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</si>
  <si>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</si>
  <si>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</si>
  <si>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</si>
  <si>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</si>
  <si>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</si>
  <si>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</si>
  <si>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</si>
  <si>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FCF Margin %</t>
  </si>
  <si>
    <t xml:space="preserve">Capex ($mm)</t>
  </si>
  <si>
    <t xml:space="preserve">Rev YoY %</t>
  </si>
  <si>
    <t xml:space="preserve">OpMargin %</t>
  </si>
  <si>
    <t xml:space="preserve">D&amp;A/Rev %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</si>
</sst>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"/>
    <numFmt numFmtId="166" formatCode="\$#,##0.00;&quot;($&quot;#,##0.00\);\-"/>
    <numFmt numFmtId="167" formatCode="0.00"/>
    <numFmt numFmtId="168" formatCode="#,##0;\(#,##0\);\-"/>
    <numFmt numFmtId="169" formatCode="0.0%;\(0.0%\);\-"/>
    <numFmt numFmtId="170" formatCode="0%;\(0%\);\-"/>
    <numFmt numFmtId="171" formatCode="0%"/>
    <numFmt numFmtId="172" formatCode="0"/>
    <numFmt numFmtId="173" formatCode="0.0"/>
    <numFmt numFmtId="174" formatCode="\$0.00"/>
    <numFmt numFmtId="175" formatCode="0.0%"/>
    <numFmt numFmtId="176" formatCode="\$0.00;&quot;($&quot;0.00\);\-"/>
    <numFmt numFmtId="177" formatCode="\$#,##0"/>
    <numFmt numFmtId="178" formatCode="\$#,##0.0"/>
    <numFmt numFmtId="179" formatCode="0.0\x"/>
  </numFmts>
  <fonts count="4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1F3864"/>
      <name val="Arial"/>
      <family val="0"/>
      <charset val="1"/>
    </font>
    <font>
      <sz val="8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FFFFFF"/>
      <name val="Noto Sans CJK SC"/>
      <family val="2"/>
      <charset val="1"/>
    </font>
    <font>
      <b val="true"/>
      <sz val="10"/>
      <color rgb="FFFFFFFF"/>
      <name val="Noto Sans CJK SC"/>
      <family val="2"/>
    </font>
    <font>
      <i val="true"/>
      <sz val="8"/>
      <color rgb="FF595959"/>
      <name val="Noto Sans CJK SC"/>
      <family val="2"/>
      <charset val="1"/>
    </font>
    <font>
      <b val="true"/>
      <sz val="8"/>
      <color rgb="FFFFFFFF"/>
      <name val="Noto Sans CJK SC"/>
      <family val="2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0000"/>
      <name val="Noto Sans CJK SC"/>
      <family val="2"/>
    </font>
    <font>
      <b val="true"/>
      <sz val="9"/>
      <color rgb="FF000000"/>
      <name val="Noto Sans CJK SC"/>
      <family val="2"/>
      <charset val="1"/>
    </font>
    <font>
      <sz val="9"/>
      <color rgb="FF000000"/>
      <name val="Noto Sans CJK SC"/>
      <family val="2"/>
    </font>
    <font>
      <sz val="9"/>
      <color rgb="FF000000"/>
      <name val="Noto Sans CJK SC"/>
      <family val="2"/>
      <charset val="1"/>
    </font>
    <font>
      <b val="true"/>
      <sz val="10"/>
      <color rgb="FFC00000"/>
      <name val="Noto Sans CJK SC"/>
      <family val="2"/>
      <charset val="1"/>
    </font>
    <font>
      <b val="true"/>
      <sz val="7"/>
      <color rgb="FFFFFFFF"/>
      <name val="Noto Sans CJK SC"/>
      <family val="2"/>
      <charset val="1"/>
    </font>
    <font>
      <b val="true"/>
      <sz val="7"/>
      <color rgb="FFFFFFFF"/>
      <name val="Arial"/>
      <family val="0"/>
      <charset val="1"/>
    </font>
    <font>
      <b val="true"/>
      <sz val="7"/>
      <color rgb="FFFFFFFF"/>
      <name val="Noto Sans CJK SC"/>
      <family val="2"/>
    </font>
    <font>
      <b val="true"/>
      <sz val="10"/>
      <color rgb="FF000000"/>
      <name val="Arial"/>
      <family val="0"/>
      <charset val="1"/>
    </font>
    <font>
      <sz val="7"/>
      <color rgb="FF595959"/>
      <name val="Noto Sans CJK SC"/>
      <family val="2"/>
      <charset val="1"/>
    </font>
    <font>
      <sz val="9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7"/>
      <color rgb="FF595959"/>
      <name val="Arial"/>
      <family val="0"/>
      <charset val="1"/>
    </font>
    <font>
      <sz val="7"/>
      <color rgb="FF595959"/>
      <name val="Noto Sans CJK SC"/>
      <family val="2"/>
    </font>
    <font>
      <b val="true"/>
      <sz val="10"/>
      <color rgb="FFFFFFFF"/>
      <name val="Noto Sans CJK SC"/>
      <family val="2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7"/>
      <color rgb="FF000000"/>
      <name val="Arial"/>
      <family val="0"/>
      <charset val="1"/>
    </font>
    <font>
      <sz val="7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F5496"/>
        <bgColor rgb="FF1F3864"/>
      </patternFill>
    </fill>
    <fill>
      <patternFill patternType="solid">
        <fgColor rgb="FF0078D4"/>
        <bgColor rgb="FF0668E1"/>
      </patternFill>
    </fill>
    <fill>
      <patternFill patternType="solid">
        <fgColor rgb="FFF2F2F2"/>
        <bgColor rgb="FFF9F9F9"/>
      </patternFill>
    </fill>
    <fill>
      <patternFill patternType="solid">
        <fgColor rgb="FFFF9900"/>
        <bgColor rgb="FFFFCC00"/>
      </patternFill>
    </fill>
    <fill>
      <patternFill patternType="solid">
        <fgColor rgb="FF4285F4"/>
        <bgColor rgb="FF0078D4"/>
      </patternFill>
    </fill>
    <fill>
      <patternFill patternType="solid">
        <fgColor rgb="FF0668E1"/>
        <bgColor rgb="FF0078D4"/>
      </patternFill>
    </fill>
    <fill>
      <patternFill patternType="solid">
        <fgColor rgb="FFF80000"/>
        <bgColor rgb="FFC00000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F8CBAD"/>
        <bgColor rgb="FFE0BDBC"/>
      </patternFill>
    </fill>
    <fill>
      <patternFill patternType="solid">
        <fgColor rgb="FF404040"/>
        <bgColor rgb="FF1F386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3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3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0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3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3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4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8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AB4744"/>
      <rgbColor rgb="FFBE4B48"/>
      <rgbColor rgb="FF0078D4"/>
      <rgbColor rgb="FFBFBFBF"/>
      <rgbColor rgb="FF878787"/>
      <rgbColor rgb="FF9999FF"/>
      <rgbColor rgb="FF923C3A"/>
      <rgbColor rgb="FFF9F9F9"/>
      <rgbColor rgb="FFF2F2F2"/>
      <rgbColor rgb="FF660066"/>
      <rgbColor rgb="FFD09493"/>
      <rgbColor rgb="FF0668E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DCB7B6"/>
      <rgbColor rgb="FFE0BDBC"/>
      <rgbColor rgb="FFF8CBAD"/>
      <rgbColor rgb="FF4285F4"/>
      <rgbColor rgb="FF33CCCC"/>
      <rgbColor rgb="FF99CC00"/>
      <rgbColor rgb="FFFFCC00"/>
      <rgbColor rgb="FFFF9900"/>
      <rgbColor rgb="FFC0504D"/>
      <rgbColor rgb="FF595959"/>
      <rgbColor rgb="FFCC8F8E"/>
      <rgbColor rgb="FF1F3864"/>
      <rgbColor rgb="FF339966"/>
      <rgbColor rgb="FF003300"/>
      <rgbColor rgb="FF333300"/>
      <rgbColor rgb="FFAA433F"/>
      <rgbColor rgb="FF903836"/>
      <rgbColor rgb="FF2F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Capex / Revenue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'8. Charts'!A5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903836"/>
            </a:solidFill>
            <a:ln w="4752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Charts'!$B$4:$S$4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Charts'!$B$5:$S$5</c:f>
              <c:numCache>
                <c:formatCode>0.0%</c:formatCode>
                <c:ptCount val="18"/>
                <c:pt idx="0">
                  <c:v>0.0546827833369729</c:v>
                </c:pt>
                <c:pt idx="1">
                  <c:v>0.0631672290488639</c:v>
                </c:pt>
                <c:pt idx="2">
                  <c:v>0.0635178456935243</c:v>
                </c:pt>
                <c:pt idx="3">
                  <c:v>0.104688232536334</c:v>
                </c:pt>
                <c:pt idx="4">
                  <c:v>0.105621770510816</c:v>
                </c:pt>
                <c:pt idx="5">
                  <c:v>0.123233055454875</c:v>
                </c:pt>
                <c:pt idx="6">
                  <c:v>0.134294319111909</c:v>
                </c:pt>
                <c:pt idx="7">
                  <c:v>0.132853197217075</c:v>
                </c:pt>
                <c:pt idx="8">
                  <c:v>0.143972205035458</c:v>
                </c:pt>
                <c:pt idx="9">
                  <c:v>0.147273919402835</c:v>
                </c:pt>
                <c:pt idx="10">
                  <c:v>0.150532052945757</c:v>
                </c:pt>
                <c:pt idx="11">
                  <c:v>0.227233785625117</c:v>
                </c:pt>
                <c:pt idx="12">
                  <c:v>0.313072368701282</c:v>
                </c:pt>
                <c:pt idx="13">
                  <c:v>0.442785313658101</c:v>
                </c:pt>
                <c:pt idx="14">
                  <c:v>0.633585893558086</c:v>
                </c:pt>
                <c:pt idx="15">
                  <c:v>0.618719161846711</c:v>
                </c:pt>
                <c:pt idx="16">
                  <c:v>0.542176336643655</c:v>
                </c:pt>
                <c:pt idx="17">
                  <c:v>0.466649535637693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'8. Charts'!A6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Charts'!$B$4:$S$4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Charts'!$B$6:$S$6</c:f>
              <c:numCache>
                <c:formatCode>0.0%</c:formatCode>
                <c:ptCount val="18"/>
                <c:pt idx="0">
                  <c:v>0.0462439391293836</c:v>
                </c:pt>
                <c:pt idx="1">
                  <c:v>0.0549734572146482</c:v>
                </c:pt>
                <c:pt idx="2">
                  <c:v>0.0428758599936826</c:v>
                </c:pt>
                <c:pt idx="3">
                  <c:v>0.0495341466463706</c:v>
                </c:pt>
                <c:pt idx="4">
                  <c:v>0.0565425657517457</c:v>
                </c:pt>
                <c:pt idx="5">
                  <c:v>0.0486158523232297</c:v>
                </c:pt>
                <c:pt idx="6">
                  <c:v>0.0452370937038806</c:v>
                </c:pt>
                <c:pt idx="7">
                  <c:v>0.0907776948899664</c:v>
                </c:pt>
                <c:pt idx="8">
                  <c:v>0.117908484489871</c:v>
                </c:pt>
                <c:pt idx="9">
                  <c:v>0.113468733401688</c:v>
                </c:pt>
                <c:pt idx="10">
                  <c:v>0.0837408770235827</c:v>
                </c:pt>
                <c:pt idx="11">
                  <c:v>0.121728825833635</c:v>
                </c:pt>
                <c:pt idx="12">
                  <c:v>0.178986894008291</c:v>
                </c:pt>
                <c:pt idx="13">
                  <c:v>0.24178963083243</c:v>
                </c:pt>
                <c:pt idx="14">
                  <c:v>0.285371750643553</c:v>
                </c:pt>
                <c:pt idx="15">
                  <c:v>0.266752546331369</c:v>
                </c:pt>
                <c:pt idx="16">
                  <c:v>0.251734248389078</c:v>
                </c:pt>
                <c:pt idx="17">
                  <c:v>0.2395580677502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'8. Charts'!A7</c:f>
              <c:strCache>
                <c:ptCount val="1"/>
                <c:pt idx="0">
                  <c:v>GOOGL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Charts'!$B$4:$S$4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Charts'!$B$7:$S$7</c:f>
              <c:numCache>
                <c:formatCode>0.0%</c:formatCode>
                <c:ptCount val="18"/>
                <c:pt idx="0">
                  <c:v>0.132531205533241</c:v>
                </c:pt>
                <c:pt idx="1">
                  <c:v>0.166042938743352</c:v>
                </c:pt>
                <c:pt idx="2">
                  <c:v>0.132219392177519</c:v>
                </c:pt>
                <c:pt idx="3">
                  <c:v>0.112803527118043</c:v>
                </c:pt>
                <c:pt idx="4">
                  <c:v>0.118930133958775</c:v>
                </c:pt>
                <c:pt idx="5">
                  <c:v>0.183739100563518</c:v>
                </c:pt>
                <c:pt idx="6">
                  <c:v>0.145486447913899</c:v>
                </c:pt>
                <c:pt idx="7">
                  <c:v>0.122069611619103</c:v>
                </c:pt>
                <c:pt idx="8">
                  <c:v>0.0956384370257378</c:v>
                </c:pt>
                <c:pt idx="9">
                  <c:v>0.111318926869281</c:v>
                </c:pt>
                <c:pt idx="10">
                  <c:v>0.104917467484726</c:v>
                </c:pt>
                <c:pt idx="11">
                  <c:v>0.150092280968407</c:v>
                </c:pt>
                <c:pt idx="12">
                  <c:v>0.227008013186508</c:v>
                </c:pt>
                <c:pt idx="13">
                  <c:v>0.37936186431271</c:v>
                </c:pt>
                <c:pt idx="14">
                  <c:v>0.438101591905905</c:v>
                </c:pt>
                <c:pt idx="15">
                  <c:v>0.406693608510996</c:v>
                </c:pt>
                <c:pt idx="16">
                  <c:v>0.36738908872284</c:v>
                </c:pt>
                <c:pt idx="17">
                  <c:v>0.341152582570988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'8. Charts'!A8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Charts'!$B$4:$S$4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Charts'!$B$8:$S$8</c:f>
              <c:numCache>
                <c:formatCode>0.0%</c:formatCode>
                <c:ptCount val="18"/>
                <c:pt idx="0">
                  <c:v>0.173018292682927</c:v>
                </c:pt>
                <c:pt idx="1">
                  <c:v>0.146879512273384</c:v>
                </c:pt>
                <c:pt idx="2">
                  <c:v>0.140737435153679</c:v>
                </c:pt>
                <c:pt idx="3">
                  <c:v>0.162493668138071</c:v>
                </c:pt>
                <c:pt idx="4">
                  <c:v>0.165596634934691</c:v>
                </c:pt>
                <c:pt idx="5">
                  <c:v>0.25036713349332</c:v>
                </c:pt>
                <c:pt idx="6">
                  <c:v>0.213617364367402</c:v>
                </c:pt>
                <c:pt idx="7">
                  <c:v>0.17582532629179</c:v>
                </c:pt>
                <c:pt idx="8">
                  <c:v>0.157442189792163</c:v>
                </c:pt>
                <c:pt idx="9">
                  <c:v>0.267440763577425</c:v>
                </c:pt>
                <c:pt idx="10">
                  <c:v>0.200480352258323</c:v>
                </c:pt>
                <c:pt idx="11">
                  <c:v>0.226480243161094</c:v>
                </c:pt>
                <c:pt idx="12">
                  <c:v>0.346781777921529</c:v>
                </c:pt>
                <c:pt idx="13">
                  <c:v>0.531335014999085</c:v>
                </c:pt>
                <c:pt idx="14">
                  <c:v>0.540824903792468</c:v>
                </c:pt>
                <c:pt idx="15">
                  <c:v>0.519399482957318</c:v>
                </c:pt>
                <c:pt idx="16">
                  <c:v>0.482963614978958</c:v>
                </c:pt>
                <c:pt idx="17">
                  <c:v>0.457132170555652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'8. Charts'!A9</c:f>
              <c:strCache>
                <c:ptCount val="1"/>
                <c:pt idx="0">
                  <c:v>ORCL</c:v>
                </c:pt>
              </c:strCache>
            </c:strRef>
          </c:tx>
          <c:spPr>
            <a:solidFill>
              <a:srgbClr val="dcb7b6"/>
            </a:solidFill>
            <a:ln w="4752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Charts'!$B$4:$S$4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Charts'!$B$9:$S$9</c:f>
              <c:numCache>
                <c:formatCode>0.0%</c:formatCode>
                <c:ptCount val="18"/>
                <c:pt idx="0">
                  <c:v>0.0174482592006013</c:v>
                </c:pt>
                <c:pt idx="1">
                  <c:v>0.0151416264195275</c:v>
                </c:pt>
                <c:pt idx="2">
                  <c:v>0.0363631610592633</c:v>
                </c:pt>
                <c:pt idx="3">
                  <c:v>0.0320857058045713</c:v>
                </c:pt>
                <c:pt idx="4">
                  <c:v>0.0533259452756009</c:v>
                </c:pt>
                <c:pt idx="5">
                  <c:v>0.0440262737440085</c:v>
                </c:pt>
                <c:pt idx="6">
                  <c:v>0.0419987349778621</c:v>
                </c:pt>
                <c:pt idx="7">
                  <c:v>0.0400276405702147</c:v>
                </c:pt>
                <c:pt idx="8">
                  <c:v>0.0527407919764828</c:v>
                </c:pt>
                <c:pt idx="9">
                  <c:v>0.106288730237271</c:v>
                </c:pt>
                <c:pt idx="10">
                  <c:v>0.174056650985887</c:v>
                </c:pt>
                <c:pt idx="11">
                  <c:v>0.12964256717207</c:v>
                </c:pt>
                <c:pt idx="12">
                  <c:v>0.369605742260318</c:v>
                </c:pt>
                <c:pt idx="13">
                  <c:v>0.77105819496409</c:v>
                </c:pt>
                <c:pt idx="14">
                  <c:v>0.587296954946508</c:v>
                </c:pt>
                <c:pt idx="15">
                  <c:v>0.556972873780193</c:v>
                </c:pt>
                <c:pt idx="16">
                  <c:v>0.490629927570763</c:v>
                </c:pt>
                <c:pt idx="17">
                  <c:v>0.358167828118745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508928"/>
        <c:axId val="80950145"/>
      </c:lineChart>
      <c:catAx>
        <c:axId val="94508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50145"/>
        <c:crosses val="autoZero"/>
        <c:auto val="1"/>
        <c:lblAlgn val="ctr"/>
        <c:lblOffset val="100"/>
        <c:noMultiLvlLbl val="0"/>
      </c:catAx>
      <c:valAx>
        <c:axId val="809501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089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FCF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'8. Charts'!A14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903836"/>
            </a:solidFill>
            <a:ln w="4752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Charts'!$B$13:$S$13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Charts'!$B$14:$S$14</c:f>
              <c:numCache>
                <c:formatCode>0.0%</c:formatCode>
                <c:ptCount val="18"/>
                <c:pt idx="0">
                  <c:v>0.315688062788218</c:v>
                </c:pt>
                <c:pt idx="1">
                  <c:v>0.308016537491507</c:v>
                </c:pt>
                <c:pt idx="2">
                  <c:v>0.247232314597136</c:v>
                </c:pt>
                <c:pt idx="3">
                  <c:v>0.285900140646976</c:v>
                </c:pt>
                <c:pt idx="4">
                  <c:v>0.303476198858871</c:v>
                </c:pt>
                <c:pt idx="5">
                  <c:v>0.274411018484958</c:v>
                </c:pt>
                <c:pt idx="6">
                  <c:v>0.280389056204954</c:v>
                </c:pt>
                <c:pt idx="7">
                  <c:v>0.291402999685348</c:v>
                </c:pt>
                <c:pt idx="8">
                  <c:v>0.312574365808386</c:v>
                </c:pt>
                <c:pt idx="9">
                  <c:v>0.301785444091391</c:v>
                </c:pt>
                <c:pt idx="10">
                  <c:v>0.262756293797041</c:v>
                </c:pt>
                <c:pt idx="11">
                  <c:v>0.256394774846811</c:v>
                </c:pt>
                <c:pt idx="12">
                  <c:v>0.170244636594681</c:v>
                </c:pt>
                <c:pt idx="13">
                  <c:v>0.0870776441882145</c:v>
                </c:pt>
                <c:pt idx="14">
                  <c:v>-0.0340107047798638</c:v>
                </c:pt>
                <c:pt idx="15">
                  <c:v>0.0168509930121888</c:v>
                </c:pt>
                <c:pt idx="16">
                  <c:v>0.107386474170842</c:v>
                </c:pt>
                <c:pt idx="17">
                  <c:v>0.205175364126026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'8. Charts'!A15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Charts'!$B$13:$S$13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Charts'!$B$15:$S$15</c:f>
              <c:numCache>
                <c:formatCode>0.0%</c:formatCode>
                <c:ptCount val="18"/>
                <c:pt idx="0">
                  <c:v>0.0272789545082132</c:v>
                </c:pt>
                <c:pt idx="1">
                  <c:v>0.0219062259800154</c:v>
                </c:pt>
                <c:pt idx="2">
                  <c:v>0.0685200725936531</c:v>
                </c:pt>
                <c:pt idx="3">
                  <c:v>0.0774706405759374</c:v>
                </c:pt>
                <c:pt idx="4">
                  <c:v>0.0470972529882046</c:v>
                </c:pt>
                <c:pt idx="5">
                  <c:v>0.0833107902115618</c:v>
                </c:pt>
                <c:pt idx="6">
                  <c:v>0.0920605157527752</c:v>
                </c:pt>
                <c:pt idx="7">
                  <c:v>0.0803441916366198</c:v>
                </c:pt>
                <c:pt idx="8">
                  <c:v>-0.0193030551996288</c:v>
                </c:pt>
                <c:pt idx="9">
                  <c:v>-0.0225085265465978</c:v>
                </c:pt>
                <c:pt idx="10">
                  <c:v>0.0640465565385318</c:v>
                </c:pt>
                <c:pt idx="11">
                  <c:v>0.0599082386172152</c:v>
                </c:pt>
                <c:pt idx="12">
                  <c:v>0.0156139283940836</c:v>
                </c:pt>
                <c:pt idx="13">
                  <c:v>-0.023079605254962</c:v>
                </c:pt>
                <c:pt idx="14">
                  <c:v>-0.0482743797157437</c:v>
                </c:pt>
                <c:pt idx="15">
                  <c:v>-0.00204741549459708</c:v>
                </c:pt>
                <c:pt idx="16">
                  <c:v>0.0380208742034563</c:v>
                </c:pt>
                <c:pt idx="17">
                  <c:v>0.0676854238008576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'8. Charts'!A16</c:f>
              <c:strCache>
                <c:ptCount val="1"/>
                <c:pt idx="0">
                  <c:v>GOOGL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Charts'!$B$13:$S$13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Charts'!$B$16:$S$16</c:f>
              <c:numCache>
                <c:formatCode>0.0%</c:formatCode>
                <c:ptCount val="18"/>
                <c:pt idx="0">
                  <c:v>0.202201048289775</c:v>
                </c:pt>
                <c:pt idx="1">
                  <c:v>0.171406493841002</c:v>
                </c:pt>
                <c:pt idx="2">
                  <c:v>0.212217791942818</c:v>
                </c:pt>
                <c:pt idx="3">
                  <c:v>0.286390021269054</c:v>
                </c:pt>
                <c:pt idx="4">
                  <c:v>0.215660096522484</c:v>
                </c:pt>
                <c:pt idx="5">
                  <c:v>0.16687740737763</c:v>
                </c:pt>
                <c:pt idx="6">
                  <c:v>0.191354096517296</c:v>
                </c:pt>
                <c:pt idx="7">
                  <c:v>0.234721438472116</c:v>
                </c:pt>
                <c:pt idx="8">
                  <c:v>0.260102392125355</c:v>
                </c:pt>
                <c:pt idx="9">
                  <c:v>0.212172425009546</c:v>
                </c:pt>
                <c:pt idx="10">
                  <c:v>0.226077932555613</c:v>
                </c:pt>
                <c:pt idx="11">
                  <c:v>0.20788645155392</c:v>
                </c:pt>
                <c:pt idx="12">
                  <c:v>0.181875502685957</c:v>
                </c:pt>
                <c:pt idx="13">
                  <c:v>0.0547867344585653</c:v>
                </c:pt>
                <c:pt idx="14">
                  <c:v>0.038886349386506</c:v>
                </c:pt>
                <c:pt idx="15">
                  <c:v>0.0964950267850896</c:v>
                </c:pt>
                <c:pt idx="16">
                  <c:v>0.152957839304851</c:v>
                </c:pt>
                <c:pt idx="17">
                  <c:v>0.191313724274643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'8. Charts'!A17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Charts'!$B$13:$S$13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Charts'!$B$17:$S$17</c:f>
              <c:numCache>
                <c:formatCode>0.0%</c:formatCode>
                <c:ptCount val="18"/>
                <c:pt idx="0">
                  <c:v>0.363313008130081</c:v>
                </c:pt>
                <c:pt idx="1">
                  <c:v>0.294946253810364</c:v>
                </c:pt>
                <c:pt idx="2">
                  <c:v>0.339376359680928</c:v>
                </c:pt>
                <c:pt idx="3">
                  <c:v>0.41862652869238</c:v>
                </c:pt>
                <c:pt idx="4">
                  <c:v>0.430078960962291</c:v>
                </c:pt>
                <c:pt idx="5">
                  <c:v>0.275063576775673</c:v>
                </c:pt>
                <c:pt idx="6">
                  <c:v>0.300021924706315</c:v>
                </c:pt>
                <c:pt idx="7">
                  <c:v>0.274899378824186</c:v>
                </c:pt>
                <c:pt idx="8">
                  <c:v>0.331691102273402</c:v>
                </c:pt>
                <c:pt idx="9">
                  <c:v>0.165416048503975</c:v>
                </c:pt>
                <c:pt idx="10">
                  <c:v>0.326669187033454</c:v>
                </c:pt>
                <c:pt idx="11">
                  <c:v>0.328705167173252</c:v>
                </c:pt>
                <c:pt idx="12">
                  <c:v>0.22943796183415</c:v>
                </c:pt>
                <c:pt idx="13">
                  <c:v>0.175043918782818</c:v>
                </c:pt>
                <c:pt idx="14">
                  <c:v>0.131811792884918</c:v>
                </c:pt>
                <c:pt idx="15">
                  <c:v>0.161332271886239</c:v>
                </c:pt>
                <c:pt idx="16">
                  <c:v>0.201986994195707</c:v>
                </c:pt>
                <c:pt idx="17">
                  <c:v>0.232222402165681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'8. Charts'!A18</c:f>
              <c:strCache>
                <c:ptCount val="1"/>
                <c:pt idx="0">
                  <c:v>ORCL</c:v>
                </c:pt>
              </c:strCache>
            </c:strRef>
          </c:tx>
          <c:spPr>
            <a:solidFill>
              <a:srgbClr val="dcb7b6"/>
            </a:solidFill>
            <a:ln w="4752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Charts'!$B$13:$S$13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Charts'!$B$18:$S$18</c:f>
              <c:numCache>
                <c:formatCode>0.0%</c:formatCode>
                <c:ptCount val="18"/>
                <c:pt idx="0">
                  <c:v>0.364400182535635</c:v>
                </c:pt>
                <c:pt idx="1">
                  <c:v>0.374389766349041</c:v>
                </c:pt>
                <c:pt idx="2">
                  <c:v>0.338404830993648</c:v>
                </c:pt>
                <c:pt idx="3">
                  <c:v>0.333837061823677</c:v>
                </c:pt>
                <c:pt idx="4">
                  <c:v>0.319375181403203</c:v>
                </c:pt>
                <c:pt idx="5">
                  <c:v>0.346174329842002</c:v>
                </c:pt>
                <c:pt idx="6">
                  <c:v>0.326148007590133</c:v>
                </c:pt>
                <c:pt idx="7">
                  <c:v>0.296240370588386</c:v>
                </c:pt>
                <c:pt idx="8">
                  <c:v>0.339739630937971</c:v>
                </c:pt>
                <c:pt idx="9">
                  <c:v>0.118493909191584</c:v>
                </c:pt>
                <c:pt idx="10">
                  <c:v>0.169572615353818</c:v>
                </c:pt>
                <c:pt idx="11">
                  <c:v>0.222937633352845</c:v>
                </c:pt>
                <c:pt idx="12">
                  <c:v>-0.00686423108416523</c:v>
                </c:pt>
                <c:pt idx="13">
                  <c:v>-0.392719666204713</c:v>
                </c:pt>
                <c:pt idx="14">
                  <c:v>-0.207778894870831</c:v>
                </c:pt>
                <c:pt idx="15">
                  <c:v>-0.157332154596774</c:v>
                </c:pt>
                <c:pt idx="16">
                  <c:v>-0.0878947867996312</c:v>
                </c:pt>
                <c:pt idx="17">
                  <c:v>0.0997238124658188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501102"/>
        <c:axId val="15817203"/>
      </c:lineChart>
      <c:catAx>
        <c:axId val="795011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17203"/>
        <c:crosses val="autoZero"/>
        <c:auto val="1"/>
        <c:lblAlgn val="ctr"/>
        <c:lblOffset val="100"/>
        <c:noMultiLvlLbl val="0"/>
      </c:catAx>
      <c:valAx>
        <c:axId val="158172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011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Capex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'8. Charts'!A23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923c3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Charts'!$B$22:$S$22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Charts'!$B$23:$S$23</c:f>
              <c:numCache>
                <c:formatCode>#,##0</c:formatCode>
                <c:ptCount val="18"/>
                <c:pt idx="0">
                  <c:v>4257</c:v>
                </c:pt>
                <c:pt idx="1">
                  <c:v>5485</c:v>
                </c:pt>
                <c:pt idx="2">
                  <c:v>5944</c:v>
                </c:pt>
                <c:pt idx="3">
                  <c:v>8932</c:v>
                </c:pt>
                <c:pt idx="4">
                  <c:v>10200</c:v>
                </c:pt>
                <c:pt idx="5">
                  <c:v>13600</c:v>
                </c:pt>
                <c:pt idx="6">
                  <c:v>16900</c:v>
                </c:pt>
                <c:pt idx="7">
                  <c:v>19000</c:v>
                </c:pt>
                <c:pt idx="8">
                  <c:v>24200</c:v>
                </c:pt>
                <c:pt idx="9">
                  <c:v>29200</c:v>
                </c:pt>
                <c:pt idx="10">
                  <c:v>31900</c:v>
                </c:pt>
                <c:pt idx="11">
                  <c:v>55700</c:v>
                </c:pt>
                <c:pt idx="12">
                  <c:v>88200</c:v>
                </c:pt>
                <c:pt idx="13">
                  <c:v>145871.3</c:v>
                </c:pt>
                <c:pt idx="14">
                  <c:v>245263.45</c:v>
                </c:pt>
                <c:pt idx="15">
                  <c:v>286760.35</c:v>
                </c:pt>
                <c:pt idx="16">
                  <c:v>300210.91</c:v>
                </c:pt>
                <c:pt idx="17">
                  <c:v>304616.04</c:v>
                </c:pt>
              </c:numCache>
            </c:numRef>
          </c:val>
        </c:ser>
        <c:ser>
          <c:idx val="1"/>
          <c:order val="1"/>
          <c:tx>
            <c:strRef>
              <c:f>'8. Charts'!A24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Charts'!$B$22:$S$22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Charts'!$B$24:$S$24</c:f>
              <c:numCache>
                <c:formatCode>#,##0</c:formatCode>
                <c:ptCount val="18"/>
                <c:pt idx="0">
                  <c:v>3443</c:v>
                </c:pt>
                <c:pt idx="1">
                  <c:v>4892</c:v>
                </c:pt>
                <c:pt idx="2">
                  <c:v>4588</c:v>
                </c:pt>
                <c:pt idx="3">
                  <c:v>6736</c:v>
                </c:pt>
                <c:pt idx="4">
                  <c:v>10057</c:v>
                </c:pt>
                <c:pt idx="5">
                  <c:v>11322</c:v>
                </c:pt>
                <c:pt idx="6">
                  <c:v>12690</c:v>
                </c:pt>
                <c:pt idx="7">
                  <c:v>35046</c:v>
                </c:pt>
                <c:pt idx="8">
                  <c:v>55396</c:v>
                </c:pt>
                <c:pt idx="9">
                  <c:v>58321</c:v>
                </c:pt>
                <c:pt idx="10">
                  <c:v>48133</c:v>
                </c:pt>
                <c:pt idx="11">
                  <c:v>77658</c:v>
                </c:pt>
                <c:pt idx="12">
                  <c:v>128320</c:v>
                </c:pt>
                <c:pt idx="13">
                  <c:v>200104.98</c:v>
                </c:pt>
                <c:pt idx="14">
                  <c:v>270141.72</c:v>
                </c:pt>
                <c:pt idx="15">
                  <c:v>283648.81</c:v>
                </c:pt>
                <c:pt idx="16">
                  <c:v>297831.25</c:v>
                </c:pt>
                <c:pt idx="17">
                  <c:v>312722.81</c:v>
                </c:pt>
              </c:numCache>
            </c:numRef>
          </c:val>
        </c:ser>
        <c:ser>
          <c:idx val="2"/>
          <c:order val="2"/>
          <c:tx>
            <c:strRef>
              <c:f>'8. Charts'!A25</c:f>
              <c:strCache>
                <c:ptCount val="1"/>
                <c:pt idx="0">
                  <c:v>GOOGL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Charts'!$B$22:$S$22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Charts'!$B$25:$S$25</c:f>
              <c:numCache>
                <c:formatCode>#,##0</c:formatCode>
                <c:ptCount val="18"/>
                <c:pt idx="0">
                  <c:v>7358</c:v>
                </c:pt>
                <c:pt idx="1">
                  <c:v>10959</c:v>
                </c:pt>
                <c:pt idx="2">
                  <c:v>9915</c:v>
                </c:pt>
                <c:pt idx="3">
                  <c:v>10183</c:v>
                </c:pt>
                <c:pt idx="4">
                  <c:v>13184</c:v>
                </c:pt>
                <c:pt idx="5">
                  <c:v>25139</c:v>
                </c:pt>
                <c:pt idx="6">
                  <c:v>23548</c:v>
                </c:pt>
                <c:pt idx="7">
                  <c:v>22281</c:v>
                </c:pt>
                <c:pt idx="8">
                  <c:v>24640</c:v>
                </c:pt>
                <c:pt idx="9">
                  <c:v>31485</c:v>
                </c:pt>
                <c:pt idx="10">
                  <c:v>32251</c:v>
                </c:pt>
                <c:pt idx="11">
                  <c:v>52535</c:v>
                </c:pt>
                <c:pt idx="12">
                  <c:v>91447</c:v>
                </c:pt>
                <c:pt idx="13">
                  <c:v>185234.28</c:v>
                </c:pt>
                <c:pt idx="14">
                  <c:v>259327.99</c:v>
                </c:pt>
                <c:pt idx="15">
                  <c:v>285260.79</c:v>
                </c:pt>
                <c:pt idx="16">
                  <c:v>299523.83</c:v>
                </c:pt>
                <c:pt idx="17">
                  <c:v>314500.02</c:v>
                </c:pt>
              </c:numCache>
            </c:numRef>
          </c:val>
        </c:ser>
        <c:ser>
          <c:idx val="3"/>
          <c:order val="3"/>
          <c:tx>
            <c:strRef>
              <c:f>'8. Charts'!A26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Charts'!$B$22:$S$22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Charts'!$B$26:$S$26</c:f>
              <c:numCache>
                <c:formatCode>#,##0</c:formatCode>
                <c:ptCount val="18"/>
                <c:pt idx="0">
                  <c:v>1362</c:v>
                </c:pt>
                <c:pt idx="1">
                  <c:v>1831</c:v>
                </c:pt>
                <c:pt idx="2">
                  <c:v>2523</c:v>
                </c:pt>
                <c:pt idx="3">
                  <c:v>4491</c:v>
                </c:pt>
                <c:pt idx="4">
                  <c:v>6732</c:v>
                </c:pt>
                <c:pt idx="5">
                  <c:v>13980</c:v>
                </c:pt>
                <c:pt idx="6">
                  <c:v>15102</c:v>
                </c:pt>
                <c:pt idx="7">
                  <c:v>15115</c:v>
                </c:pt>
                <c:pt idx="8">
                  <c:v>18567</c:v>
                </c:pt>
                <c:pt idx="9">
                  <c:v>31186</c:v>
                </c:pt>
                <c:pt idx="10">
                  <c:v>27045</c:v>
                </c:pt>
                <c:pt idx="11">
                  <c:v>37256</c:v>
                </c:pt>
                <c:pt idx="12">
                  <c:v>69691</c:v>
                </c:pt>
                <c:pt idx="13">
                  <c:v>135583.71</c:v>
                </c:pt>
                <c:pt idx="14">
                  <c:v>165714.44</c:v>
                </c:pt>
                <c:pt idx="15">
                  <c:v>185600.17</c:v>
                </c:pt>
                <c:pt idx="16">
                  <c:v>196736.18</c:v>
                </c:pt>
                <c:pt idx="17">
                  <c:v>208540.35</c:v>
                </c:pt>
              </c:numCache>
            </c:numRef>
          </c:val>
        </c:ser>
        <c:ser>
          <c:idx val="4"/>
          <c:order val="4"/>
          <c:tx>
            <c:strRef>
              <c:f>'8. Charts'!A27</c:f>
              <c:strCache>
                <c:ptCount val="1"/>
                <c:pt idx="0">
                  <c:v>ORCL</c:v>
                </c:pt>
              </c:strCache>
            </c:strRef>
          </c:tx>
          <c:spPr>
            <a:solidFill>
              <a:srgbClr val="e0bdb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Charts'!$B$22:$S$22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Charts'!$B$27:$S$27</c:f>
              <c:numCache>
                <c:formatCode>#,##0</c:formatCode>
                <c:ptCount val="18"/>
                <c:pt idx="0">
                  <c:v>650</c:v>
                </c:pt>
                <c:pt idx="1">
                  <c:v>580</c:v>
                </c:pt>
                <c:pt idx="2">
                  <c:v>1391</c:v>
                </c:pt>
                <c:pt idx="3">
                  <c:v>1189</c:v>
                </c:pt>
                <c:pt idx="4">
                  <c:v>2021</c:v>
                </c:pt>
                <c:pt idx="5">
                  <c:v>1736</c:v>
                </c:pt>
                <c:pt idx="6">
                  <c:v>1660</c:v>
                </c:pt>
                <c:pt idx="7">
                  <c:v>1564</c:v>
                </c:pt>
                <c:pt idx="8">
                  <c:v>2135</c:v>
                </c:pt>
                <c:pt idx="9">
                  <c:v>4511</c:v>
                </c:pt>
                <c:pt idx="10">
                  <c:v>8695</c:v>
                </c:pt>
                <c:pt idx="11">
                  <c:v>6866</c:v>
                </c:pt>
                <c:pt idx="12">
                  <c:v>21215</c:v>
                </c:pt>
                <c:pt idx="13">
                  <c:v>51882</c:v>
                </c:pt>
                <c:pt idx="14">
                  <c:v>52141.41</c:v>
                </c:pt>
                <c:pt idx="15">
                  <c:v>69869.49</c:v>
                </c:pt>
                <c:pt idx="16">
                  <c:v>81048.61</c:v>
                </c:pt>
                <c:pt idx="17">
                  <c:v>66459.86</c:v>
                </c:pt>
              </c:numCache>
            </c:numRef>
          </c:val>
        </c:ser>
        <c:gapWidth val="150"/>
        <c:overlap val="0"/>
        <c:axId val="95022488"/>
        <c:axId val="92114812"/>
      </c:barChart>
      <c:catAx>
        <c:axId val="95022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14812"/>
        <c:crosses val="autoZero"/>
        <c:auto val="1"/>
        <c:lblAlgn val="ctr"/>
        <c:lblOffset val="100"/>
        <c:noMultiLvlLbl val="0"/>
      </c:catAx>
      <c:valAx>
        <c:axId val="92114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224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YoY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'8. Charts'!A32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903836"/>
            </a:solidFill>
            <a:ln w="4752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Charts'!$B$31:$S$31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Charts'!$B$32:$S$32</c:f>
              <c:numCache>
                <c:formatCode>0.0%</c:formatCode>
                <c:ptCount val="18"/>
                <c:pt idx="1">
                  <c:v>0.115402895348688</c:v>
                </c:pt>
                <c:pt idx="2">
                  <c:v>0.0777008740916472</c:v>
                </c:pt>
                <c:pt idx="3">
                  <c:v>-0.0882667236589014</c:v>
                </c:pt>
                <c:pt idx="4">
                  <c:v>0.131868260665729</c:v>
                </c:pt>
                <c:pt idx="5">
                  <c:v>0.142786136624867</c:v>
                </c:pt>
                <c:pt idx="6">
                  <c:v>0.140295396882929</c:v>
                </c:pt>
                <c:pt idx="7">
                  <c:v>0.136455742472764</c:v>
                </c:pt>
                <c:pt idx="8">
                  <c:v>0.175317274411775</c:v>
                </c:pt>
                <c:pt idx="9">
                  <c:v>0.179560706296702</c:v>
                </c:pt>
                <c:pt idx="10">
                  <c:v>0.0688202955565642</c:v>
                </c:pt>
                <c:pt idx="11">
                  <c:v>0.156699620130713</c:v>
                </c:pt>
                <c:pt idx="12">
                  <c:v>0.149321562324067</c:v>
                </c:pt>
                <c:pt idx="13">
                  <c:v>0.169372293450327</c:v>
                </c:pt>
                <c:pt idx="14">
                  <c:v>0.175034689144228</c:v>
                </c:pt>
                <c:pt idx="15">
                  <c:v>0.197286820113401</c:v>
                </c:pt>
                <c:pt idx="16">
                  <c:v>0.19470416226216</c:v>
                </c:pt>
                <c:pt idx="17">
                  <c:v>0.178897421725549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'8. Charts'!A33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Charts'!$B$31:$S$31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Charts'!$B$33:$S$33</c:f>
              <c:numCache>
                <c:formatCode>0.0%</c:formatCode>
                <c:ptCount val="18"/>
                <c:pt idx="1">
                  <c:v>0.195229205001813</c:v>
                </c:pt>
                <c:pt idx="2">
                  <c:v>0.202478075794149</c:v>
                </c:pt>
                <c:pt idx="3">
                  <c:v>0.270828154525048</c:v>
                </c:pt>
                <c:pt idx="4">
                  <c:v>0.307963261194085</c:v>
                </c:pt>
                <c:pt idx="5">
                  <c:v>0.309339615215949</c:v>
                </c:pt>
                <c:pt idx="6">
                  <c:v>0.20454125820677</c:v>
                </c:pt>
                <c:pt idx="7">
                  <c:v>0.376234306043733</c:v>
                </c:pt>
                <c:pt idx="8">
                  <c:v>0.216953665713457</c:v>
                </c:pt>
                <c:pt idx="9">
                  <c:v>0.0939951726398509</c:v>
                </c:pt>
                <c:pt idx="10">
                  <c:v>0.118295741298837</c:v>
                </c:pt>
                <c:pt idx="11">
                  <c:v>0.109908922466661</c:v>
                </c:pt>
                <c:pt idx="12">
                  <c:v>0.123777546832947</c:v>
                </c:pt>
                <c:pt idx="13">
                  <c:v>0.154375512606636</c:v>
                </c:pt>
                <c:pt idx="14">
                  <c:v>0.143827296369472</c:v>
                </c:pt>
                <c:pt idx="15">
                  <c:v>0.123289530023903</c:v>
                </c:pt>
                <c:pt idx="16">
                  <c:v>0.112642300243612</c:v>
                </c:pt>
                <c:pt idx="17">
                  <c:v>0.103369054433569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'8. Charts'!A34</c:f>
              <c:strCache>
                <c:ptCount val="1"/>
                <c:pt idx="0">
                  <c:v>GOOGL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Charts'!$B$31:$S$31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Charts'!$B$34:$S$34</c:f>
              <c:numCache>
                <c:formatCode>0.0%</c:formatCode>
                <c:ptCount val="18"/>
                <c:pt idx="1">
                  <c:v>0.188800230551703</c:v>
                </c:pt>
                <c:pt idx="2">
                  <c:v>0.136179754852199</c:v>
                </c:pt>
                <c:pt idx="3">
                  <c:v>0.203803224472923</c:v>
                </c:pt>
                <c:pt idx="4">
                  <c:v>0.228010900389933</c:v>
                </c:pt>
                <c:pt idx="5">
                  <c:v>0.23421586757476</c:v>
                </c:pt>
                <c:pt idx="6">
                  <c:v>0.183000898997946</c:v>
                </c:pt>
                <c:pt idx="7">
                  <c:v>0.127705320128261</c:v>
                </c:pt>
                <c:pt idx="8">
                  <c:v>0.411500764270492</c:v>
                </c:pt>
                <c:pt idx="9">
                  <c:v>0.0978081564371578</c:v>
                </c:pt>
                <c:pt idx="10">
                  <c:v>0.0868277022726951</c:v>
                </c:pt>
                <c:pt idx="11">
                  <c:v>0.138662433229016</c:v>
                </c:pt>
                <c:pt idx="12">
                  <c:v>0.150900810815444</c:v>
                </c:pt>
                <c:pt idx="13">
                  <c:v>0.212102691914327</c:v>
                </c:pt>
                <c:pt idx="14">
                  <c:v>0.212290974865579</c:v>
                </c:pt>
                <c:pt idx="15">
                  <c:v>0.184950396811654</c:v>
                </c:pt>
                <c:pt idx="16">
                  <c:v>0.162332531795857</c:v>
                </c:pt>
                <c:pt idx="17">
                  <c:v>0.13075075795109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'8. Charts'!A35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Charts'!$B$31:$S$31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Charts'!$B$35:$S$35</c:f>
              <c:numCache>
                <c:formatCode>0.0%</c:formatCode>
                <c:ptCount val="18"/>
                <c:pt idx="1">
                  <c:v>0.583587398373984</c:v>
                </c:pt>
                <c:pt idx="2">
                  <c:v>0.43807155462859</c:v>
                </c:pt>
                <c:pt idx="3">
                  <c:v>0.541696881798405</c:v>
                </c:pt>
                <c:pt idx="4">
                  <c:v>0.470909617193719</c:v>
                </c:pt>
                <c:pt idx="5">
                  <c:v>0.37352716896662</c:v>
                </c:pt>
                <c:pt idx="6">
                  <c:v>0.266100146853397</c:v>
                </c:pt>
                <c:pt idx="7">
                  <c:v>0.215986647146606</c:v>
                </c:pt>
                <c:pt idx="8">
                  <c:v>0.371809785263942</c:v>
                </c:pt>
                <c:pt idx="9">
                  <c:v>-0.0111931755547829</c:v>
                </c:pt>
                <c:pt idx="10">
                  <c:v>0.156866108104863</c:v>
                </c:pt>
                <c:pt idx="11">
                  <c:v>0.219412754538513</c:v>
                </c:pt>
                <c:pt idx="12">
                  <c:v>0.221671732522796</c:v>
                </c:pt>
                <c:pt idx="13">
                  <c:v>0.2697512502177</c:v>
                </c:pt>
                <c:pt idx="14">
                  <c:v>0.20078317845173</c:v>
                </c:pt>
                <c:pt idx="15">
                  <c:v>0.166200396774889</c:v>
                </c:pt>
                <c:pt idx="16">
                  <c:v>0.13996879744046</c:v>
                </c:pt>
                <c:pt idx="17">
                  <c:v>0.119898057691976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'8. Charts'!A36</c:f>
              <c:strCache>
                <c:ptCount val="1"/>
                <c:pt idx="0">
                  <c:v>ORCL</c:v>
                </c:pt>
              </c:strCache>
            </c:strRef>
          </c:tx>
          <c:spPr>
            <a:solidFill>
              <a:srgbClr val="dcb7b6"/>
            </a:solidFill>
            <a:ln w="4752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Charts'!$B$31:$S$31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Charts'!$B$36:$S$36</c:f>
              <c:numCache>
                <c:formatCode>0.0%</c:formatCode>
                <c:ptCount val="18"/>
                <c:pt idx="1">
                  <c:v>0.0282393364292808</c:v>
                </c:pt>
                <c:pt idx="2">
                  <c:v>-0.00135752512726794</c:v>
                </c:pt>
                <c:pt idx="3">
                  <c:v>-0.031265521658432</c:v>
                </c:pt>
                <c:pt idx="4">
                  <c:v>0.0227217529751464</c:v>
                </c:pt>
                <c:pt idx="5">
                  <c:v>0.0404232301643843</c:v>
                </c:pt>
                <c:pt idx="6">
                  <c:v>0.0023839111359083</c:v>
                </c:pt>
                <c:pt idx="7">
                  <c:v>-0.0114358001265022</c:v>
                </c:pt>
                <c:pt idx="8">
                  <c:v>0.036035113761421</c:v>
                </c:pt>
                <c:pt idx="9">
                  <c:v>0.0484177762407054</c:v>
                </c:pt>
                <c:pt idx="10">
                  <c:v>0.17704578120214</c:v>
                </c:pt>
                <c:pt idx="11">
                  <c:v>0.060174156741067</c:v>
                </c:pt>
                <c:pt idx="12">
                  <c:v>0.0837975113762959</c:v>
                </c:pt>
                <c:pt idx="13">
                  <c:v>0.172263454067144</c:v>
                </c:pt>
                <c:pt idx="14">
                  <c:v>0.319457694122543</c:v>
                </c:pt>
                <c:pt idx="15">
                  <c:v>0.412955573662325</c:v>
                </c:pt>
                <c:pt idx="16">
                  <c:v>0.316855148927758</c:v>
                </c:pt>
                <c:pt idx="17">
                  <c:v>0.123262637826697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986721"/>
        <c:axId val="89426001"/>
      </c:lineChart>
      <c:catAx>
        <c:axId val="799867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26001"/>
        <c:crosses val="autoZero"/>
        <c:auto val="1"/>
        <c:lblAlgn val="ctr"/>
        <c:lblOffset val="100"/>
        <c:noMultiLvlLbl val="0"/>
      </c:catAx>
      <c:valAx>
        <c:axId val="894260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867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'8. Charts'!A41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903836"/>
            </a:solidFill>
            <a:ln w="4752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Charts'!$B$40:$S$40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Charts'!$B$41:$S$41</c:f>
              <c:numCache>
                <c:formatCode>0.0%</c:formatCode>
                <c:ptCount val="18"/>
                <c:pt idx="0">
                  <c:v>0.343793754576167</c:v>
                </c:pt>
                <c:pt idx="1">
                  <c:v>0.319682609146292</c:v>
                </c:pt>
                <c:pt idx="2">
                  <c:v>0.194069245565292</c:v>
                </c:pt>
                <c:pt idx="3">
                  <c:v>0.236544772620722</c:v>
                </c:pt>
                <c:pt idx="4">
                  <c:v>0.300556067556513</c:v>
                </c:pt>
                <c:pt idx="5">
                  <c:v>0.317669445451251</c:v>
                </c:pt>
                <c:pt idx="6">
                  <c:v>0.341369802054942</c:v>
                </c:pt>
                <c:pt idx="7">
                  <c:v>0.370303814285215</c:v>
                </c:pt>
                <c:pt idx="8">
                  <c:v>0.415948788729713</c:v>
                </c:pt>
                <c:pt idx="9">
                  <c:v>0.420552781560498</c:v>
                </c:pt>
                <c:pt idx="10">
                  <c:v>0.417728806361041</c:v>
                </c:pt>
                <c:pt idx="11">
                  <c:v>0.446442995732737</c:v>
                </c:pt>
                <c:pt idx="12">
                  <c:v>0.456219562408599</c:v>
                </c:pt>
                <c:pt idx="13">
                  <c:v>0.465802538269156</c:v>
                </c:pt>
                <c:pt idx="14">
                  <c:v>0.463117571257584</c:v>
                </c:pt>
                <c:pt idx="15">
                  <c:v>0.469393623381428</c:v>
                </c:pt>
                <c:pt idx="16">
                  <c:v>0.480824089640994</c:v>
                </c:pt>
                <c:pt idx="17">
                  <c:v>0.487820996536282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'8. Charts'!A42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Charts'!$B$40:$S$40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Charts'!$B$42:$S$42</c:f>
              <c:numCache>
                <c:formatCode>0.0%</c:formatCode>
                <c:ptCount val="18"/>
                <c:pt idx="0">
                  <c:v>0.0100063127073456</c:v>
                </c:pt>
                <c:pt idx="1">
                  <c:v>0.0020047556760207</c:v>
                </c:pt>
                <c:pt idx="2">
                  <c:v>0.0208641336141883</c:v>
                </c:pt>
                <c:pt idx="3">
                  <c:v>0.0307823541956216</c:v>
                </c:pt>
                <c:pt idx="4">
                  <c:v>0.023090416380871</c:v>
                </c:pt>
                <c:pt idx="5">
                  <c:v>0.0533305852194412</c:v>
                </c:pt>
                <c:pt idx="6">
                  <c:v>0.0518319418797813</c:v>
                </c:pt>
                <c:pt idx="7">
                  <c:v>0.0593139997513366</c:v>
                </c:pt>
                <c:pt idx="8">
                  <c:v>0.0529540975092695</c:v>
                </c:pt>
                <c:pt idx="9">
                  <c:v>0.0238295819122422</c:v>
                </c:pt>
                <c:pt idx="10">
                  <c:v>0.0641144079960333</c:v>
                </c:pt>
                <c:pt idx="11">
                  <c:v>0.107519448742004</c:v>
                </c:pt>
                <c:pt idx="12">
                  <c:v>0.111552967957552</c:v>
                </c:pt>
                <c:pt idx="13">
                  <c:v>0.131708463674658</c:v>
                </c:pt>
                <c:pt idx="14">
                  <c:v>0.154365760146159</c:v>
                </c:pt>
                <c:pt idx="15">
                  <c:v>0.172540408713261</c:v>
                </c:pt>
                <c:pt idx="16">
                  <c:v>0.188661589820496</c:v>
                </c:pt>
                <c:pt idx="17">
                  <c:v>0.202680597904355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'8. Charts'!A43</c:f>
              <c:strCache>
                <c:ptCount val="1"/>
                <c:pt idx="0">
                  <c:v>GOOGL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Charts'!$B$40:$S$40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Charts'!$B$43:$S$43</c:f>
              <c:numCache>
                <c:formatCode>0.0%</c:formatCode>
                <c:ptCount val="18"/>
                <c:pt idx="0">
                  <c:v>0.27743655325204</c:v>
                </c:pt>
                <c:pt idx="1">
                  <c:v>0.249935607036257</c:v>
                </c:pt>
                <c:pt idx="2">
                  <c:v>0.258171198442438</c:v>
                </c:pt>
                <c:pt idx="3">
                  <c:v>0.262717121588089</c:v>
                </c:pt>
                <c:pt idx="4">
                  <c:v>0.235857651887601</c:v>
                </c:pt>
                <c:pt idx="5">
                  <c:v>0.196997493038248</c:v>
                </c:pt>
                <c:pt idx="6">
                  <c:v>0.211489154006314</c:v>
                </c:pt>
                <c:pt idx="7">
                  <c:v>0.225851517857632</c:v>
                </c:pt>
                <c:pt idx="8">
                  <c:v>0.305522886852432</c:v>
                </c:pt>
                <c:pt idx="9">
                  <c:v>0.26461270842467</c:v>
                </c:pt>
                <c:pt idx="10">
                  <c:v>0.274218104452266</c:v>
                </c:pt>
                <c:pt idx="11">
                  <c:v>0.321097772114577</c:v>
                </c:pt>
                <c:pt idx="12">
                  <c:v>0.3203263859238</c:v>
                </c:pt>
                <c:pt idx="13">
                  <c:v>0.342669553816202</c:v>
                </c:pt>
                <c:pt idx="14">
                  <c:v>0.355253646282618</c:v>
                </c:pt>
                <c:pt idx="15">
                  <c:v>0.36181091725094</c:v>
                </c:pt>
                <c:pt idx="16">
                  <c:v>0.366157445799273</c:v>
                </c:pt>
                <c:pt idx="17">
                  <c:v>0.367020570414675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'8. Charts'!A44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Charts'!$B$40:$S$40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Charts'!$B$44:$S$44</c:f>
              <c:numCache>
                <c:formatCode>0.0%</c:formatCode>
                <c:ptCount val="18"/>
                <c:pt idx="0">
                  <c:v>0.35619918699187</c:v>
                </c:pt>
                <c:pt idx="1">
                  <c:v>0.400673832825285</c:v>
                </c:pt>
                <c:pt idx="2">
                  <c:v>0.347241590896413</c:v>
                </c:pt>
                <c:pt idx="3">
                  <c:v>0.449634561111513</c:v>
                </c:pt>
                <c:pt idx="4">
                  <c:v>0.496937495387794</c:v>
                </c:pt>
                <c:pt idx="5">
                  <c:v>0.446165693613668</c:v>
                </c:pt>
                <c:pt idx="6">
                  <c:v>0.339274221496114</c:v>
                </c:pt>
                <c:pt idx="7">
                  <c:v>0.380045599423028</c:v>
                </c:pt>
                <c:pt idx="8">
                  <c:v>0.396450406600582</c:v>
                </c:pt>
                <c:pt idx="9">
                  <c:v>0.248222692931077</c:v>
                </c:pt>
                <c:pt idx="10">
                  <c:v>0.346557846124195</c:v>
                </c:pt>
                <c:pt idx="11">
                  <c:v>0.421762917933131</c:v>
                </c:pt>
                <c:pt idx="12">
                  <c:v>0.414380613539671</c:v>
                </c:pt>
                <c:pt idx="13">
                  <c:v>0.354617777658644</c:v>
                </c:pt>
                <c:pt idx="14">
                  <c:v>0.340842115995234</c:v>
                </c:pt>
                <c:pt idx="15">
                  <c:v>0.331377350179063</c:v>
                </c:pt>
                <c:pt idx="16">
                  <c:v>0.32287495749683</c:v>
                </c:pt>
                <c:pt idx="17">
                  <c:v>0.313057785144646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'8. Charts'!A45</c:f>
              <c:strCache>
                <c:ptCount val="1"/>
                <c:pt idx="0">
                  <c:v>ORCL</c:v>
                </c:pt>
              </c:strCache>
            </c:strRef>
          </c:tx>
          <c:spPr>
            <a:solidFill>
              <a:srgbClr val="dcb7b6"/>
            </a:solidFill>
            <a:ln w="4752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Charts'!$B$40:$S$40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Charts'!$B$45:$S$45</c:f>
              <c:numCache>
                <c:formatCode>0.0%</c:formatCode>
                <c:ptCount val="18"/>
                <c:pt idx="0">
                  <c:v>0.39416959707943</c:v>
                </c:pt>
                <c:pt idx="1">
                  <c:v>0.385276073619632</c:v>
                </c:pt>
                <c:pt idx="2">
                  <c:v>0.36258594097195</c:v>
                </c:pt>
                <c:pt idx="3">
                  <c:v>0.34012467280136</c:v>
                </c:pt>
                <c:pt idx="4">
                  <c:v>0.335365049209742</c:v>
                </c:pt>
                <c:pt idx="5">
                  <c:v>0.336385077730719</c:v>
                </c:pt>
                <c:pt idx="6">
                  <c:v>0.342441492726123</c:v>
                </c:pt>
                <c:pt idx="7">
                  <c:v>0.355667596550047</c:v>
                </c:pt>
                <c:pt idx="8">
                  <c:v>0.375830636594946</c:v>
                </c:pt>
                <c:pt idx="9">
                  <c:v>0.257463301995712</c:v>
                </c:pt>
                <c:pt idx="10">
                  <c:v>0.262115904313883</c:v>
                </c:pt>
                <c:pt idx="11">
                  <c:v>0.289911444270312</c:v>
                </c:pt>
                <c:pt idx="12">
                  <c:v>0.307984459659576</c:v>
                </c:pt>
                <c:pt idx="13">
                  <c:v>0.289246248332696</c:v>
                </c:pt>
                <c:pt idx="14">
                  <c:v>0.23797825280389</c:v>
                </c:pt>
                <c:pt idx="15">
                  <c:v>0.294398702858343</c:v>
                </c:pt>
                <c:pt idx="16">
                  <c:v>0.32118626604911</c:v>
                </c:pt>
                <c:pt idx="17">
                  <c:v>0.312321387266789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420532"/>
        <c:axId val="55932156"/>
      </c:lineChart>
      <c:catAx>
        <c:axId val="124205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32156"/>
        <c:crosses val="autoZero"/>
        <c:auto val="1"/>
        <c:lblAlgn val="ctr"/>
        <c:lblOffset val="100"/>
        <c:noMultiLvlLbl val="0"/>
      </c:catAx>
      <c:valAx>
        <c:axId val="559321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205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D&amp;A / Revenue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'8. Charts'!A50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903836"/>
            </a:solidFill>
            <a:ln w="4752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Charts'!$B$49:$S$49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Charts'!$B$50:$S$50</c:f>
              <c:numCache>
                <c:formatCode>0.0%</c:formatCode>
                <c:ptCount val="18"/>
                <c:pt idx="0">
                  <c:v>0.0428907243509872</c:v>
                </c:pt>
                <c:pt idx="1">
                  <c:v>0.0488869439038154</c:v>
                </c:pt>
                <c:pt idx="2">
                  <c:v>0.0577046377431075</c:v>
                </c:pt>
                <c:pt idx="3">
                  <c:v>0.0688935771214252</c:v>
                </c:pt>
                <c:pt idx="4">
                  <c:v>0.0807695892141533</c:v>
                </c:pt>
                <c:pt idx="5">
                  <c:v>0.0897064153678869</c:v>
                </c:pt>
                <c:pt idx="6">
                  <c:v>0.0921783492129081</c:v>
                </c:pt>
                <c:pt idx="7">
                  <c:v>0.0860049645142118</c:v>
                </c:pt>
                <c:pt idx="8">
                  <c:v>0.0648469849126648</c:v>
                </c:pt>
                <c:pt idx="9">
                  <c:v>0.0736369597014173</c:v>
                </c:pt>
                <c:pt idx="10">
                  <c:v>0.0637047872967935</c:v>
                </c:pt>
                <c:pt idx="11">
                  <c:v>0.0815920235637764</c:v>
                </c:pt>
                <c:pt idx="12">
                  <c:v>0.0993880535559626</c:v>
                </c:pt>
                <c:pt idx="13">
                  <c:v>0.120322156151902</c:v>
                </c:pt>
                <c:pt idx="14">
                  <c:v>0.161305506475254</c:v>
                </c:pt>
                <c:pt idx="15">
                  <c:v>0.204963806289356</c:v>
                </c:pt>
                <c:pt idx="16">
                  <c:v>0.23749503625081</c:v>
                </c:pt>
                <c:pt idx="17">
                  <c:v>0.256198827702057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'8. Charts'!A51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Charts'!$B$49:$S$49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Charts'!$B$51:$S$51</c:f>
              <c:numCache>
                <c:formatCode>0.0%</c:formatCode>
                <c:ptCount val="18"/>
                <c:pt idx="0">
                  <c:v>0.0436919936067049</c:v>
                </c:pt>
                <c:pt idx="1">
                  <c:v>0.0533215565174787</c:v>
                </c:pt>
                <c:pt idx="2">
                  <c:v>0.0586973139974544</c:v>
                </c:pt>
                <c:pt idx="3">
                  <c:v>0.0596895291461684</c:v>
                </c:pt>
                <c:pt idx="4">
                  <c:v>0.0645317261309075</c:v>
                </c:pt>
                <c:pt idx="5">
                  <c:v>0.0658731487803098</c:v>
                </c:pt>
                <c:pt idx="6">
                  <c:v>0.0776730523809184</c:v>
                </c:pt>
                <c:pt idx="7">
                  <c:v>0.0654062538853662</c:v>
                </c:pt>
                <c:pt idx="8">
                  <c:v>0.0729978587635317</c:v>
                </c:pt>
                <c:pt idx="9">
                  <c:v>0.080666092069193</c:v>
                </c:pt>
                <c:pt idx="10">
                  <c:v>0.0846629609332185</c:v>
                </c:pt>
                <c:pt idx="11">
                  <c:v>0.0827561018811554</c:v>
                </c:pt>
                <c:pt idx="12">
                  <c:v>0.0917196243953334</c:v>
                </c:pt>
                <c:pt idx="13">
                  <c:v>0.0980858724771357</c:v>
                </c:pt>
                <c:pt idx="14">
                  <c:v>0.0958313626162915</c:v>
                </c:pt>
                <c:pt idx="15">
                  <c:v>0.113353361221732</c:v>
                </c:pt>
                <c:pt idx="16">
                  <c:v>0.127377899470562</c:v>
                </c:pt>
                <c:pt idx="17">
                  <c:v>0.13440275735048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'8. Charts'!A52</c:f>
              <c:strCache>
                <c:ptCount val="1"/>
                <c:pt idx="0">
                  <c:v>GOOGL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Charts'!$B$49:$S$49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Charts'!$B$52:$S$52</c:f>
              <c:numCache>
                <c:formatCode>0.0%</c:formatCode>
                <c:ptCount val="18"/>
                <c:pt idx="0">
                  <c:v>0.0500909598515823</c:v>
                </c:pt>
                <c:pt idx="1">
                  <c:v>0.0533779791215285</c:v>
                </c:pt>
                <c:pt idx="2">
                  <c:v>0.0551014148741816</c:v>
                </c:pt>
                <c:pt idx="3">
                  <c:v>0.0583458879829848</c:v>
                </c:pt>
                <c:pt idx="4">
                  <c:v>0.055053899237743</c:v>
                </c:pt>
                <c:pt idx="5">
                  <c:v>0.059670075062674</c:v>
                </c:pt>
                <c:pt idx="6">
                  <c:v>0.0670715508133723</c:v>
                </c:pt>
                <c:pt idx="7">
                  <c:v>0.0707018687646211</c:v>
                </c:pt>
                <c:pt idx="8">
                  <c:v>0.0448499245061851</c:v>
                </c:pt>
                <c:pt idx="9">
                  <c:v>0.0540489895204288</c:v>
                </c:pt>
                <c:pt idx="10">
                  <c:v>0.0433515293076638</c:v>
                </c:pt>
                <c:pt idx="11">
                  <c:v>0.0437434646218194</c:v>
                </c:pt>
                <c:pt idx="12">
                  <c:v>0.0524680018667646</c:v>
                </c:pt>
                <c:pt idx="13">
                  <c:v>0.0878078621508295</c:v>
                </c:pt>
                <c:pt idx="14">
                  <c:v>0.117551138236728</c:v>
                </c:pt>
                <c:pt idx="15">
                  <c:v>0.140202635391807</c:v>
                </c:pt>
                <c:pt idx="16">
                  <c:v>0.156603153029435</c:v>
                </c:pt>
                <c:pt idx="17">
                  <c:v>0.169388668170233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'8. Charts'!A53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Charts'!$B$49:$S$49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Charts'!$B$53:$S$53</c:f>
              <c:numCache>
                <c:formatCode>0.0%</c:formatCode>
                <c:ptCount val="18"/>
                <c:pt idx="0">
                  <c:v>0.12842987804878</c:v>
                </c:pt>
                <c:pt idx="1">
                  <c:v>0.0997112145034494</c:v>
                </c:pt>
                <c:pt idx="2">
                  <c:v>0.108495565348357</c:v>
                </c:pt>
                <c:pt idx="3">
                  <c:v>0.0847384036471525</c:v>
                </c:pt>
                <c:pt idx="4">
                  <c:v>0.0744102526258825</c:v>
                </c:pt>
                <c:pt idx="5">
                  <c:v>0.0772771231061284</c:v>
                </c:pt>
                <c:pt idx="6">
                  <c:v>0.0812062831964807</c:v>
                </c:pt>
                <c:pt idx="7">
                  <c:v>0.0798222553102389</c:v>
                </c:pt>
                <c:pt idx="8">
                  <c:v>0.0675491185374251</c:v>
                </c:pt>
                <c:pt idx="9">
                  <c:v>0.0744882470478265</c:v>
                </c:pt>
                <c:pt idx="10">
                  <c:v>0.0828533517171852</c:v>
                </c:pt>
                <c:pt idx="11">
                  <c:v>0.0942127659574468</c:v>
                </c:pt>
                <c:pt idx="12">
                  <c:v>0.0926330455551962</c:v>
                </c:pt>
                <c:pt idx="13">
                  <c:v>0.140906872115809</c:v>
                </c:pt>
                <c:pt idx="14">
                  <c:v>0.184728970793823</c:v>
                </c:pt>
                <c:pt idx="15">
                  <c:v>0.22007811861814</c:v>
                </c:pt>
                <c:pt idx="16">
                  <c:v>0.245661608068325</c:v>
                </c:pt>
                <c:pt idx="17">
                  <c:v>0.265100899909223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'8. Charts'!A54</c:f>
              <c:strCache>
                <c:ptCount val="1"/>
                <c:pt idx="0">
                  <c:v>ORCL</c:v>
                </c:pt>
              </c:strCache>
            </c:strRef>
          </c:tx>
          <c:spPr>
            <a:solidFill>
              <a:srgbClr val="dcb7b6"/>
            </a:solidFill>
            <a:ln w="4752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Charts'!$B$49:$S$49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Charts'!$B$54:$S$54</c:f>
              <c:numCache>
                <c:formatCode>0.0%</c:formatCode>
                <c:ptCount val="18"/>
                <c:pt idx="0">
                  <c:v>0.0146565377285051</c:v>
                </c:pt>
                <c:pt idx="1">
                  <c:v>0.0158726014880564</c:v>
                </c:pt>
                <c:pt idx="2">
                  <c:v>0.0186129192481635</c:v>
                </c:pt>
                <c:pt idx="3">
                  <c:v>0.0235043311655018</c:v>
                </c:pt>
                <c:pt idx="4">
                  <c:v>0.0263859204728357</c:v>
                </c:pt>
                <c:pt idx="5">
                  <c:v>0.0295452816312039</c:v>
                </c:pt>
                <c:pt idx="6">
                  <c:v>0.0311195445920304</c:v>
                </c:pt>
                <c:pt idx="7">
                  <c:v>0.035369692626622</c:v>
                </c:pt>
                <c:pt idx="8">
                  <c:v>0.0379684296336553</c:v>
                </c:pt>
                <c:pt idx="9">
                  <c:v>0.0464645036639099</c:v>
                </c:pt>
                <c:pt idx="10">
                  <c:v>0.0505655089580623</c:v>
                </c:pt>
                <c:pt idx="11">
                  <c:v>0.0590812107022148</c:v>
                </c:pt>
                <c:pt idx="12">
                  <c:v>0.0673705116813882</c:v>
                </c:pt>
                <c:pt idx="13">
                  <c:v>0.111485990926891</c:v>
                </c:pt>
                <c:pt idx="14">
                  <c:v>0.189999957198541</c:v>
                </c:pt>
                <c:pt idx="15">
                  <c:v>0.219999992028382</c:v>
                </c:pt>
                <c:pt idx="16">
                  <c:v>0.239999997578589</c:v>
                </c:pt>
                <c:pt idx="17">
                  <c:v>0.259999995688612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752547"/>
        <c:axId val="91485845"/>
      </c:lineChart>
      <c:catAx>
        <c:axId val="847525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85845"/>
        <c:crosses val="autoZero"/>
        <c:auto val="1"/>
        <c:lblAlgn val="ctr"/>
        <c:lblOffset val="100"/>
        <c:noMultiLvlLbl val="0"/>
      </c:catAx>
      <c:valAx>
        <c:axId val="914858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525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12</xdr:col>
      <xdr:colOff>305280</xdr:colOff>
      <xdr:row>31</xdr:row>
      <xdr:rowOff>126720</xdr:rowOff>
    </xdr:to>
    <xdr:graphicFrame>
      <xdr:nvGraphicFramePr>
        <xdr:cNvPr id="0" name="Chart 1"/>
        <xdr:cNvGraphicFramePr/>
      </xdr:nvGraphicFramePr>
      <xdr:xfrm>
        <a:off x="0" y="1828800"/>
        <a:ext cx="7917840" cy="43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0</xdr:rowOff>
    </xdr:from>
    <xdr:to>
      <xdr:col>12</xdr:col>
      <xdr:colOff>305280</xdr:colOff>
      <xdr:row>57</xdr:row>
      <xdr:rowOff>126720</xdr:rowOff>
    </xdr:to>
    <xdr:graphicFrame>
      <xdr:nvGraphicFramePr>
        <xdr:cNvPr id="1" name="Chart 2"/>
        <xdr:cNvGraphicFramePr/>
      </xdr:nvGraphicFramePr>
      <xdr:xfrm>
        <a:off x="0" y="6781680"/>
        <a:ext cx="7917840" cy="43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61</xdr:row>
      <xdr:rowOff>0</xdr:rowOff>
    </xdr:from>
    <xdr:to>
      <xdr:col>12</xdr:col>
      <xdr:colOff>305280</xdr:colOff>
      <xdr:row>83</xdr:row>
      <xdr:rowOff>127080</xdr:rowOff>
    </xdr:to>
    <xdr:graphicFrame>
      <xdr:nvGraphicFramePr>
        <xdr:cNvPr id="2" name="Chart 3"/>
        <xdr:cNvGraphicFramePr/>
      </xdr:nvGraphicFramePr>
      <xdr:xfrm>
        <a:off x="0" y="11734920"/>
        <a:ext cx="7917840" cy="43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9</xdr:row>
      <xdr:rowOff>0</xdr:rowOff>
    </xdr:from>
    <xdr:to>
      <xdr:col>22</xdr:col>
      <xdr:colOff>328320</xdr:colOff>
      <xdr:row>31</xdr:row>
      <xdr:rowOff>126720</xdr:rowOff>
    </xdr:to>
    <xdr:graphicFrame>
      <xdr:nvGraphicFramePr>
        <xdr:cNvPr id="3" name="Chart 4"/>
        <xdr:cNvGraphicFramePr/>
      </xdr:nvGraphicFramePr>
      <xdr:xfrm>
        <a:off x="6343560" y="1828800"/>
        <a:ext cx="7917840" cy="43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35</xdr:row>
      <xdr:rowOff>0</xdr:rowOff>
    </xdr:from>
    <xdr:to>
      <xdr:col>22</xdr:col>
      <xdr:colOff>328320</xdr:colOff>
      <xdr:row>57</xdr:row>
      <xdr:rowOff>126720</xdr:rowOff>
    </xdr:to>
    <xdr:graphicFrame>
      <xdr:nvGraphicFramePr>
        <xdr:cNvPr id="4" name="Chart 5"/>
        <xdr:cNvGraphicFramePr/>
      </xdr:nvGraphicFramePr>
      <xdr:xfrm>
        <a:off x="6343560" y="6781680"/>
        <a:ext cx="7917840" cy="43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61</xdr:row>
      <xdr:rowOff>0</xdr:rowOff>
    </xdr:from>
    <xdr:to>
      <xdr:col>22</xdr:col>
      <xdr:colOff>328320</xdr:colOff>
      <xdr:row>83</xdr:row>
      <xdr:rowOff>127080</xdr:rowOff>
    </xdr:to>
    <xdr:graphicFrame>
      <xdr:nvGraphicFramePr>
        <xdr:cNvPr id="5" name="Chart 6"/>
        <xdr:cNvGraphicFramePr/>
      </xdr:nvGraphicFramePr>
      <xdr:xfrm>
        <a:off x="6343560" y="11734920"/>
        <a:ext cx="7917840" cy="43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21" min="3" style="1" width="10.51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customFormat="false" ht="15" hidden="false" customHeight="true" outlineLevel="0" collapsed="false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</row>
    <row r="4" customFormat="false" ht="15" hidden="false" customHeight="true" outlineLevel="0" collapsed="false">
      <c r="A4" s="5" t="s">
        <v>21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customFormat="false" ht="15" hidden="false" customHeight="true" outlineLevel="0" collapsed="false">
      <c r="A5" s="6" t="s">
        <v>22</v>
      </c>
      <c r="B5" s="7" t="s">
        <v>23</v>
      </c>
      <c r="C5" s="8" t="n">
        <v>77849</v>
      </c>
      <c r="D5" s="8" t="n">
        <v>86833</v>
      </c>
      <c r="E5" s="8" t="n">
        <v>93580</v>
      </c>
      <c r="F5" s="8" t="n">
        <v>85320</v>
      </c>
      <c r="G5" s="8" t="n">
        <v>96571</v>
      </c>
      <c r="H5" s="8" t="n">
        <v>110360</v>
      </c>
      <c r="I5" s="8" t="n">
        <v>125843</v>
      </c>
      <c r="J5" s="8" t="n">
        <v>143015</v>
      </c>
      <c r="K5" s="8" t="n">
        <v>168088</v>
      </c>
      <c r="L5" s="8" t="n">
        <v>198270</v>
      </c>
      <c r="M5" s="8" t="n">
        <v>211915</v>
      </c>
      <c r="N5" s="8" t="n">
        <v>245122</v>
      </c>
      <c r="O5" s="8" t="n">
        <v>281724</v>
      </c>
      <c r="P5" s="8" t="n">
        <v>329440.24</v>
      </c>
      <c r="Q5" s="8" t="n">
        <v>387103.71</v>
      </c>
      <c r="R5" s="8" t="n">
        <v>463474.17</v>
      </c>
      <c r="S5" s="8" t="n">
        <v>553714.52</v>
      </c>
      <c r="T5" s="8" t="n">
        <v>652772.62</v>
      </c>
    </row>
    <row r="6" customFormat="false" ht="15" hidden="false" customHeight="true" outlineLevel="0" collapsed="false">
      <c r="A6" s="6" t="s">
        <v>22</v>
      </c>
      <c r="B6" s="7" t="s">
        <v>24</v>
      </c>
      <c r="C6" s="8" t="n">
        <v>26764</v>
      </c>
      <c r="D6" s="8" t="n">
        <v>27759</v>
      </c>
      <c r="E6" s="8" t="n">
        <v>18161</v>
      </c>
      <c r="F6" s="8" t="n">
        <v>20182</v>
      </c>
      <c r="G6" s="8" t="n">
        <v>29025</v>
      </c>
      <c r="H6" s="8" t="n">
        <v>35058</v>
      </c>
      <c r="I6" s="8" t="n">
        <v>42959</v>
      </c>
      <c r="J6" s="8" t="n">
        <v>52959</v>
      </c>
      <c r="K6" s="8" t="n">
        <v>69916</v>
      </c>
      <c r="L6" s="8" t="n">
        <v>83383</v>
      </c>
      <c r="M6" s="8" t="n">
        <v>88523</v>
      </c>
      <c r="N6" s="8" t="n">
        <v>109433</v>
      </c>
      <c r="O6" s="8" t="n">
        <v>128528</v>
      </c>
      <c r="P6" s="8" t="n">
        <v>153454.1</v>
      </c>
      <c r="Q6" s="8" t="n">
        <v>179274.53</v>
      </c>
      <c r="R6" s="8" t="n">
        <v>217551.82</v>
      </c>
      <c r="S6" s="8" t="n">
        <v>266239.28</v>
      </c>
      <c r="T6" s="8" t="n">
        <v>318436.19</v>
      </c>
    </row>
    <row r="7" customFormat="false" ht="15" hidden="false" customHeight="true" outlineLevel="0" collapsed="false">
      <c r="A7" s="6" t="s">
        <v>22</v>
      </c>
      <c r="B7" s="7" t="s">
        <v>25</v>
      </c>
      <c r="C7" s="8" t="n">
        <v>21863</v>
      </c>
      <c r="D7" s="8" t="n">
        <v>22074</v>
      </c>
      <c r="E7" s="8" t="n">
        <v>12193</v>
      </c>
      <c r="F7" s="8" t="n">
        <v>16798</v>
      </c>
      <c r="G7" s="8" t="n">
        <v>25489</v>
      </c>
      <c r="H7" s="8" t="n">
        <v>16571</v>
      </c>
      <c r="I7" s="8" t="n">
        <v>39240</v>
      </c>
      <c r="J7" s="8" t="n">
        <v>44281</v>
      </c>
      <c r="K7" s="8" t="n">
        <v>61271</v>
      </c>
      <c r="L7" s="8" t="n">
        <v>72738</v>
      </c>
      <c r="M7" s="8" t="n">
        <v>72361</v>
      </c>
      <c r="N7" s="8" t="n">
        <v>88136</v>
      </c>
      <c r="O7" s="8" t="n">
        <v>101832</v>
      </c>
      <c r="P7" s="8" t="n">
        <v>129372.86</v>
      </c>
      <c r="Q7" s="8" t="n">
        <v>144971.56</v>
      </c>
      <c r="R7" s="8" t="n">
        <v>175683.92</v>
      </c>
      <c r="S7" s="8" t="n">
        <v>215472.22</v>
      </c>
      <c r="T7" s="8" t="n">
        <v>258948.36</v>
      </c>
    </row>
    <row r="8" customFormat="false" ht="15" hidden="false" customHeight="true" outlineLevel="0" collapsed="false">
      <c r="A8" s="6" t="s">
        <v>22</v>
      </c>
      <c r="B8" s="7" t="s">
        <v>26</v>
      </c>
      <c r="C8" s="9" t="n">
        <v>2.63</v>
      </c>
      <c r="D8" s="9" t="n">
        <v>2.66</v>
      </c>
      <c r="E8" s="9" t="n">
        <v>2.59</v>
      </c>
      <c r="F8" s="9" t="n">
        <v>2.79</v>
      </c>
      <c r="G8" s="9" t="n">
        <v>3.29</v>
      </c>
      <c r="H8" s="9" t="n">
        <v>3.88</v>
      </c>
      <c r="I8" s="9" t="n">
        <v>4.75</v>
      </c>
      <c r="J8" s="9" t="n">
        <v>5.76</v>
      </c>
      <c r="K8" s="9" t="n">
        <v>7.97</v>
      </c>
      <c r="L8" s="9" t="n">
        <v>9.21</v>
      </c>
      <c r="M8" s="9" t="n">
        <v>9.81</v>
      </c>
      <c r="N8" s="9" t="n">
        <v>11.8</v>
      </c>
      <c r="O8" s="9" t="n">
        <v>13.91</v>
      </c>
      <c r="P8" s="9" t="n">
        <v>16.75</v>
      </c>
      <c r="Q8" s="9" t="n">
        <v>19.47</v>
      </c>
      <c r="R8" s="9" t="n">
        <v>23.61</v>
      </c>
      <c r="S8" s="9" t="n">
        <v>28.97</v>
      </c>
      <c r="T8" s="9" t="n">
        <v>34.82</v>
      </c>
    </row>
    <row r="9" customFormat="false" ht="15" hidden="false" customHeight="true" outlineLevel="0" collapsed="false">
      <c r="A9" s="6" t="s">
        <v>22</v>
      </c>
      <c r="B9" s="7" t="s">
        <v>27</v>
      </c>
      <c r="C9" s="8" t="n">
        <v>8452.25</v>
      </c>
      <c r="D9" s="8" t="n">
        <v>8385.25</v>
      </c>
      <c r="E9" s="8" t="n">
        <v>8254</v>
      </c>
      <c r="F9" s="8" t="n">
        <v>8012.25</v>
      </c>
      <c r="G9" s="8" t="n">
        <v>7831.25</v>
      </c>
      <c r="H9" s="8" t="n">
        <v>7792.25</v>
      </c>
      <c r="I9" s="8" t="n">
        <v>7752</v>
      </c>
      <c r="J9" s="8" t="n">
        <v>7681.5</v>
      </c>
      <c r="K9" s="8" t="n">
        <v>7607.75</v>
      </c>
      <c r="L9" s="8" t="n">
        <v>7540.5</v>
      </c>
      <c r="M9" s="8" t="n">
        <v>7472.25</v>
      </c>
      <c r="N9" s="8" t="n">
        <v>7468.5</v>
      </c>
      <c r="O9" s="8" t="n">
        <v>7467.75</v>
      </c>
      <c r="P9" s="8" t="n">
        <v>7453.97</v>
      </c>
      <c r="Q9" s="8" t="n">
        <v>7446.49</v>
      </c>
      <c r="R9" s="8" t="n">
        <v>7440.67</v>
      </c>
      <c r="S9" s="8" t="n">
        <v>7436.61</v>
      </c>
      <c r="T9" s="8" t="n">
        <v>7436.22</v>
      </c>
    </row>
    <row r="10" customFormat="false" ht="15" hidden="false" customHeight="true" outlineLevel="0" collapsed="false">
      <c r="A10" s="6" t="s">
        <v>22</v>
      </c>
      <c r="B10" s="7" t="s">
        <v>28</v>
      </c>
      <c r="C10" s="8" t="n">
        <v>2406</v>
      </c>
      <c r="D10" s="8" t="n">
        <v>2446</v>
      </c>
      <c r="E10" s="8" t="n">
        <v>2574</v>
      </c>
      <c r="F10" s="8" t="n">
        <v>2668</v>
      </c>
      <c r="G10" s="8" t="n">
        <v>3266</v>
      </c>
      <c r="H10" s="8" t="n">
        <v>3940</v>
      </c>
      <c r="I10" s="8" t="n">
        <v>4652</v>
      </c>
      <c r="J10" s="8" t="n">
        <v>5289</v>
      </c>
      <c r="K10" s="8" t="n">
        <v>6118</v>
      </c>
      <c r="L10" s="8" t="n">
        <v>7502</v>
      </c>
      <c r="M10" s="8" t="n">
        <v>9611</v>
      </c>
      <c r="N10" s="8" t="n">
        <v>10734</v>
      </c>
      <c r="O10" s="8" t="n">
        <v>11974</v>
      </c>
      <c r="P10" s="8" t="n">
        <v>12189</v>
      </c>
      <c r="Q10" s="8" t="n">
        <v>10478.4</v>
      </c>
      <c r="R10" s="8" t="n">
        <v>11434.24</v>
      </c>
      <c r="S10" s="8" t="n">
        <v>12826.56</v>
      </c>
      <c r="T10" s="8" t="n">
        <v>14871.62</v>
      </c>
    </row>
    <row r="11" customFormat="false" ht="15" hidden="false" customHeight="true" outlineLevel="0" collapsed="false">
      <c r="A11" s="6" t="s">
        <v>22</v>
      </c>
      <c r="B11" s="7" t="s">
        <v>29</v>
      </c>
      <c r="C11" s="8" t="n">
        <v>3339</v>
      </c>
      <c r="D11" s="8" t="n">
        <v>4245</v>
      </c>
      <c r="E11" s="8" t="n">
        <v>5400</v>
      </c>
      <c r="F11" s="8" t="n">
        <v>5878</v>
      </c>
      <c r="G11" s="8" t="n">
        <v>7800</v>
      </c>
      <c r="H11" s="8" t="n">
        <v>9900</v>
      </c>
      <c r="I11" s="8" t="n">
        <v>11600</v>
      </c>
      <c r="J11" s="8" t="n">
        <v>12300</v>
      </c>
      <c r="K11" s="8" t="n">
        <v>10900</v>
      </c>
      <c r="L11" s="8" t="n">
        <v>14600</v>
      </c>
      <c r="M11" s="8" t="n">
        <v>13500</v>
      </c>
      <c r="N11" s="8" t="n">
        <v>20000</v>
      </c>
      <c r="O11" s="8" t="n">
        <v>28000</v>
      </c>
      <c r="P11" s="8" t="n">
        <v>39638.96</v>
      </c>
      <c r="Q11" s="8" t="n">
        <v>62441.96</v>
      </c>
      <c r="R11" s="8" t="n">
        <v>94995.43</v>
      </c>
      <c r="S11" s="8" t="n">
        <v>131504.45</v>
      </c>
      <c r="T11" s="8" t="n">
        <v>167239.58</v>
      </c>
    </row>
    <row r="12" customFormat="false" ht="15" hidden="false" customHeight="true" outlineLevel="0" collapsed="false">
      <c r="A12" s="6" t="s">
        <v>22</v>
      </c>
      <c r="B12" s="7" t="s">
        <v>30</v>
      </c>
      <c r="C12" s="8" t="n">
        <v>4257</v>
      </c>
      <c r="D12" s="8" t="n">
        <v>5485</v>
      </c>
      <c r="E12" s="8" t="n">
        <v>5944</v>
      </c>
      <c r="F12" s="8" t="n">
        <v>8932</v>
      </c>
      <c r="G12" s="8" t="n">
        <v>10200</v>
      </c>
      <c r="H12" s="8" t="n">
        <v>13600</v>
      </c>
      <c r="I12" s="8" t="n">
        <v>16900</v>
      </c>
      <c r="J12" s="8" t="n">
        <v>19000</v>
      </c>
      <c r="K12" s="8" t="n">
        <v>24200</v>
      </c>
      <c r="L12" s="8" t="n">
        <v>29200</v>
      </c>
      <c r="M12" s="8" t="n">
        <v>31900</v>
      </c>
      <c r="N12" s="8" t="n">
        <v>55700</v>
      </c>
      <c r="O12" s="8" t="n">
        <v>88200</v>
      </c>
      <c r="P12" s="8" t="n">
        <v>145871.3</v>
      </c>
      <c r="Q12" s="8" t="n">
        <v>245263.45</v>
      </c>
      <c r="R12" s="8" t="n">
        <v>286760.35</v>
      </c>
      <c r="S12" s="8" t="n">
        <v>300210.91</v>
      </c>
      <c r="T12" s="8" t="n">
        <v>304616.04</v>
      </c>
    </row>
    <row r="13" customFormat="false" ht="15" hidden="false" customHeight="true" outlineLevel="0" collapsed="false">
      <c r="A13" s="6" t="s">
        <v>22</v>
      </c>
      <c r="B13" s="7" t="s">
        <v>31</v>
      </c>
      <c r="C13" s="8" t="n">
        <v>28833</v>
      </c>
      <c r="D13" s="8" t="n">
        <v>32231</v>
      </c>
      <c r="E13" s="8" t="n">
        <v>29080</v>
      </c>
      <c r="F13" s="8" t="n">
        <v>33325</v>
      </c>
      <c r="G13" s="8" t="n">
        <v>39507</v>
      </c>
      <c r="H13" s="8" t="n">
        <v>43884</v>
      </c>
      <c r="I13" s="8" t="n">
        <v>52185</v>
      </c>
      <c r="J13" s="8" t="n">
        <v>60675</v>
      </c>
      <c r="K13" s="8" t="n">
        <v>76740</v>
      </c>
      <c r="L13" s="8" t="n">
        <v>89035</v>
      </c>
      <c r="M13" s="8" t="n">
        <v>87582</v>
      </c>
      <c r="N13" s="8" t="n">
        <v>118548</v>
      </c>
      <c r="O13" s="8" t="n">
        <v>136162</v>
      </c>
      <c r="P13" s="8" t="n">
        <v>174558.18</v>
      </c>
      <c r="Q13" s="8" t="n">
        <v>232097.78</v>
      </c>
      <c r="R13" s="8" t="n">
        <v>294570.35</v>
      </c>
      <c r="S13" s="8" t="n">
        <v>359672.36</v>
      </c>
      <c r="T13" s="8" t="n">
        <v>438548.9</v>
      </c>
    </row>
    <row r="14" customFormat="false" ht="15" hidden="false" customHeight="true" outlineLevel="0" collapsed="false">
      <c r="A14" s="6" t="s">
        <v>22</v>
      </c>
      <c r="B14" s="7" t="s">
        <v>32</v>
      </c>
      <c r="C14" s="8" t="n">
        <v>24576</v>
      </c>
      <c r="D14" s="8" t="n">
        <v>26746</v>
      </c>
      <c r="E14" s="8" t="n">
        <v>23136</v>
      </c>
      <c r="F14" s="8" t="n">
        <v>24393</v>
      </c>
      <c r="G14" s="8" t="n">
        <v>29307</v>
      </c>
      <c r="H14" s="8" t="n">
        <v>30284</v>
      </c>
      <c r="I14" s="8" t="n">
        <v>35285</v>
      </c>
      <c r="J14" s="8" t="n">
        <v>41675</v>
      </c>
      <c r="K14" s="8" t="n">
        <v>52540</v>
      </c>
      <c r="L14" s="8" t="n">
        <v>59835</v>
      </c>
      <c r="M14" s="8" t="n">
        <v>55682</v>
      </c>
      <c r="N14" s="8" t="n">
        <v>62848</v>
      </c>
      <c r="O14" s="8" t="n">
        <v>47962</v>
      </c>
      <c r="P14" s="8" t="n">
        <v>28686.88</v>
      </c>
      <c r="Q14" s="8" t="n">
        <v>-13165.67</v>
      </c>
      <c r="R14" s="8" t="n">
        <v>7810</v>
      </c>
      <c r="S14" s="8" t="n">
        <v>59461.45</v>
      </c>
      <c r="T14" s="8" t="n">
        <v>133932.86</v>
      </c>
    </row>
    <row r="15" customFormat="false" ht="15" hidden="false" customHeight="true" outlineLevel="0" collapsed="false">
      <c r="A15" s="6" t="s">
        <v>22</v>
      </c>
      <c r="B15" s="7" t="s">
        <v>33</v>
      </c>
      <c r="C15" s="8" t="n">
        <v>5360</v>
      </c>
      <c r="D15" s="8" t="n">
        <v>7316</v>
      </c>
      <c r="E15" s="8" t="n">
        <v>14443</v>
      </c>
      <c r="F15" s="8" t="n">
        <v>15969</v>
      </c>
      <c r="G15" s="8" t="n">
        <v>11788</v>
      </c>
      <c r="H15" s="8" t="n">
        <v>10721</v>
      </c>
      <c r="I15" s="8" t="n">
        <v>19543</v>
      </c>
      <c r="J15" s="8" t="n">
        <v>22968</v>
      </c>
      <c r="K15" s="8" t="n">
        <v>27385</v>
      </c>
      <c r="L15" s="8" t="n">
        <v>32696</v>
      </c>
      <c r="M15" s="8" t="n">
        <v>22245</v>
      </c>
      <c r="N15" s="8" t="n">
        <v>17254</v>
      </c>
      <c r="O15" s="8" t="n">
        <v>18420</v>
      </c>
      <c r="P15" s="8" t="n">
        <v>22499.7</v>
      </c>
      <c r="Q15" s="8" t="n">
        <v>19070.28</v>
      </c>
      <c r="R15" s="8" t="n">
        <v>19500.41</v>
      </c>
      <c r="S15" s="8" t="n">
        <v>20126.95</v>
      </c>
      <c r="T15" s="8" t="n">
        <v>21047.23</v>
      </c>
    </row>
    <row r="16" customFormat="false" ht="15" hidden="false" customHeight="true" outlineLevel="0" collapsed="false">
      <c r="A16" s="6" t="s">
        <v>22</v>
      </c>
      <c r="B16" s="7" t="s">
        <v>34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72314</v>
      </c>
      <c r="N16" s="8" t="n">
        <v>87464</v>
      </c>
      <c r="O16" s="8" t="n">
        <v>106265</v>
      </c>
      <c r="P16" s="8" t="n">
        <v>136688.31</v>
      </c>
      <c r="Q16" s="8" t="n">
        <v>180358.14</v>
      </c>
      <c r="R16" s="8" t="n">
        <v>235873.55</v>
      </c>
      <c r="S16" s="8" t="n">
        <v>304531.45</v>
      </c>
      <c r="T16" s="8" t="n">
        <v>384276.13</v>
      </c>
    </row>
    <row r="17" customFormat="false" ht="15" hidden="false" customHeight="true" outlineLevel="0" collapsed="false">
      <c r="A17" s="6" t="s">
        <v>22</v>
      </c>
      <c r="B17" s="7" t="s">
        <v>35</v>
      </c>
      <c r="C17" s="8" t="n">
        <v>9991</v>
      </c>
      <c r="D17" s="8" t="n">
        <v>13011</v>
      </c>
      <c r="E17" s="8" t="n">
        <v>14731</v>
      </c>
      <c r="F17" s="8" t="n">
        <v>18356</v>
      </c>
      <c r="G17" s="8" t="n">
        <v>23734</v>
      </c>
      <c r="H17" s="8" t="n">
        <v>29460</v>
      </c>
      <c r="I17" s="8" t="n">
        <v>36477</v>
      </c>
      <c r="J17" s="8" t="n">
        <v>44151</v>
      </c>
      <c r="K17" s="8" t="n">
        <v>59715</v>
      </c>
      <c r="L17" s="8" t="n">
        <v>74398</v>
      </c>
      <c r="M17" s="8" t="n">
        <v>95641</v>
      </c>
      <c r="N17" s="8" t="n">
        <v>135591</v>
      </c>
      <c r="O17" s="8" t="n">
        <v>204966</v>
      </c>
      <c r="P17" s="8" t="n">
        <v>314226</v>
      </c>
      <c r="Q17" s="8" t="n">
        <v>499947.5</v>
      </c>
      <c r="R17" s="8" t="n">
        <v>693712.41</v>
      </c>
      <c r="S17" s="8" t="n">
        <v>864268.87</v>
      </c>
      <c r="T17" s="8" t="n">
        <v>1003045.34</v>
      </c>
    </row>
    <row r="18" customFormat="false" ht="15" hidden="false" customHeight="true" outlineLevel="0" collapsed="false">
      <c r="A18" s="6" t="s">
        <v>22</v>
      </c>
      <c r="B18" s="7" t="s">
        <v>36</v>
      </c>
      <c r="C18" s="10" t="n">
        <v>3.16</v>
      </c>
      <c r="D18" s="10" t="n">
        <v>2.69</v>
      </c>
      <c r="E18" s="10" t="n">
        <v>2.81</v>
      </c>
      <c r="F18" s="10" t="n">
        <v>2.83</v>
      </c>
      <c r="G18" s="10" t="n">
        <v>2.71</v>
      </c>
      <c r="H18" s="10" t="n">
        <v>2.73</v>
      </c>
      <c r="I18" s="10" t="n">
        <v>2.74</v>
      </c>
      <c r="J18" s="10" t="n">
        <v>3.08</v>
      </c>
      <c r="K18" s="10" t="n">
        <v>4.33</v>
      </c>
      <c r="L18" s="10" t="n">
        <v>4.12</v>
      </c>
      <c r="M18" s="10" t="n">
        <v>6.1</v>
      </c>
      <c r="N18" s="10" t="n">
        <v>5.59</v>
      </c>
      <c r="O18" s="10" t="n">
        <v>5.26</v>
      </c>
      <c r="P18" s="10" t="n">
        <v>4.89</v>
      </c>
      <c r="Q18" s="10" t="n">
        <v>4.36</v>
      </c>
      <c r="R18" s="10" t="n">
        <v>4.38</v>
      </c>
      <c r="S18" s="10" t="n">
        <v>4.6</v>
      </c>
      <c r="T18" s="10" t="n">
        <v>4.7</v>
      </c>
    </row>
    <row r="20" customFormat="false" ht="15" hidden="false" customHeight="true" outlineLevel="0" collapsed="false">
      <c r="A20" s="11" t="s">
        <v>37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customFormat="false" ht="15" hidden="false" customHeight="true" outlineLevel="0" collapsed="false">
      <c r="A21" s="6" t="s">
        <v>38</v>
      </c>
      <c r="B21" s="7" t="s">
        <v>23</v>
      </c>
      <c r="C21" s="8" t="n">
        <v>74453</v>
      </c>
      <c r="D21" s="8" t="n">
        <v>88988.4</v>
      </c>
      <c r="E21" s="8" t="n">
        <v>107006.6</v>
      </c>
      <c r="F21" s="8" t="n">
        <v>135987</v>
      </c>
      <c r="G21" s="8" t="n">
        <v>177866</v>
      </c>
      <c r="H21" s="8" t="n">
        <v>232887</v>
      </c>
      <c r="I21" s="8" t="n">
        <v>280522</v>
      </c>
      <c r="J21" s="8" t="n">
        <v>386064</v>
      </c>
      <c r="K21" s="8" t="n">
        <v>469822</v>
      </c>
      <c r="L21" s="8" t="n">
        <v>513983</v>
      </c>
      <c r="M21" s="8" t="n">
        <v>574785</v>
      </c>
      <c r="N21" s="8" t="n">
        <v>637959</v>
      </c>
      <c r="O21" s="8" t="n">
        <v>716924</v>
      </c>
      <c r="P21" s="8" t="n">
        <v>827599.51</v>
      </c>
      <c r="Q21" s="8" t="n">
        <v>946630.91</v>
      </c>
      <c r="R21" s="8" t="n">
        <v>1063340.59</v>
      </c>
      <c r="S21" s="8" t="n">
        <v>1183117.72</v>
      </c>
      <c r="T21" s="8" t="n">
        <v>1305415.48</v>
      </c>
    </row>
    <row r="22" customFormat="false" ht="15" hidden="false" customHeight="true" outlineLevel="0" collapsed="false">
      <c r="A22" s="6" t="s">
        <v>38</v>
      </c>
      <c r="B22" s="7" t="s">
        <v>24</v>
      </c>
      <c r="C22" s="8" t="n">
        <v>745</v>
      </c>
      <c r="D22" s="8" t="n">
        <v>178.4</v>
      </c>
      <c r="E22" s="8" t="n">
        <v>2232.6</v>
      </c>
      <c r="F22" s="8" t="n">
        <v>4186</v>
      </c>
      <c r="G22" s="8" t="n">
        <v>4107</v>
      </c>
      <c r="H22" s="8" t="n">
        <v>12420</v>
      </c>
      <c r="I22" s="8" t="n">
        <v>14540</v>
      </c>
      <c r="J22" s="8" t="n">
        <v>22899</v>
      </c>
      <c r="K22" s="8" t="n">
        <v>24879</v>
      </c>
      <c r="L22" s="8" t="n">
        <v>12248</v>
      </c>
      <c r="M22" s="8" t="n">
        <v>36852</v>
      </c>
      <c r="N22" s="8" t="n">
        <v>68593</v>
      </c>
      <c r="O22" s="8" t="n">
        <v>79975</v>
      </c>
      <c r="P22" s="8" t="n">
        <v>109001.86</v>
      </c>
      <c r="Q22" s="8" t="n">
        <v>146127.4</v>
      </c>
      <c r="R22" s="8" t="n">
        <v>183469.22</v>
      </c>
      <c r="S22" s="8" t="n">
        <v>223208.87</v>
      </c>
      <c r="T22" s="8" t="n">
        <v>264582.39</v>
      </c>
    </row>
    <row r="23" customFormat="false" ht="15" hidden="false" customHeight="true" outlineLevel="0" collapsed="false">
      <c r="A23" s="6" t="s">
        <v>38</v>
      </c>
      <c r="B23" s="7" t="s">
        <v>25</v>
      </c>
      <c r="C23" s="8" t="n">
        <v>273</v>
      </c>
      <c r="D23" s="8" t="n">
        <v>-240.6</v>
      </c>
      <c r="E23" s="8" t="n">
        <v>596.1</v>
      </c>
      <c r="F23" s="8" t="n">
        <v>2371</v>
      </c>
      <c r="G23" s="8" t="n">
        <v>3033</v>
      </c>
      <c r="H23" s="8" t="n">
        <v>10073</v>
      </c>
      <c r="I23" s="8" t="n">
        <v>11588</v>
      </c>
      <c r="J23" s="8" t="n">
        <v>21331</v>
      </c>
      <c r="K23" s="8" t="n">
        <v>33364</v>
      </c>
      <c r="L23" s="8" t="n">
        <v>-2722</v>
      </c>
      <c r="M23" s="8" t="n">
        <v>30425</v>
      </c>
      <c r="N23" s="8" t="n">
        <v>59248</v>
      </c>
      <c r="O23" s="8" t="n">
        <v>77670</v>
      </c>
      <c r="P23" s="8" t="n">
        <v>98333.72</v>
      </c>
      <c r="Q23" s="8" t="n">
        <v>116218.4</v>
      </c>
      <c r="R23" s="8" t="n">
        <v>145016.4</v>
      </c>
      <c r="S23" s="8" t="n">
        <v>177176.2</v>
      </c>
      <c r="T23" s="8" t="n">
        <v>211925.99</v>
      </c>
    </row>
    <row r="24" customFormat="false" ht="15" hidden="false" customHeight="true" outlineLevel="0" collapsed="false">
      <c r="A24" s="6" t="s">
        <v>38</v>
      </c>
      <c r="B24" s="7" t="s">
        <v>26</v>
      </c>
      <c r="C24" s="9" t="n">
        <v>0.03</v>
      </c>
      <c r="D24" s="9" t="n">
        <v>-0.03</v>
      </c>
      <c r="E24" s="9" t="n">
        <v>0.06</v>
      </c>
      <c r="F24" s="9" t="n">
        <v>0.24</v>
      </c>
      <c r="G24" s="9" t="n">
        <v>0.31</v>
      </c>
      <c r="H24" s="9" t="n">
        <v>1.01</v>
      </c>
      <c r="I24" s="9" t="n">
        <v>1.15</v>
      </c>
      <c r="J24" s="9" t="n">
        <v>2.08</v>
      </c>
      <c r="K24" s="9" t="n">
        <v>3.25</v>
      </c>
      <c r="L24" s="9" t="n">
        <v>-0.26</v>
      </c>
      <c r="M24" s="9" t="n">
        <v>2.88</v>
      </c>
      <c r="N24" s="9" t="n">
        <v>5.53</v>
      </c>
      <c r="O24" s="9" t="n">
        <v>7.17</v>
      </c>
      <c r="P24" s="9" t="n">
        <v>9.02</v>
      </c>
      <c r="Q24" s="9" t="n">
        <v>10.58</v>
      </c>
      <c r="R24" s="9" t="n">
        <v>13.11</v>
      </c>
      <c r="S24" s="9" t="n">
        <v>15.92</v>
      </c>
      <c r="T24" s="9" t="n">
        <v>18.92</v>
      </c>
    </row>
    <row r="25" customFormat="false" ht="15" hidden="false" customHeight="true" outlineLevel="0" collapsed="false">
      <c r="A25" s="6" t="s">
        <v>38</v>
      </c>
      <c r="B25" s="7" t="s">
        <v>27</v>
      </c>
      <c r="C25" s="8" t="n">
        <v>9340</v>
      </c>
      <c r="D25" s="8" t="n">
        <v>9440</v>
      </c>
      <c r="E25" s="8" t="n">
        <v>9620</v>
      </c>
      <c r="F25" s="8" t="n">
        <v>9720</v>
      </c>
      <c r="G25" s="8" t="n">
        <v>9910</v>
      </c>
      <c r="H25" s="8" t="n">
        <v>10020</v>
      </c>
      <c r="I25" s="8" t="n">
        <v>10100</v>
      </c>
      <c r="J25" s="8" t="n">
        <v>10254</v>
      </c>
      <c r="K25" s="8" t="n">
        <v>10274.5</v>
      </c>
      <c r="L25" s="8" t="n">
        <v>10296.5</v>
      </c>
      <c r="M25" s="8" t="n">
        <v>10568.69</v>
      </c>
      <c r="N25" s="8" t="n">
        <v>10721</v>
      </c>
      <c r="O25" s="8" t="n">
        <v>10827</v>
      </c>
      <c r="P25" s="8" t="n">
        <v>10907.55</v>
      </c>
      <c r="Q25" s="8" t="n">
        <v>10986.16</v>
      </c>
      <c r="R25" s="8" t="n">
        <v>11059.39</v>
      </c>
      <c r="S25" s="8" t="n">
        <v>11131.13</v>
      </c>
      <c r="T25" s="8" t="n">
        <v>11201.4</v>
      </c>
    </row>
    <row r="26" customFormat="false" ht="15" hidden="false" customHeight="true" outlineLevel="0" collapsed="false">
      <c r="A26" s="6" t="s">
        <v>38</v>
      </c>
      <c r="B26" s="7" t="s">
        <v>28</v>
      </c>
      <c r="C26" s="8" t="n">
        <v>-1134</v>
      </c>
      <c r="D26" s="8" t="n">
        <v>-1497</v>
      </c>
      <c r="E26" s="8" t="n">
        <v>-2120</v>
      </c>
      <c r="F26" s="8" t="n">
        <v>-2975</v>
      </c>
      <c r="G26" s="8" t="n">
        <v>-4214</v>
      </c>
      <c r="H26" s="8" t="n">
        <v>-5418</v>
      </c>
      <c r="I26" s="8" t="n">
        <v>-6864</v>
      </c>
      <c r="J26" s="8" t="n">
        <v>-9208</v>
      </c>
      <c r="K26" s="8" t="n">
        <v>-12757</v>
      </c>
      <c r="L26" s="8" t="n">
        <v>-19621</v>
      </c>
      <c r="M26" s="8" t="n">
        <v>-24023</v>
      </c>
      <c r="N26" s="8" t="n">
        <v>-22077.4</v>
      </c>
      <c r="O26" s="8" t="n">
        <v>-19467</v>
      </c>
      <c r="P26" s="8" t="n">
        <v>-18863.32</v>
      </c>
      <c r="Q26" s="8" t="n">
        <v>-17920.15</v>
      </c>
      <c r="R26" s="8" t="n">
        <v>-18816.16</v>
      </c>
      <c r="S26" s="8" t="n">
        <v>-19756.97</v>
      </c>
      <c r="T26" s="8" t="n">
        <v>-20744.82</v>
      </c>
    </row>
    <row r="27" customFormat="false" ht="15" hidden="false" customHeight="true" outlineLevel="0" collapsed="false">
      <c r="A27" s="6" t="s">
        <v>38</v>
      </c>
      <c r="B27" s="7" t="s">
        <v>29</v>
      </c>
      <c r="C27" s="8" t="n">
        <v>3253</v>
      </c>
      <c r="D27" s="8" t="n">
        <v>4745</v>
      </c>
      <c r="E27" s="8" t="n">
        <v>6281</v>
      </c>
      <c r="F27" s="8" t="n">
        <v>8117</v>
      </c>
      <c r="G27" s="8" t="n">
        <v>11478</v>
      </c>
      <c r="H27" s="8" t="n">
        <v>15341</v>
      </c>
      <c r="I27" s="8" t="n">
        <v>21789</v>
      </c>
      <c r="J27" s="8" t="n">
        <v>25251</v>
      </c>
      <c r="K27" s="8" t="n">
        <v>34296</v>
      </c>
      <c r="L27" s="8" t="n">
        <v>41461</v>
      </c>
      <c r="M27" s="8" t="n">
        <v>48663</v>
      </c>
      <c r="N27" s="8" t="n">
        <v>52795</v>
      </c>
      <c r="O27" s="8" t="n">
        <v>65756</v>
      </c>
      <c r="P27" s="8" t="n">
        <v>81175.82</v>
      </c>
      <c r="Q27" s="8" t="n">
        <v>90716.93</v>
      </c>
      <c r="R27" s="8" t="n">
        <v>120533.23</v>
      </c>
      <c r="S27" s="8" t="n">
        <v>150703.05</v>
      </c>
      <c r="T27" s="8" t="n">
        <v>175451.44</v>
      </c>
    </row>
    <row r="28" customFormat="false" ht="15" hidden="false" customHeight="true" outlineLevel="0" collapsed="false">
      <c r="A28" s="6" t="s">
        <v>38</v>
      </c>
      <c r="B28" s="7" t="s">
        <v>30</v>
      </c>
      <c r="C28" s="8" t="n">
        <v>3443</v>
      </c>
      <c r="D28" s="8" t="n">
        <v>4892</v>
      </c>
      <c r="E28" s="8" t="n">
        <v>4588</v>
      </c>
      <c r="F28" s="8" t="n">
        <v>6736</v>
      </c>
      <c r="G28" s="8" t="n">
        <v>10057</v>
      </c>
      <c r="H28" s="8" t="n">
        <v>11322</v>
      </c>
      <c r="I28" s="8" t="n">
        <v>12690</v>
      </c>
      <c r="J28" s="8" t="n">
        <v>35046</v>
      </c>
      <c r="K28" s="8" t="n">
        <v>55396</v>
      </c>
      <c r="L28" s="8" t="n">
        <v>58321</v>
      </c>
      <c r="M28" s="8" t="n">
        <v>48133</v>
      </c>
      <c r="N28" s="8" t="n">
        <v>77658</v>
      </c>
      <c r="O28" s="8" t="n">
        <v>128320</v>
      </c>
      <c r="P28" s="8" t="n">
        <v>200104.98</v>
      </c>
      <c r="Q28" s="8" t="n">
        <v>270141.72</v>
      </c>
      <c r="R28" s="8" t="n">
        <v>283648.81</v>
      </c>
      <c r="S28" s="8" t="n">
        <v>297831.25</v>
      </c>
      <c r="T28" s="8" t="n">
        <v>312722.81</v>
      </c>
    </row>
    <row r="29" customFormat="false" ht="15" hidden="false" customHeight="true" outlineLevel="0" collapsed="false">
      <c r="A29" s="6" t="s">
        <v>38</v>
      </c>
      <c r="B29" s="7" t="s">
        <v>31</v>
      </c>
      <c r="C29" s="8" t="n">
        <v>5474</v>
      </c>
      <c r="D29" s="8" t="n">
        <v>6841.4</v>
      </c>
      <c r="E29" s="8" t="n">
        <v>11920.1</v>
      </c>
      <c r="F29" s="8" t="n">
        <v>17271</v>
      </c>
      <c r="G29" s="8" t="n">
        <v>18434</v>
      </c>
      <c r="H29" s="8" t="n">
        <v>30724</v>
      </c>
      <c r="I29" s="8" t="n">
        <v>38515</v>
      </c>
      <c r="J29" s="8" t="n">
        <v>66064</v>
      </c>
      <c r="K29" s="8" t="n">
        <v>46327</v>
      </c>
      <c r="L29" s="8" t="n">
        <v>46752</v>
      </c>
      <c r="M29" s="8" t="n">
        <v>84946</v>
      </c>
      <c r="N29" s="8" t="n">
        <v>115877</v>
      </c>
      <c r="O29" s="8" t="n">
        <v>139514</v>
      </c>
      <c r="P29" s="8" t="n">
        <v>181004.31</v>
      </c>
      <c r="Q29" s="8" t="n">
        <v>224443.7</v>
      </c>
      <c r="R29" s="8" t="n">
        <v>281471.71</v>
      </c>
      <c r="S29" s="8" t="n">
        <v>342814.42</v>
      </c>
      <c r="T29" s="8" t="n">
        <v>401080.41</v>
      </c>
    </row>
    <row r="30" customFormat="false" ht="15" hidden="false" customHeight="true" outlineLevel="0" collapsed="false">
      <c r="A30" s="6" t="s">
        <v>38</v>
      </c>
      <c r="B30" s="7" t="s">
        <v>32</v>
      </c>
      <c r="C30" s="8" t="n">
        <v>2031</v>
      </c>
      <c r="D30" s="8" t="n">
        <v>1949.4</v>
      </c>
      <c r="E30" s="8" t="n">
        <v>7332.1</v>
      </c>
      <c r="F30" s="8" t="n">
        <v>10535</v>
      </c>
      <c r="G30" s="8" t="n">
        <v>8377</v>
      </c>
      <c r="H30" s="8" t="n">
        <v>19402</v>
      </c>
      <c r="I30" s="8" t="n">
        <v>25825</v>
      </c>
      <c r="J30" s="8" t="n">
        <v>31018</v>
      </c>
      <c r="K30" s="8" t="n">
        <v>-9069</v>
      </c>
      <c r="L30" s="8" t="n">
        <v>-11569</v>
      </c>
      <c r="M30" s="8" t="n">
        <v>36813</v>
      </c>
      <c r="N30" s="8" t="n">
        <v>38219</v>
      </c>
      <c r="O30" s="8" t="n">
        <v>11194</v>
      </c>
      <c r="P30" s="8" t="n">
        <v>-19100.67</v>
      </c>
      <c r="Q30" s="8" t="n">
        <v>-45698.02</v>
      </c>
      <c r="R30" s="8" t="n">
        <v>-2177.1</v>
      </c>
      <c r="S30" s="8" t="n">
        <v>44983.17</v>
      </c>
      <c r="T30" s="8" t="n">
        <v>88357.6</v>
      </c>
    </row>
    <row r="31" customFormat="false" ht="15" hidden="false" customHeight="true" outlineLevel="0" collapsed="false">
      <c r="A31" s="6" t="s">
        <v>38</v>
      </c>
      <c r="B31" s="7" t="s">
        <v>33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6000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</row>
    <row r="32" customFormat="false" ht="15" hidden="false" customHeight="true" outlineLevel="0" collapsed="false">
      <c r="A32" s="6" t="s">
        <v>38</v>
      </c>
      <c r="B32" s="7" t="s">
        <v>39</v>
      </c>
      <c r="C32" s="8" t="n">
        <v>3107.57</v>
      </c>
      <c r="D32" s="8" t="n">
        <v>4644</v>
      </c>
      <c r="E32" s="8" t="n">
        <v>7880</v>
      </c>
      <c r="F32" s="8" t="n">
        <v>12219</v>
      </c>
      <c r="G32" s="8" t="n">
        <v>17458</v>
      </c>
      <c r="H32" s="8" t="n">
        <v>25656</v>
      </c>
      <c r="I32" s="8" t="n">
        <v>35026</v>
      </c>
      <c r="J32" s="8" t="n">
        <v>45370</v>
      </c>
      <c r="K32" s="8" t="n">
        <v>62202</v>
      </c>
      <c r="L32" s="8" t="n">
        <v>80096</v>
      </c>
      <c r="M32" s="8" t="n">
        <v>90757</v>
      </c>
      <c r="N32" s="8" t="n">
        <v>107556</v>
      </c>
      <c r="O32" s="8" t="n">
        <v>128725</v>
      </c>
      <c r="P32" s="8" t="n">
        <v>171284.9</v>
      </c>
      <c r="Q32" s="8" t="n">
        <v>225587.94</v>
      </c>
      <c r="R32" s="8" t="n">
        <v>274421.67</v>
      </c>
      <c r="S32" s="8" t="n">
        <v>323817.58</v>
      </c>
      <c r="T32" s="8" t="n">
        <v>374009.3</v>
      </c>
    </row>
    <row r="33" customFormat="false" ht="15" hidden="false" customHeight="true" outlineLevel="0" collapsed="false">
      <c r="A33" s="6" t="s">
        <v>38</v>
      </c>
      <c r="B33" s="7" t="s">
        <v>40</v>
      </c>
      <c r="C33" s="12"/>
      <c r="D33" s="8" t="n">
        <v>458</v>
      </c>
      <c r="E33" s="8" t="n">
        <v>1508</v>
      </c>
      <c r="F33" s="8" t="n">
        <v>3109</v>
      </c>
      <c r="G33" s="8" t="n">
        <v>4331</v>
      </c>
      <c r="H33" s="8" t="n">
        <v>7296</v>
      </c>
      <c r="I33" s="8" t="n">
        <v>9201</v>
      </c>
      <c r="J33" s="8" t="n">
        <v>13531</v>
      </c>
      <c r="K33" s="8" t="n">
        <v>18532</v>
      </c>
      <c r="L33" s="8" t="n">
        <v>22841</v>
      </c>
      <c r="M33" s="8" t="n">
        <v>24631</v>
      </c>
      <c r="N33" s="8" t="n">
        <v>39834</v>
      </c>
      <c r="O33" s="8" t="n">
        <v>45606</v>
      </c>
      <c r="P33" s="8" t="n">
        <v>61254.41</v>
      </c>
      <c r="Q33" s="8" t="n">
        <v>81248.3</v>
      </c>
      <c r="R33" s="8" t="n">
        <v>100888.47</v>
      </c>
      <c r="S33" s="8" t="n">
        <v>121477.03</v>
      </c>
      <c r="T33" s="8" t="n">
        <v>143111.04</v>
      </c>
    </row>
    <row r="35" customFormat="false" ht="15" hidden="false" customHeight="true" outlineLevel="0" collapsed="false">
      <c r="A35" s="13" t="s">
        <v>41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customFormat="false" ht="15" hidden="false" customHeight="true" outlineLevel="0" collapsed="false">
      <c r="A36" s="6" t="s">
        <v>42</v>
      </c>
      <c r="B36" s="7" t="s">
        <v>23</v>
      </c>
      <c r="C36" s="8" t="n">
        <v>55519</v>
      </c>
      <c r="D36" s="8" t="n">
        <v>66001</v>
      </c>
      <c r="E36" s="8" t="n">
        <v>74989</v>
      </c>
      <c r="F36" s="8" t="n">
        <v>90272</v>
      </c>
      <c r="G36" s="8" t="n">
        <v>110855</v>
      </c>
      <c r="H36" s="8" t="n">
        <v>136819</v>
      </c>
      <c r="I36" s="8" t="n">
        <v>161857</v>
      </c>
      <c r="J36" s="8" t="n">
        <v>182527</v>
      </c>
      <c r="K36" s="8" t="n">
        <v>257637</v>
      </c>
      <c r="L36" s="8" t="n">
        <v>282836</v>
      </c>
      <c r="M36" s="8" t="n">
        <v>307394</v>
      </c>
      <c r="N36" s="8" t="n">
        <v>350018</v>
      </c>
      <c r="O36" s="8" t="n">
        <v>402836</v>
      </c>
      <c r="P36" s="8" t="n">
        <v>488278.6</v>
      </c>
      <c r="Q36" s="8" t="n">
        <v>591935.74</v>
      </c>
      <c r="R36" s="8" t="n">
        <v>701414.49</v>
      </c>
      <c r="S36" s="8" t="n">
        <v>815276.88</v>
      </c>
      <c r="T36" s="8" t="n">
        <v>921874.95</v>
      </c>
    </row>
    <row r="37" customFormat="false" ht="15" hidden="false" customHeight="true" outlineLevel="0" collapsed="false">
      <c r="A37" s="6" t="s">
        <v>42</v>
      </c>
      <c r="B37" s="7" t="s">
        <v>24</v>
      </c>
      <c r="C37" s="8" t="n">
        <v>15403</v>
      </c>
      <c r="D37" s="8" t="n">
        <v>16496</v>
      </c>
      <c r="E37" s="8" t="n">
        <v>19360</v>
      </c>
      <c r="F37" s="8" t="n">
        <v>23716</v>
      </c>
      <c r="G37" s="8" t="n">
        <v>26146</v>
      </c>
      <c r="H37" s="8" t="n">
        <v>26953</v>
      </c>
      <c r="I37" s="8" t="n">
        <v>34231</v>
      </c>
      <c r="J37" s="8" t="n">
        <v>41224</v>
      </c>
      <c r="K37" s="8" t="n">
        <v>78714</v>
      </c>
      <c r="L37" s="8" t="n">
        <v>74842</v>
      </c>
      <c r="M37" s="8" t="n">
        <v>84293</v>
      </c>
      <c r="N37" s="8" t="n">
        <v>112390</v>
      </c>
      <c r="O37" s="8" t="n">
        <v>129039</v>
      </c>
      <c r="P37" s="8" t="n">
        <v>167318.21</v>
      </c>
      <c r="Q37" s="8" t="n">
        <v>210287.33</v>
      </c>
      <c r="R37" s="8" t="n">
        <v>253779.42</v>
      </c>
      <c r="S37" s="8" t="n">
        <v>298519.7</v>
      </c>
      <c r="T37" s="8" t="n">
        <v>338347.07</v>
      </c>
    </row>
    <row r="38" customFormat="false" ht="15" hidden="false" customHeight="true" outlineLevel="0" collapsed="false">
      <c r="A38" s="6" t="s">
        <v>42</v>
      </c>
      <c r="B38" s="7" t="s">
        <v>25</v>
      </c>
      <c r="C38" s="8" t="n">
        <v>12720</v>
      </c>
      <c r="D38" s="8" t="n">
        <v>14136</v>
      </c>
      <c r="E38" s="8" t="n">
        <v>16348</v>
      </c>
      <c r="F38" s="8" t="n">
        <v>19478</v>
      </c>
      <c r="G38" s="8" t="n">
        <v>12662</v>
      </c>
      <c r="H38" s="8" t="n">
        <v>30736</v>
      </c>
      <c r="I38" s="8" t="n">
        <v>34343</v>
      </c>
      <c r="J38" s="8" t="n">
        <v>40269</v>
      </c>
      <c r="K38" s="8" t="n">
        <v>76033</v>
      </c>
      <c r="L38" s="8" t="n">
        <v>59972</v>
      </c>
      <c r="M38" s="8" t="n">
        <v>73795</v>
      </c>
      <c r="N38" s="8" t="n">
        <v>100118</v>
      </c>
      <c r="O38" s="8" t="n">
        <v>132170</v>
      </c>
      <c r="P38" s="8" t="n">
        <v>168543.28</v>
      </c>
      <c r="Q38" s="8" t="n">
        <v>174626.97</v>
      </c>
      <c r="R38" s="8" t="n">
        <v>210753.44</v>
      </c>
      <c r="S38" s="8" t="n">
        <v>249488.6</v>
      </c>
      <c r="T38" s="8" t="n">
        <v>285975.76</v>
      </c>
    </row>
    <row r="39" customFormat="false" ht="15" hidden="false" customHeight="true" outlineLevel="0" collapsed="false">
      <c r="A39" s="6" t="s">
        <v>42</v>
      </c>
      <c r="B39" s="7" t="s">
        <v>26</v>
      </c>
      <c r="C39" s="9" t="n">
        <v>0.94</v>
      </c>
      <c r="D39" s="9" t="n">
        <v>1.03</v>
      </c>
      <c r="E39" s="9" t="n">
        <v>1.18</v>
      </c>
      <c r="F39" s="9" t="n">
        <v>1.39</v>
      </c>
      <c r="G39" s="9" t="n">
        <v>0.9</v>
      </c>
      <c r="H39" s="9" t="n">
        <v>2.19</v>
      </c>
      <c r="I39" s="9" t="n">
        <v>2.46</v>
      </c>
      <c r="J39" s="9" t="n">
        <v>2.93</v>
      </c>
      <c r="K39" s="9" t="n">
        <v>5.61</v>
      </c>
      <c r="L39" s="9" t="n">
        <v>4.56</v>
      </c>
      <c r="M39" s="9" t="n">
        <v>5.8</v>
      </c>
      <c r="N39" s="9" t="n">
        <v>8.04</v>
      </c>
      <c r="O39" s="9" t="n">
        <v>10.81</v>
      </c>
      <c r="P39" s="9" t="n">
        <v>13.73</v>
      </c>
      <c r="Q39" s="9" t="n">
        <v>14.16</v>
      </c>
      <c r="R39" s="9" t="n">
        <v>17.04</v>
      </c>
      <c r="S39" s="9" t="n">
        <v>20.12</v>
      </c>
      <c r="T39" s="9" t="n">
        <v>22.99</v>
      </c>
    </row>
    <row r="40" customFormat="false" ht="15" hidden="false" customHeight="true" outlineLevel="0" collapsed="false">
      <c r="A40" s="6" t="s">
        <v>42</v>
      </c>
      <c r="B40" s="7" t="s">
        <v>27</v>
      </c>
      <c r="C40" s="8" t="n">
        <v>13552.38</v>
      </c>
      <c r="D40" s="8" t="n">
        <v>13741.41</v>
      </c>
      <c r="E40" s="8" t="n">
        <v>13858.6</v>
      </c>
      <c r="F40" s="8" t="n">
        <v>13974.09</v>
      </c>
      <c r="G40" s="8" t="n">
        <v>14071.67</v>
      </c>
      <c r="H40" s="8" t="n">
        <v>14065.69</v>
      </c>
      <c r="I40" s="8" t="n">
        <v>13971.13</v>
      </c>
      <c r="J40" s="8" t="n">
        <v>13740.56</v>
      </c>
      <c r="K40" s="8" t="n">
        <v>13553</v>
      </c>
      <c r="L40" s="8" t="n">
        <v>13159</v>
      </c>
      <c r="M40" s="8" t="n">
        <v>12722</v>
      </c>
      <c r="N40" s="8" t="n">
        <v>12447</v>
      </c>
      <c r="O40" s="8" t="n">
        <v>12230</v>
      </c>
      <c r="P40" s="8" t="n">
        <v>12275.96</v>
      </c>
      <c r="Q40" s="8" t="n">
        <v>12335.53</v>
      </c>
      <c r="R40" s="8" t="n">
        <v>12366.42</v>
      </c>
      <c r="S40" s="8" t="n">
        <v>12399.99</v>
      </c>
      <c r="T40" s="8" t="n">
        <v>12436.85</v>
      </c>
    </row>
    <row r="41" customFormat="false" ht="15" hidden="false" customHeight="true" outlineLevel="0" collapsed="false">
      <c r="A41" s="6" t="s">
        <v>42</v>
      </c>
      <c r="B41" s="7" t="s">
        <v>28</v>
      </c>
      <c r="C41" s="8" t="n">
        <v>-3268</v>
      </c>
      <c r="D41" s="8" t="n">
        <v>-4175</v>
      </c>
      <c r="E41" s="8" t="n">
        <v>-4903</v>
      </c>
      <c r="F41" s="8" t="n">
        <v>-6703</v>
      </c>
      <c r="G41" s="8" t="n">
        <v>-7679</v>
      </c>
      <c r="H41" s="8" t="n">
        <v>-9353</v>
      </c>
      <c r="I41" s="8" t="n">
        <v>-10794</v>
      </c>
      <c r="J41" s="8" t="n">
        <v>-12991</v>
      </c>
      <c r="K41" s="8" t="n">
        <v>-15376</v>
      </c>
      <c r="L41" s="8" t="n">
        <v>-19362</v>
      </c>
      <c r="M41" s="8" t="n">
        <v>-22460</v>
      </c>
      <c r="N41" s="8" t="n">
        <v>-22785</v>
      </c>
      <c r="O41" s="8" t="n">
        <v>-24953</v>
      </c>
      <c r="P41" s="8" t="n">
        <v>-27937.33</v>
      </c>
      <c r="Q41" s="8" t="n">
        <v>-30032.63</v>
      </c>
      <c r="R41" s="8" t="n">
        <v>-31979.73</v>
      </c>
      <c r="S41" s="8" t="n">
        <v>-33657.1</v>
      </c>
      <c r="T41" s="8" t="n">
        <v>-35339.95</v>
      </c>
    </row>
    <row r="42" customFormat="false" ht="15" hidden="false" customHeight="true" outlineLevel="0" collapsed="false">
      <c r="A42" s="6" t="s">
        <v>42</v>
      </c>
      <c r="B42" s="7" t="s">
        <v>29</v>
      </c>
      <c r="C42" s="8" t="n">
        <v>2781</v>
      </c>
      <c r="D42" s="8" t="n">
        <v>3523</v>
      </c>
      <c r="E42" s="8" t="n">
        <v>4132</v>
      </c>
      <c r="F42" s="8" t="n">
        <v>5267</v>
      </c>
      <c r="G42" s="8" t="n">
        <v>6103</v>
      </c>
      <c r="H42" s="8" t="n">
        <v>8164</v>
      </c>
      <c r="I42" s="8" t="n">
        <v>10856</v>
      </c>
      <c r="J42" s="8" t="n">
        <v>12905</v>
      </c>
      <c r="K42" s="8" t="n">
        <v>11555</v>
      </c>
      <c r="L42" s="8" t="n">
        <v>15287</v>
      </c>
      <c r="M42" s="8" t="n">
        <v>13326</v>
      </c>
      <c r="N42" s="8" t="n">
        <v>15311</v>
      </c>
      <c r="O42" s="8" t="n">
        <v>21136</v>
      </c>
      <c r="P42" s="8" t="n">
        <v>42874.7</v>
      </c>
      <c r="Q42" s="8" t="n">
        <v>69582.72</v>
      </c>
      <c r="R42" s="8" t="n">
        <v>98340.16</v>
      </c>
      <c r="S42" s="8" t="n">
        <v>127674.93</v>
      </c>
      <c r="T42" s="8" t="n">
        <v>156155.17</v>
      </c>
    </row>
    <row r="43" customFormat="false" ht="15" hidden="false" customHeight="true" outlineLevel="0" collapsed="false">
      <c r="A43" s="6" t="s">
        <v>42</v>
      </c>
      <c r="B43" s="7" t="s">
        <v>30</v>
      </c>
      <c r="C43" s="8" t="n">
        <v>7358</v>
      </c>
      <c r="D43" s="8" t="n">
        <v>10959</v>
      </c>
      <c r="E43" s="8" t="n">
        <v>9915</v>
      </c>
      <c r="F43" s="8" t="n">
        <v>10183</v>
      </c>
      <c r="G43" s="8" t="n">
        <v>13184</v>
      </c>
      <c r="H43" s="8" t="n">
        <v>25139</v>
      </c>
      <c r="I43" s="8" t="n">
        <v>23548</v>
      </c>
      <c r="J43" s="8" t="n">
        <v>22281</v>
      </c>
      <c r="K43" s="8" t="n">
        <v>24640</v>
      </c>
      <c r="L43" s="8" t="n">
        <v>31485</v>
      </c>
      <c r="M43" s="8" t="n">
        <v>32251</v>
      </c>
      <c r="N43" s="8" t="n">
        <v>52535</v>
      </c>
      <c r="O43" s="8" t="n">
        <v>91447</v>
      </c>
      <c r="P43" s="8" t="n">
        <v>185234.28</v>
      </c>
      <c r="Q43" s="8" t="n">
        <v>259327.99</v>
      </c>
      <c r="R43" s="8" t="n">
        <v>285260.79</v>
      </c>
      <c r="S43" s="8" t="n">
        <v>299523.83</v>
      </c>
      <c r="T43" s="8" t="n">
        <v>314500.02</v>
      </c>
    </row>
    <row r="44" customFormat="false" ht="15" hidden="false" customHeight="true" outlineLevel="0" collapsed="false">
      <c r="A44" s="6" t="s">
        <v>42</v>
      </c>
      <c r="B44" s="7" t="s">
        <v>31</v>
      </c>
      <c r="C44" s="8" t="n">
        <v>18584</v>
      </c>
      <c r="D44" s="8" t="n">
        <v>22272</v>
      </c>
      <c r="E44" s="8" t="n">
        <v>25829</v>
      </c>
      <c r="F44" s="8" t="n">
        <v>36036</v>
      </c>
      <c r="G44" s="8" t="n">
        <v>37091</v>
      </c>
      <c r="H44" s="8" t="n">
        <v>47971</v>
      </c>
      <c r="I44" s="8" t="n">
        <v>54520</v>
      </c>
      <c r="J44" s="8" t="n">
        <v>65124</v>
      </c>
      <c r="K44" s="8" t="n">
        <v>91652</v>
      </c>
      <c r="L44" s="8" t="n">
        <v>91495</v>
      </c>
      <c r="M44" s="8" t="n">
        <v>101746</v>
      </c>
      <c r="N44" s="8" t="n">
        <v>125299</v>
      </c>
      <c r="O44" s="8" t="n">
        <v>164713</v>
      </c>
      <c r="P44" s="8" t="n">
        <v>211985.47</v>
      </c>
      <c r="Q44" s="8" t="n">
        <v>282346.21</v>
      </c>
      <c r="R44" s="8" t="n">
        <v>352943.8</v>
      </c>
      <c r="S44" s="8" t="n">
        <v>424226.82</v>
      </c>
      <c r="T44" s="8" t="n">
        <v>490867.35</v>
      </c>
    </row>
    <row r="45" customFormat="false" ht="15" hidden="false" customHeight="true" outlineLevel="0" collapsed="false">
      <c r="A45" s="6" t="s">
        <v>42</v>
      </c>
      <c r="B45" s="7" t="s">
        <v>32</v>
      </c>
      <c r="C45" s="8" t="n">
        <v>11226</v>
      </c>
      <c r="D45" s="8" t="n">
        <v>11313</v>
      </c>
      <c r="E45" s="8" t="n">
        <v>15914</v>
      </c>
      <c r="F45" s="8" t="n">
        <v>25853</v>
      </c>
      <c r="G45" s="8" t="n">
        <v>23907</v>
      </c>
      <c r="H45" s="8" t="n">
        <v>22832</v>
      </c>
      <c r="I45" s="8" t="n">
        <v>30972</v>
      </c>
      <c r="J45" s="8" t="n">
        <v>42843</v>
      </c>
      <c r="K45" s="8" t="n">
        <v>67012</v>
      </c>
      <c r="L45" s="8" t="n">
        <v>60010</v>
      </c>
      <c r="M45" s="8" t="n">
        <v>69495</v>
      </c>
      <c r="N45" s="8" t="n">
        <v>72764</v>
      </c>
      <c r="O45" s="8" t="n">
        <v>73266</v>
      </c>
      <c r="P45" s="8" t="n">
        <v>26751.19</v>
      </c>
      <c r="Q45" s="8" t="n">
        <v>23018.22</v>
      </c>
      <c r="R45" s="8" t="n">
        <v>67683.01</v>
      </c>
      <c r="S45" s="8" t="n">
        <v>124702.99</v>
      </c>
      <c r="T45" s="8" t="n">
        <v>176367.33</v>
      </c>
    </row>
    <row r="46" customFormat="false" ht="15" hidden="false" customHeight="true" outlineLevel="0" collapsed="false">
      <c r="A46" s="6" t="s">
        <v>42</v>
      </c>
      <c r="B46" s="7" t="s">
        <v>33</v>
      </c>
      <c r="C46" s="8" t="n">
        <v>0</v>
      </c>
      <c r="D46" s="8" t="n">
        <v>0</v>
      </c>
      <c r="E46" s="8" t="n">
        <v>1827</v>
      </c>
      <c r="F46" s="8" t="n">
        <v>3693</v>
      </c>
      <c r="G46" s="8" t="n">
        <v>4846</v>
      </c>
      <c r="H46" s="8" t="n">
        <v>9075</v>
      </c>
      <c r="I46" s="8" t="n">
        <v>18396</v>
      </c>
      <c r="J46" s="8" t="n">
        <v>31149</v>
      </c>
      <c r="K46" s="8" t="n">
        <v>50274</v>
      </c>
      <c r="L46" s="8" t="n">
        <v>59296</v>
      </c>
      <c r="M46" s="8" t="n">
        <v>61504</v>
      </c>
      <c r="N46" s="8" t="n">
        <v>62222</v>
      </c>
      <c r="O46" s="8" t="n">
        <v>45709</v>
      </c>
      <c r="P46" s="8" t="n">
        <v>0</v>
      </c>
      <c r="Q46" s="8" t="n">
        <v>20000</v>
      </c>
      <c r="R46" s="8" t="n">
        <v>20000</v>
      </c>
      <c r="S46" s="8" t="n">
        <v>20000</v>
      </c>
      <c r="T46" s="8" t="n">
        <v>15000</v>
      </c>
    </row>
    <row r="47" customFormat="false" ht="15" hidden="false" customHeight="true" outlineLevel="0" collapsed="false">
      <c r="A47" s="6" t="s">
        <v>42</v>
      </c>
      <c r="B47" s="7" t="s">
        <v>43</v>
      </c>
      <c r="C47" s="12"/>
      <c r="D47" s="12"/>
      <c r="E47" s="12"/>
      <c r="F47" s="12"/>
      <c r="G47" s="8" t="n">
        <v>4056</v>
      </c>
      <c r="H47" s="8" t="n">
        <v>5838</v>
      </c>
      <c r="I47" s="8" t="n">
        <v>8918</v>
      </c>
      <c r="J47" s="8" t="n">
        <v>13059</v>
      </c>
      <c r="K47" s="8" t="n">
        <v>19206</v>
      </c>
      <c r="L47" s="8" t="n">
        <v>26280</v>
      </c>
      <c r="M47" s="8" t="n">
        <v>33088</v>
      </c>
      <c r="N47" s="8" t="n">
        <v>43229</v>
      </c>
      <c r="O47" s="8" t="n">
        <v>58705</v>
      </c>
      <c r="P47" s="8" t="n">
        <v>99085.93</v>
      </c>
      <c r="Q47" s="8" t="n">
        <v>157303.91</v>
      </c>
      <c r="R47" s="8" t="n">
        <v>220225.47</v>
      </c>
      <c r="S47" s="8" t="n">
        <v>286293.12</v>
      </c>
      <c r="T47" s="8" t="n">
        <v>343551.74</v>
      </c>
    </row>
    <row r="48" customFormat="false" ht="15" hidden="false" customHeight="true" outlineLevel="0" collapsed="false">
      <c r="A48" s="6" t="s">
        <v>42</v>
      </c>
      <c r="B48" s="7" t="s">
        <v>44</v>
      </c>
      <c r="C48" s="12"/>
      <c r="D48" s="12"/>
      <c r="E48" s="12"/>
      <c r="F48" s="12"/>
      <c r="G48" s="8" t="n">
        <v>69811</v>
      </c>
      <c r="H48" s="8" t="n">
        <v>85296</v>
      </c>
      <c r="I48" s="8" t="n">
        <v>98115</v>
      </c>
      <c r="J48" s="8" t="n">
        <v>104062</v>
      </c>
      <c r="K48" s="8" t="n">
        <v>148951</v>
      </c>
      <c r="L48" s="8" t="n">
        <v>162450</v>
      </c>
      <c r="M48" s="8" t="n">
        <v>175033</v>
      </c>
      <c r="N48" s="8" t="n">
        <v>198084</v>
      </c>
      <c r="O48" s="8" t="n">
        <v>224532</v>
      </c>
      <c r="P48" s="8" t="n">
        <v>258723.55</v>
      </c>
      <c r="Q48" s="8" t="n">
        <v>291360.5</v>
      </c>
      <c r="R48" s="8" t="n">
        <v>324483.39</v>
      </c>
      <c r="S48" s="8" t="n">
        <v>358139.29</v>
      </c>
      <c r="T48" s="8" t="n">
        <v>392613.71</v>
      </c>
    </row>
    <row r="49" customFormat="false" ht="15" hidden="false" customHeight="true" outlineLevel="0" collapsed="false">
      <c r="A49" s="6" t="s">
        <v>42</v>
      </c>
      <c r="B49" s="7" t="s">
        <v>45</v>
      </c>
      <c r="C49" s="12"/>
      <c r="D49" s="12"/>
      <c r="E49" s="12"/>
      <c r="F49" s="12"/>
      <c r="G49" s="8" t="n">
        <v>8150</v>
      </c>
      <c r="H49" s="8" t="n">
        <v>11115</v>
      </c>
      <c r="I49" s="8" t="n">
        <v>15149</v>
      </c>
      <c r="J49" s="8" t="n">
        <v>19772</v>
      </c>
      <c r="K49" s="8" t="n">
        <v>28845</v>
      </c>
      <c r="L49" s="8" t="n">
        <v>29243</v>
      </c>
      <c r="M49" s="8" t="n">
        <v>31510</v>
      </c>
      <c r="N49" s="8" t="n">
        <v>36147</v>
      </c>
      <c r="O49" s="8" t="n">
        <v>40367</v>
      </c>
      <c r="P49" s="8" t="n">
        <v>43997.73</v>
      </c>
      <c r="Q49" s="8" t="n">
        <v>49277.45</v>
      </c>
      <c r="R49" s="8" t="n">
        <v>54574.78</v>
      </c>
      <c r="S49" s="8" t="n">
        <v>59759.38</v>
      </c>
      <c r="T49" s="8" t="n">
        <v>64838.93</v>
      </c>
    </row>
    <row r="50" customFormat="false" ht="15" hidden="false" customHeight="true" outlineLevel="0" collapsed="false">
      <c r="A50" s="6" t="s">
        <v>42</v>
      </c>
      <c r="B50" s="7" t="s">
        <v>46</v>
      </c>
      <c r="C50" s="12"/>
      <c r="D50" s="12"/>
      <c r="E50" s="12"/>
      <c r="F50" s="12"/>
      <c r="G50" s="12"/>
      <c r="H50" s="8" t="n">
        <v>-4348</v>
      </c>
      <c r="I50" s="8" t="n">
        <v>-4645</v>
      </c>
      <c r="J50" s="8" t="n">
        <v>-5607</v>
      </c>
      <c r="K50" s="8" t="n">
        <v>-2282</v>
      </c>
      <c r="L50" s="8" t="n">
        <v>-1922</v>
      </c>
      <c r="M50" s="8" t="n">
        <v>1716</v>
      </c>
      <c r="N50" s="8" t="n">
        <v>6112</v>
      </c>
      <c r="O50" s="8" t="n">
        <v>13910</v>
      </c>
      <c r="P50" s="8" t="n">
        <v>32420.97</v>
      </c>
      <c r="Q50" s="8" t="n">
        <v>57771.82</v>
      </c>
      <c r="R50" s="8" t="n">
        <v>85285.05</v>
      </c>
      <c r="S50" s="8" t="n">
        <v>113733.5</v>
      </c>
      <c r="T50" s="8" t="n">
        <v>138713.29</v>
      </c>
    </row>
    <row r="52" customFormat="false" ht="15" hidden="false" customHeight="true" outlineLevel="0" collapsed="false">
      <c r="A52" s="14" t="s">
        <v>47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</row>
    <row r="53" customFormat="false" ht="15" hidden="false" customHeight="true" outlineLevel="0" collapsed="false">
      <c r="A53" s="6" t="s">
        <v>48</v>
      </c>
      <c r="B53" s="7" t="s">
        <v>23</v>
      </c>
      <c r="C53" s="8" t="n">
        <v>7872</v>
      </c>
      <c r="D53" s="8" t="n">
        <v>12466</v>
      </c>
      <c r="E53" s="8" t="n">
        <v>17927</v>
      </c>
      <c r="F53" s="8" t="n">
        <v>27638</v>
      </c>
      <c r="G53" s="8" t="n">
        <v>40653</v>
      </c>
      <c r="H53" s="8" t="n">
        <v>55838</v>
      </c>
      <c r="I53" s="8" t="n">
        <v>70696.5</v>
      </c>
      <c r="J53" s="8" t="n">
        <v>85966</v>
      </c>
      <c r="K53" s="8" t="n">
        <v>117929</v>
      </c>
      <c r="L53" s="8" t="n">
        <v>116609</v>
      </c>
      <c r="M53" s="8" t="n">
        <v>134901</v>
      </c>
      <c r="N53" s="8" t="n">
        <v>164500</v>
      </c>
      <c r="O53" s="8" t="n">
        <v>200965</v>
      </c>
      <c r="P53" s="8" t="n">
        <v>255175.56</v>
      </c>
      <c r="Q53" s="8" t="n">
        <v>306410.52</v>
      </c>
      <c r="R53" s="8" t="n">
        <v>357336.07</v>
      </c>
      <c r="S53" s="8" t="n">
        <v>407351.97</v>
      </c>
      <c r="T53" s="8" t="n">
        <v>456192.68</v>
      </c>
    </row>
    <row r="54" customFormat="false" ht="15" hidden="false" customHeight="true" outlineLevel="0" collapsed="false">
      <c r="A54" s="6" t="s">
        <v>48</v>
      </c>
      <c r="B54" s="7" t="s">
        <v>24</v>
      </c>
      <c r="C54" s="8" t="n">
        <v>2804</v>
      </c>
      <c r="D54" s="8" t="n">
        <v>4994.8</v>
      </c>
      <c r="E54" s="8" t="n">
        <v>6225</v>
      </c>
      <c r="F54" s="8" t="n">
        <v>12427</v>
      </c>
      <c r="G54" s="8" t="n">
        <v>20202</v>
      </c>
      <c r="H54" s="8" t="n">
        <v>24913</v>
      </c>
      <c r="I54" s="8" t="n">
        <v>23985.5</v>
      </c>
      <c r="J54" s="8" t="n">
        <v>32671</v>
      </c>
      <c r="K54" s="8" t="n">
        <v>46753</v>
      </c>
      <c r="L54" s="8" t="n">
        <v>28945</v>
      </c>
      <c r="M54" s="8" t="n">
        <v>46751</v>
      </c>
      <c r="N54" s="8" t="n">
        <v>69380</v>
      </c>
      <c r="O54" s="8" t="n">
        <v>83276</v>
      </c>
      <c r="P54" s="8" t="n">
        <v>90489.79</v>
      </c>
      <c r="Q54" s="8" t="n">
        <v>104437.61</v>
      </c>
      <c r="R54" s="8" t="n">
        <v>118413.08</v>
      </c>
      <c r="S54" s="8" t="n">
        <v>131523.75</v>
      </c>
      <c r="T54" s="8" t="n">
        <v>142814.67</v>
      </c>
    </row>
    <row r="55" customFormat="false" ht="15" hidden="false" customHeight="true" outlineLevel="0" collapsed="false">
      <c r="A55" s="6" t="s">
        <v>48</v>
      </c>
      <c r="B55" s="7" t="s">
        <v>25</v>
      </c>
      <c r="C55" s="8" t="n">
        <v>1491</v>
      </c>
      <c r="D55" s="8" t="n">
        <v>2924.8</v>
      </c>
      <c r="E55" s="8" t="n">
        <v>3669</v>
      </c>
      <c r="F55" s="8" t="n">
        <v>10187.2</v>
      </c>
      <c r="G55" s="8" t="n">
        <v>15919</v>
      </c>
      <c r="H55" s="8" t="n">
        <v>22112</v>
      </c>
      <c r="I55" s="8" t="n">
        <v>18484.5</v>
      </c>
      <c r="J55" s="8" t="n">
        <v>29145</v>
      </c>
      <c r="K55" s="8" t="n">
        <v>39370</v>
      </c>
      <c r="L55" s="8" t="n">
        <v>23199</v>
      </c>
      <c r="M55" s="8" t="n">
        <v>39097</v>
      </c>
      <c r="N55" s="8" t="n">
        <v>62360</v>
      </c>
      <c r="O55" s="8" t="n">
        <v>60458</v>
      </c>
      <c r="P55" s="8" t="n">
        <v>85782.86</v>
      </c>
      <c r="Q55" s="8" t="n">
        <v>91160.94</v>
      </c>
      <c r="R55" s="8" t="n">
        <v>103452.71</v>
      </c>
      <c r="S55" s="8" t="n">
        <v>115846.5</v>
      </c>
      <c r="T55" s="8" t="n">
        <v>127804.37</v>
      </c>
    </row>
    <row r="56" customFormat="false" ht="15" hidden="false" customHeight="true" outlineLevel="0" collapsed="false">
      <c r="A56" s="6" t="s">
        <v>48</v>
      </c>
      <c r="B56" s="7" t="s">
        <v>26</v>
      </c>
      <c r="C56" s="9" t="n">
        <v>0.59</v>
      </c>
      <c r="D56" s="9" t="n">
        <v>1.1</v>
      </c>
      <c r="E56" s="9" t="n">
        <v>1.28</v>
      </c>
      <c r="F56" s="9" t="n">
        <v>3.48</v>
      </c>
      <c r="G56" s="9" t="n">
        <v>5.39</v>
      </c>
      <c r="H56" s="9" t="n">
        <v>7.66</v>
      </c>
      <c r="I56" s="9" t="n">
        <v>6.44</v>
      </c>
      <c r="J56" s="9" t="n">
        <v>10.08</v>
      </c>
      <c r="K56" s="9" t="n">
        <v>14.07</v>
      </c>
      <c r="L56" s="9" t="n">
        <v>8.79</v>
      </c>
      <c r="M56" s="9" t="n">
        <v>14.87</v>
      </c>
      <c r="N56" s="9" t="n">
        <v>23.99</v>
      </c>
      <c r="O56" s="9" t="n">
        <v>23.49</v>
      </c>
      <c r="P56" s="9" t="n">
        <v>33.28</v>
      </c>
      <c r="Q56" s="9" t="n">
        <v>34.94</v>
      </c>
      <c r="R56" s="9" t="n">
        <v>39.24</v>
      </c>
      <c r="S56" s="9" t="n">
        <v>43.51</v>
      </c>
      <c r="T56" s="9" t="n">
        <v>47.52</v>
      </c>
    </row>
    <row r="57" customFormat="false" ht="15" hidden="false" customHeight="true" outlineLevel="0" collapsed="false">
      <c r="A57" s="6" t="s">
        <v>48</v>
      </c>
      <c r="B57" s="7" t="s">
        <v>27</v>
      </c>
      <c r="C57" s="8" t="n">
        <v>2521.75</v>
      </c>
      <c r="D57" s="8" t="n">
        <v>2671</v>
      </c>
      <c r="E57" s="8" t="n">
        <v>2856.75</v>
      </c>
      <c r="F57" s="8" t="n">
        <v>2923.75</v>
      </c>
      <c r="G57" s="8" t="n">
        <v>2954</v>
      </c>
      <c r="H57" s="8" t="n">
        <v>2886</v>
      </c>
      <c r="I57" s="8" t="n">
        <v>2871</v>
      </c>
      <c r="J57" s="8" t="n">
        <v>2890</v>
      </c>
      <c r="K57" s="8" t="n">
        <v>2799</v>
      </c>
      <c r="L57" s="8" t="n">
        <v>2640</v>
      </c>
      <c r="M57" s="8" t="n">
        <v>2630</v>
      </c>
      <c r="N57" s="8" t="n">
        <v>2599</v>
      </c>
      <c r="O57" s="8" t="n">
        <v>2574</v>
      </c>
      <c r="P57" s="8" t="n">
        <v>2577.79</v>
      </c>
      <c r="Q57" s="8" t="n">
        <v>2609.3</v>
      </c>
      <c r="R57" s="8" t="n">
        <v>2636.12</v>
      </c>
      <c r="S57" s="8" t="n">
        <v>2662.83</v>
      </c>
      <c r="T57" s="8" t="n">
        <v>2689.4</v>
      </c>
    </row>
    <row r="58" customFormat="false" ht="15" hidden="false" customHeight="true" outlineLevel="0" collapsed="false">
      <c r="A58" s="6" t="s">
        <v>48</v>
      </c>
      <c r="B58" s="7" t="s">
        <v>28</v>
      </c>
      <c r="C58" s="8" t="n">
        <v>-906</v>
      </c>
      <c r="D58" s="8" t="n">
        <v>-1837</v>
      </c>
      <c r="E58" s="8" t="n">
        <v>-2969</v>
      </c>
      <c r="F58" s="8" t="n">
        <v>-3202</v>
      </c>
      <c r="G58" s="8" t="n">
        <v>-3723</v>
      </c>
      <c r="H58" s="8" t="n">
        <v>-4152</v>
      </c>
      <c r="I58" s="8" t="n">
        <v>-4835</v>
      </c>
      <c r="J58" s="8" t="n">
        <v>-6536</v>
      </c>
      <c r="K58" s="8" t="n">
        <v>-9163</v>
      </c>
      <c r="L58" s="8" t="n">
        <v>-11991</v>
      </c>
      <c r="M58" s="8" t="n">
        <v>-14027</v>
      </c>
      <c r="N58" s="8" t="n">
        <v>-16690</v>
      </c>
      <c r="O58" s="8" t="n">
        <v>-20426</v>
      </c>
      <c r="P58" s="8" t="n">
        <v>-23722.2</v>
      </c>
      <c r="Q58" s="8" t="n">
        <v>-24908.31</v>
      </c>
      <c r="R58" s="8" t="n">
        <v>-26153.73</v>
      </c>
      <c r="S58" s="8" t="n">
        <v>-27461.41</v>
      </c>
      <c r="T58" s="8" t="n">
        <v>-28834.48</v>
      </c>
    </row>
    <row r="59" customFormat="false" ht="15" hidden="false" customHeight="true" outlineLevel="0" collapsed="false">
      <c r="A59" s="6" t="s">
        <v>48</v>
      </c>
      <c r="B59" s="7" t="s">
        <v>29</v>
      </c>
      <c r="C59" s="8" t="n">
        <v>1011</v>
      </c>
      <c r="D59" s="8" t="n">
        <v>1243</v>
      </c>
      <c r="E59" s="8" t="n">
        <v>1945</v>
      </c>
      <c r="F59" s="8" t="n">
        <v>2342</v>
      </c>
      <c r="G59" s="8" t="n">
        <v>3025</v>
      </c>
      <c r="H59" s="8" t="n">
        <v>4315</v>
      </c>
      <c r="I59" s="8" t="n">
        <v>5741</v>
      </c>
      <c r="J59" s="8" t="n">
        <v>6862</v>
      </c>
      <c r="K59" s="8" t="n">
        <v>7966</v>
      </c>
      <c r="L59" s="8" t="n">
        <v>8686</v>
      </c>
      <c r="M59" s="8" t="n">
        <v>11177</v>
      </c>
      <c r="N59" s="8" t="n">
        <v>15498</v>
      </c>
      <c r="O59" s="8" t="n">
        <v>18616</v>
      </c>
      <c r="P59" s="8" t="n">
        <v>35955.99</v>
      </c>
      <c r="Q59" s="8" t="n">
        <v>56602.9</v>
      </c>
      <c r="R59" s="8" t="n">
        <v>78641.85</v>
      </c>
      <c r="S59" s="8" t="n">
        <v>100070.74</v>
      </c>
      <c r="T59" s="8" t="n">
        <v>120937.09</v>
      </c>
    </row>
    <row r="60" customFormat="false" ht="15" hidden="false" customHeight="true" outlineLevel="0" collapsed="false">
      <c r="A60" s="6" t="s">
        <v>48</v>
      </c>
      <c r="B60" s="7" t="s">
        <v>30</v>
      </c>
      <c r="C60" s="8" t="n">
        <v>1362</v>
      </c>
      <c r="D60" s="8" t="n">
        <v>1831</v>
      </c>
      <c r="E60" s="8" t="n">
        <v>2523</v>
      </c>
      <c r="F60" s="8" t="n">
        <v>4491</v>
      </c>
      <c r="G60" s="8" t="n">
        <v>6732</v>
      </c>
      <c r="H60" s="8" t="n">
        <v>13980</v>
      </c>
      <c r="I60" s="8" t="n">
        <v>15102</v>
      </c>
      <c r="J60" s="8" t="n">
        <v>15115</v>
      </c>
      <c r="K60" s="8" t="n">
        <v>18567</v>
      </c>
      <c r="L60" s="8" t="n">
        <v>31186</v>
      </c>
      <c r="M60" s="8" t="n">
        <v>27045</v>
      </c>
      <c r="N60" s="8" t="n">
        <v>37256</v>
      </c>
      <c r="O60" s="8" t="n">
        <v>69691</v>
      </c>
      <c r="P60" s="8" t="n">
        <v>135583.71</v>
      </c>
      <c r="Q60" s="8" t="n">
        <v>165714.44</v>
      </c>
      <c r="R60" s="8" t="n">
        <v>185600.17</v>
      </c>
      <c r="S60" s="8" t="n">
        <v>196736.18</v>
      </c>
      <c r="T60" s="8" t="n">
        <v>208540.35</v>
      </c>
    </row>
    <row r="61" customFormat="false" ht="15" hidden="false" customHeight="true" outlineLevel="0" collapsed="false">
      <c r="A61" s="6" t="s">
        <v>48</v>
      </c>
      <c r="B61" s="7" t="s">
        <v>31</v>
      </c>
      <c r="C61" s="8" t="n">
        <v>4222</v>
      </c>
      <c r="D61" s="8" t="n">
        <v>5507.8</v>
      </c>
      <c r="E61" s="8" t="n">
        <v>8607</v>
      </c>
      <c r="F61" s="8" t="n">
        <v>16061</v>
      </c>
      <c r="G61" s="8" t="n">
        <v>24216</v>
      </c>
      <c r="H61" s="8" t="n">
        <v>29339</v>
      </c>
      <c r="I61" s="8" t="n">
        <v>36312.5</v>
      </c>
      <c r="J61" s="8" t="n">
        <v>38747</v>
      </c>
      <c r="K61" s="8" t="n">
        <v>57683</v>
      </c>
      <c r="L61" s="8" t="n">
        <v>50475</v>
      </c>
      <c r="M61" s="8" t="n">
        <v>71113</v>
      </c>
      <c r="N61" s="8" t="n">
        <v>91328</v>
      </c>
      <c r="O61" s="8" t="n">
        <v>115800</v>
      </c>
      <c r="P61" s="8" t="n">
        <v>180250.64</v>
      </c>
      <c r="Q61" s="8" t="n">
        <v>206102.96</v>
      </c>
      <c r="R61" s="8" t="n">
        <v>243250.01</v>
      </c>
      <c r="S61" s="8" t="n">
        <v>279015.98</v>
      </c>
      <c r="T61" s="8" t="n">
        <v>314478.51</v>
      </c>
    </row>
    <row r="62" customFormat="false" ht="15" hidden="false" customHeight="true" outlineLevel="0" collapsed="false">
      <c r="A62" s="6" t="s">
        <v>48</v>
      </c>
      <c r="B62" s="7" t="s">
        <v>32</v>
      </c>
      <c r="C62" s="8" t="n">
        <v>2860</v>
      </c>
      <c r="D62" s="8" t="n">
        <v>3676.8</v>
      </c>
      <c r="E62" s="8" t="n">
        <v>6084</v>
      </c>
      <c r="F62" s="8" t="n">
        <v>11570</v>
      </c>
      <c r="G62" s="8" t="n">
        <v>17484</v>
      </c>
      <c r="H62" s="8" t="n">
        <v>15359</v>
      </c>
      <c r="I62" s="8" t="n">
        <v>21210.5</v>
      </c>
      <c r="J62" s="8" t="n">
        <v>23632</v>
      </c>
      <c r="K62" s="8" t="n">
        <v>39116</v>
      </c>
      <c r="L62" s="8" t="n">
        <v>19289</v>
      </c>
      <c r="M62" s="8" t="n">
        <v>44068</v>
      </c>
      <c r="N62" s="8" t="n">
        <v>54072</v>
      </c>
      <c r="O62" s="8" t="n">
        <v>46109</v>
      </c>
      <c r="P62" s="8" t="n">
        <v>44666.93</v>
      </c>
      <c r="Q62" s="8" t="n">
        <v>40388.52</v>
      </c>
      <c r="R62" s="8" t="n">
        <v>57649.84</v>
      </c>
      <c r="S62" s="8" t="n">
        <v>82279.8</v>
      </c>
      <c r="T62" s="8" t="n">
        <v>105938.16</v>
      </c>
    </row>
    <row r="63" customFormat="false" ht="15" hidden="false" customHeight="true" outlineLevel="0" collapsed="false">
      <c r="A63" s="6" t="s">
        <v>48</v>
      </c>
      <c r="B63" s="7" t="s">
        <v>33</v>
      </c>
      <c r="C63" s="8" t="n">
        <v>0</v>
      </c>
      <c r="D63" s="8" t="n">
        <v>0</v>
      </c>
      <c r="E63" s="8" t="n">
        <v>0</v>
      </c>
      <c r="F63" s="8" t="n">
        <v>0</v>
      </c>
      <c r="G63" s="8" t="n">
        <v>1976</v>
      </c>
      <c r="H63" s="8" t="n">
        <v>12879</v>
      </c>
      <c r="I63" s="8" t="n">
        <v>4201</v>
      </c>
      <c r="J63" s="8" t="n">
        <v>6272</v>
      </c>
      <c r="K63" s="8" t="n">
        <v>44538</v>
      </c>
      <c r="L63" s="8" t="n">
        <v>27956</v>
      </c>
      <c r="M63" s="8" t="n">
        <v>19775</v>
      </c>
      <c r="N63" s="8" t="n">
        <v>30125</v>
      </c>
      <c r="O63" s="8" t="n">
        <v>26248</v>
      </c>
      <c r="P63" s="8" t="n">
        <v>0</v>
      </c>
      <c r="Q63" s="8" t="n">
        <v>6000</v>
      </c>
      <c r="R63" s="8" t="n">
        <v>6000</v>
      </c>
      <c r="S63" s="8" t="n">
        <v>6000</v>
      </c>
      <c r="T63" s="8" t="n">
        <v>6000</v>
      </c>
    </row>
    <row r="64" customFormat="false" ht="15" hidden="false" customHeight="true" outlineLevel="0" collapsed="false">
      <c r="A64" s="6" t="s">
        <v>48</v>
      </c>
      <c r="B64" s="7" t="s">
        <v>49</v>
      </c>
      <c r="C64" s="8" t="n">
        <v>6986</v>
      </c>
      <c r="D64" s="8" t="n">
        <v>11492</v>
      </c>
      <c r="E64" s="8" t="n">
        <v>17080</v>
      </c>
      <c r="F64" s="8" t="n">
        <v>26885</v>
      </c>
      <c r="G64" s="8" t="n">
        <v>39942</v>
      </c>
      <c r="H64" s="8" t="n">
        <v>55012</v>
      </c>
      <c r="I64" s="8" t="n">
        <v>69654.5</v>
      </c>
      <c r="J64" s="8" t="n">
        <v>84169</v>
      </c>
      <c r="K64" s="8" t="n">
        <v>114934</v>
      </c>
      <c r="L64" s="8" t="n">
        <v>113641</v>
      </c>
      <c r="M64" s="8" t="n">
        <v>131948</v>
      </c>
      <c r="N64" s="8" t="n">
        <v>160632</v>
      </c>
      <c r="O64" s="8" t="n">
        <v>196174</v>
      </c>
      <c r="P64" s="8" t="n">
        <v>248664.66</v>
      </c>
      <c r="Q64" s="8" t="n">
        <v>298597.44</v>
      </c>
      <c r="R64" s="8" t="n">
        <v>348271.65</v>
      </c>
      <c r="S64" s="8" t="n">
        <v>397194.59</v>
      </c>
      <c r="T64" s="8" t="n">
        <v>444912.31</v>
      </c>
    </row>
    <row r="65" customFormat="false" ht="15" hidden="false" customHeight="true" outlineLevel="0" collapsed="false">
      <c r="A65" s="6" t="s">
        <v>48</v>
      </c>
      <c r="B65" s="7" t="s">
        <v>50</v>
      </c>
      <c r="C65" s="12"/>
      <c r="D65" s="12"/>
      <c r="E65" s="12"/>
      <c r="F65" s="12"/>
      <c r="G65" s="12"/>
      <c r="H65" s="12"/>
      <c r="I65" s="8" t="n">
        <v>70196</v>
      </c>
      <c r="J65" s="8" t="n">
        <v>84826</v>
      </c>
      <c r="K65" s="8" t="n">
        <v>115655</v>
      </c>
      <c r="L65" s="8" t="n">
        <v>114450</v>
      </c>
      <c r="M65" s="8" t="n">
        <v>133005</v>
      </c>
      <c r="N65" s="8" t="n">
        <v>162354</v>
      </c>
      <c r="O65" s="8" t="n">
        <v>198758</v>
      </c>
      <c r="P65" s="8" t="n">
        <v>252529.81</v>
      </c>
      <c r="Q65" s="8" t="n">
        <v>303235.62</v>
      </c>
      <c r="R65" s="8" t="n">
        <v>353605.56</v>
      </c>
      <c r="S65" s="8" t="n">
        <v>403061.89</v>
      </c>
      <c r="T65" s="8" t="n">
        <v>451366.33</v>
      </c>
    </row>
    <row r="66" customFormat="false" ht="15" hidden="false" customHeight="true" outlineLevel="0" collapsed="false">
      <c r="A66" s="6" t="s">
        <v>48</v>
      </c>
      <c r="B66" s="7" t="s">
        <v>51</v>
      </c>
      <c r="C66" s="12"/>
      <c r="D66" s="12"/>
      <c r="E66" s="12"/>
      <c r="F66" s="12"/>
      <c r="G66" s="12"/>
      <c r="H66" s="12"/>
      <c r="I66" s="8" t="n">
        <v>28489</v>
      </c>
      <c r="J66" s="8" t="n">
        <v>39294</v>
      </c>
      <c r="K66" s="8" t="n">
        <v>56947</v>
      </c>
      <c r="L66" s="8" t="n">
        <v>42662</v>
      </c>
      <c r="M66" s="8" t="n">
        <v>62870</v>
      </c>
      <c r="N66" s="8" t="n">
        <v>87109</v>
      </c>
      <c r="O66" s="8" t="n">
        <v>102469</v>
      </c>
      <c r="P66" s="8" t="n">
        <v>109500.79</v>
      </c>
      <c r="Q66" s="8" t="n">
        <v>122498.06</v>
      </c>
      <c r="R66" s="8" t="n">
        <v>135570.51</v>
      </c>
      <c r="S66" s="8" t="n">
        <v>147823.31</v>
      </c>
      <c r="T66" s="8" t="n">
        <v>158299.25</v>
      </c>
    </row>
    <row r="67" customFormat="false" ht="15" hidden="false" customHeight="true" outlineLevel="0" collapsed="false">
      <c r="A67" s="6" t="s">
        <v>48</v>
      </c>
      <c r="B67" s="7" t="s">
        <v>52</v>
      </c>
      <c r="C67" s="12"/>
      <c r="D67" s="12"/>
      <c r="E67" s="12"/>
      <c r="F67" s="12"/>
      <c r="G67" s="12"/>
      <c r="H67" s="12"/>
      <c r="I67" s="8" t="n">
        <v>501</v>
      </c>
      <c r="J67" s="8" t="n">
        <v>1139</v>
      </c>
      <c r="K67" s="8" t="n">
        <v>2274</v>
      </c>
      <c r="L67" s="8" t="n">
        <v>2159</v>
      </c>
      <c r="M67" s="8" t="n">
        <v>1896</v>
      </c>
      <c r="N67" s="8" t="n">
        <v>2146</v>
      </c>
      <c r="O67" s="8" t="n">
        <v>2207</v>
      </c>
      <c r="P67" s="8" t="n">
        <v>2645.75</v>
      </c>
      <c r="Q67" s="8" t="n">
        <v>3174.9</v>
      </c>
      <c r="R67" s="8" t="n">
        <v>3730.51</v>
      </c>
      <c r="S67" s="8" t="n">
        <v>4290.08</v>
      </c>
      <c r="T67" s="8" t="n">
        <v>4826.34</v>
      </c>
    </row>
    <row r="68" customFormat="false" ht="15" hidden="false" customHeight="true" outlineLevel="0" collapsed="false">
      <c r="A68" s="6" t="s">
        <v>48</v>
      </c>
      <c r="B68" s="7" t="s">
        <v>53</v>
      </c>
      <c r="C68" s="12"/>
      <c r="D68" s="12"/>
      <c r="E68" s="12"/>
      <c r="F68" s="12"/>
      <c r="G68" s="12"/>
      <c r="H68" s="12"/>
      <c r="I68" s="8" t="n">
        <v>-4503</v>
      </c>
      <c r="J68" s="8" t="n">
        <v>-6623</v>
      </c>
      <c r="K68" s="8" t="n">
        <v>-10194</v>
      </c>
      <c r="L68" s="8" t="n">
        <v>-13717</v>
      </c>
      <c r="M68" s="8" t="n">
        <v>-16119</v>
      </c>
      <c r="N68" s="8" t="n">
        <v>-17729</v>
      </c>
      <c r="O68" s="8" t="n">
        <v>-19193</v>
      </c>
      <c r="P68" s="8" t="n">
        <v>-19011</v>
      </c>
      <c r="Q68" s="8" t="n">
        <v>-18060.45</v>
      </c>
      <c r="R68" s="8" t="n">
        <v>-17157.43</v>
      </c>
      <c r="S68" s="8" t="n">
        <v>-16299.56</v>
      </c>
      <c r="T68" s="8" t="n">
        <v>-15484.58</v>
      </c>
    </row>
    <row r="70" customFormat="false" ht="15" hidden="false" customHeight="true" outlineLevel="0" collapsed="false">
      <c r="A70" s="15" t="s">
        <v>54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 customFormat="false" ht="15" hidden="false" customHeight="true" outlineLevel="0" collapsed="false">
      <c r="A71" s="6" t="s">
        <v>55</v>
      </c>
      <c r="B71" s="7" t="s">
        <v>23</v>
      </c>
      <c r="C71" s="8" t="n">
        <v>37253</v>
      </c>
      <c r="D71" s="8" t="n">
        <v>38305</v>
      </c>
      <c r="E71" s="8" t="n">
        <v>38253</v>
      </c>
      <c r="F71" s="8" t="n">
        <v>37057</v>
      </c>
      <c r="G71" s="8" t="n">
        <v>37899</v>
      </c>
      <c r="H71" s="8" t="n">
        <v>39431</v>
      </c>
      <c r="I71" s="8" t="n">
        <v>39525</v>
      </c>
      <c r="J71" s="8" t="n">
        <v>39073</v>
      </c>
      <c r="K71" s="8" t="n">
        <v>40481</v>
      </c>
      <c r="L71" s="8" t="n">
        <v>42441</v>
      </c>
      <c r="M71" s="8" t="n">
        <v>49955</v>
      </c>
      <c r="N71" s="8" t="n">
        <v>52961</v>
      </c>
      <c r="O71" s="8" t="n">
        <v>57399</v>
      </c>
      <c r="P71" s="8" t="n">
        <v>67286.75</v>
      </c>
      <c r="Q71" s="8" t="n">
        <v>88782.02</v>
      </c>
      <c r="R71" s="8" t="n">
        <v>125445.05</v>
      </c>
      <c r="S71" s="8" t="n">
        <v>165192.96</v>
      </c>
      <c r="T71" s="8" t="n">
        <v>185555.08</v>
      </c>
    </row>
    <row r="72" customFormat="false" ht="15" hidden="false" customHeight="true" outlineLevel="0" collapsed="false">
      <c r="A72" s="6" t="s">
        <v>55</v>
      </c>
      <c r="B72" s="7" t="s">
        <v>24</v>
      </c>
      <c r="C72" s="8" t="n">
        <v>14684</v>
      </c>
      <c r="D72" s="8" t="n">
        <v>14758</v>
      </c>
      <c r="E72" s="8" t="n">
        <v>13870</v>
      </c>
      <c r="F72" s="8" t="n">
        <v>12604</v>
      </c>
      <c r="G72" s="8" t="n">
        <v>12710</v>
      </c>
      <c r="H72" s="8" t="n">
        <v>13264</v>
      </c>
      <c r="I72" s="8" t="n">
        <v>13535</v>
      </c>
      <c r="J72" s="8" t="n">
        <v>13897</v>
      </c>
      <c r="K72" s="8" t="n">
        <v>15214</v>
      </c>
      <c r="L72" s="8" t="n">
        <v>10927</v>
      </c>
      <c r="M72" s="8" t="n">
        <v>13094</v>
      </c>
      <c r="N72" s="8" t="n">
        <v>15354</v>
      </c>
      <c r="O72" s="8" t="n">
        <v>17678</v>
      </c>
      <c r="P72" s="8" t="n">
        <v>19462.44</v>
      </c>
      <c r="Q72" s="8" t="n">
        <v>21128.19</v>
      </c>
      <c r="R72" s="8" t="n">
        <v>36930.86</v>
      </c>
      <c r="S72" s="8" t="n">
        <v>53057.71</v>
      </c>
      <c r="T72" s="8" t="n">
        <v>57952.82</v>
      </c>
    </row>
    <row r="73" customFormat="false" ht="15" hidden="false" customHeight="true" outlineLevel="0" collapsed="false">
      <c r="A73" s="6" t="s">
        <v>55</v>
      </c>
      <c r="B73" s="7" t="s">
        <v>25</v>
      </c>
      <c r="C73" s="8" t="n">
        <v>10926</v>
      </c>
      <c r="D73" s="8" t="n">
        <v>10955</v>
      </c>
      <c r="E73" s="8" t="n">
        <v>9938</v>
      </c>
      <c r="F73" s="8" t="n">
        <v>8900</v>
      </c>
      <c r="G73" s="8" t="n">
        <v>9334</v>
      </c>
      <c r="H73" s="8" t="n">
        <v>3587</v>
      </c>
      <c r="I73" s="8" t="n">
        <v>11083</v>
      </c>
      <c r="J73" s="8" t="n">
        <v>10135</v>
      </c>
      <c r="K73" s="8" t="n">
        <v>13747</v>
      </c>
      <c r="L73" s="8" t="n">
        <v>6718</v>
      </c>
      <c r="M73" s="8" t="n">
        <v>8504</v>
      </c>
      <c r="N73" s="8" t="n">
        <v>10467</v>
      </c>
      <c r="O73" s="8" t="n">
        <v>12443</v>
      </c>
      <c r="P73" s="8" t="n">
        <v>15820.55</v>
      </c>
      <c r="Q73" s="8" t="n">
        <v>13363.1</v>
      </c>
      <c r="R73" s="8" t="n">
        <v>26776.66</v>
      </c>
      <c r="S73" s="8" t="n">
        <v>39834.82</v>
      </c>
      <c r="T73" s="8" t="n">
        <v>44104.48</v>
      </c>
    </row>
    <row r="74" customFormat="false" ht="15" hidden="false" customHeight="true" outlineLevel="0" collapsed="false">
      <c r="A74" s="6" t="s">
        <v>55</v>
      </c>
      <c r="B74" s="7" t="s">
        <v>26</v>
      </c>
      <c r="C74" s="9" t="n">
        <v>2.26</v>
      </c>
      <c r="D74" s="9" t="n">
        <v>2.38</v>
      </c>
      <c r="E74" s="9" t="n">
        <v>2.21</v>
      </c>
      <c r="F74" s="9" t="n">
        <v>2.07</v>
      </c>
      <c r="G74" s="9" t="n">
        <v>2.21</v>
      </c>
      <c r="H74" s="9" t="n">
        <v>0.85</v>
      </c>
      <c r="I74" s="9" t="n">
        <v>2.97</v>
      </c>
      <c r="J74" s="9" t="n">
        <v>3.08</v>
      </c>
      <c r="K74" s="9" t="n">
        <v>4.55</v>
      </c>
      <c r="L74" s="9" t="n">
        <v>2.41</v>
      </c>
      <c r="M74" s="9" t="n">
        <v>3.07</v>
      </c>
      <c r="N74" s="9" t="n">
        <v>3.71</v>
      </c>
      <c r="O74" s="9" t="n">
        <v>4.34</v>
      </c>
      <c r="P74" s="9" t="n">
        <v>5.43</v>
      </c>
      <c r="Q74" s="9" t="n">
        <v>4.54</v>
      </c>
      <c r="R74" s="9" t="n">
        <v>8.98</v>
      </c>
      <c r="S74" s="9" t="n">
        <v>13.15</v>
      </c>
      <c r="T74" s="9" t="n">
        <v>14.32</v>
      </c>
    </row>
    <row r="75" customFormat="false" ht="15" hidden="false" customHeight="true" outlineLevel="0" collapsed="false">
      <c r="A75" s="6" t="s">
        <v>55</v>
      </c>
      <c r="B75" s="7" t="s">
        <v>27</v>
      </c>
      <c r="C75" s="8" t="n">
        <v>4843.75</v>
      </c>
      <c r="D75" s="8" t="n">
        <v>4604.5</v>
      </c>
      <c r="E75" s="8" t="n">
        <v>4502.5</v>
      </c>
      <c r="F75" s="8" t="n">
        <v>4305.5</v>
      </c>
      <c r="G75" s="8" t="n">
        <v>4217</v>
      </c>
      <c r="H75" s="8" t="n">
        <v>4238</v>
      </c>
      <c r="I75" s="8" t="n">
        <v>3732</v>
      </c>
      <c r="J75" s="8" t="n">
        <v>3293.5</v>
      </c>
      <c r="K75" s="8" t="n">
        <v>3022.5</v>
      </c>
      <c r="L75" s="8" t="n">
        <v>2785.5</v>
      </c>
      <c r="M75" s="8" t="n">
        <v>2766.25</v>
      </c>
      <c r="N75" s="8" t="n">
        <v>2823.25</v>
      </c>
      <c r="O75" s="8" t="n">
        <v>2866.25</v>
      </c>
      <c r="P75" s="8" t="n">
        <v>2915.76</v>
      </c>
      <c r="Q75" s="8" t="n">
        <v>2940.66</v>
      </c>
      <c r="R75" s="8" t="n">
        <v>2980.3</v>
      </c>
      <c r="S75" s="8" t="n">
        <v>3028.26</v>
      </c>
      <c r="T75" s="8" t="n">
        <v>3079.57</v>
      </c>
    </row>
    <row r="76" customFormat="false" ht="15" hidden="false" customHeight="true" outlineLevel="0" collapsed="false">
      <c r="A76" s="6" t="s">
        <v>55</v>
      </c>
      <c r="B76" s="7" t="s">
        <v>28</v>
      </c>
      <c r="C76" s="8" t="n">
        <v>755</v>
      </c>
      <c r="D76" s="8" t="n">
        <v>805</v>
      </c>
      <c r="E76" s="8" t="n">
        <v>933</v>
      </c>
      <c r="F76" s="8" t="n">
        <v>1037</v>
      </c>
      <c r="G76" s="8" t="n">
        <v>1350</v>
      </c>
      <c r="H76" s="8" t="n">
        <v>1607</v>
      </c>
      <c r="I76" s="8" t="n">
        <v>1653</v>
      </c>
      <c r="J76" s="8" t="n">
        <v>1590</v>
      </c>
      <c r="K76" s="8" t="n">
        <v>1837</v>
      </c>
      <c r="L76" s="8" t="n">
        <v>2613</v>
      </c>
      <c r="M76" s="8" t="n">
        <v>3547</v>
      </c>
      <c r="N76" s="8" t="n">
        <v>3974</v>
      </c>
      <c r="O76" s="8" t="n">
        <v>4674</v>
      </c>
      <c r="P76" s="8" t="n">
        <v>5069.6</v>
      </c>
      <c r="Q76" s="8" t="n">
        <v>6473.15</v>
      </c>
      <c r="R76" s="8" t="n">
        <v>8609.75</v>
      </c>
      <c r="S76" s="8" t="n">
        <v>10649.61</v>
      </c>
      <c r="T76" s="8" t="n">
        <v>11212.32</v>
      </c>
    </row>
    <row r="77" customFormat="false" ht="15" hidden="false" customHeight="true" outlineLevel="0" collapsed="false">
      <c r="A77" s="6" t="s">
        <v>55</v>
      </c>
      <c r="B77" s="7" t="s">
        <v>29</v>
      </c>
      <c r="C77" s="8" t="n">
        <v>546</v>
      </c>
      <c r="D77" s="8" t="n">
        <v>608</v>
      </c>
      <c r="E77" s="8" t="n">
        <v>712</v>
      </c>
      <c r="F77" s="8" t="n">
        <v>871</v>
      </c>
      <c r="G77" s="8" t="n">
        <v>1000</v>
      </c>
      <c r="H77" s="8" t="n">
        <v>1165</v>
      </c>
      <c r="I77" s="8" t="n">
        <v>1230</v>
      </c>
      <c r="J77" s="8" t="n">
        <v>1382</v>
      </c>
      <c r="K77" s="8" t="n">
        <v>1537</v>
      </c>
      <c r="L77" s="8" t="n">
        <v>1972</v>
      </c>
      <c r="M77" s="8" t="n">
        <v>2526</v>
      </c>
      <c r="N77" s="8" t="n">
        <v>3129</v>
      </c>
      <c r="O77" s="8" t="n">
        <v>3867</v>
      </c>
      <c r="P77" s="8" t="n">
        <v>7501.53</v>
      </c>
      <c r="Q77" s="8" t="n">
        <v>16868.58</v>
      </c>
      <c r="R77" s="8" t="n">
        <v>27597.91</v>
      </c>
      <c r="S77" s="8" t="n">
        <v>39646.31</v>
      </c>
      <c r="T77" s="8" t="n">
        <v>48244.32</v>
      </c>
    </row>
    <row r="78" customFormat="false" ht="15" hidden="false" customHeight="true" outlineLevel="0" collapsed="false">
      <c r="A78" s="6" t="s">
        <v>55</v>
      </c>
      <c r="B78" s="7" t="s">
        <v>30</v>
      </c>
      <c r="C78" s="8" t="n">
        <v>650</v>
      </c>
      <c r="D78" s="8" t="n">
        <v>580</v>
      </c>
      <c r="E78" s="8" t="n">
        <v>1391</v>
      </c>
      <c r="F78" s="8" t="n">
        <v>1189</v>
      </c>
      <c r="G78" s="8" t="n">
        <v>2021</v>
      </c>
      <c r="H78" s="8" t="n">
        <v>1736</v>
      </c>
      <c r="I78" s="8" t="n">
        <v>1660</v>
      </c>
      <c r="J78" s="8" t="n">
        <v>1564</v>
      </c>
      <c r="K78" s="8" t="n">
        <v>2135</v>
      </c>
      <c r="L78" s="8" t="n">
        <v>4511</v>
      </c>
      <c r="M78" s="8" t="n">
        <v>8695</v>
      </c>
      <c r="N78" s="8" t="n">
        <v>6866</v>
      </c>
      <c r="O78" s="8" t="n">
        <v>21215</v>
      </c>
      <c r="P78" s="8" t="n">
        <v>51882</v>
      </c>
      <c r="Q78" s="8" t="n">
        <v>52141.41</v>
      </c>
      <c r="R78" s="8" t="n">
        <v>69869.49</v>
      </c>
      <c r="S78" s="8" t="n">
        <v>81048.61</v>
      </c>
      <c r="T78" s="8" t="n">
        <v>66459.86</v>
      </c>
    </row>
    <row r="79" customFormat="false" ht="15" hidden="false" customHeight="true" outlineLevel="0" collapsed="false">
      <c r="A79" s="6" t="s">
        <v>55</v>
      </c>
      <c r="B79" s="7" t="s">
        <v>31</v>
      </c>
      <c r="C79" s="8" t="n">
        <v>14225</v>
      </c>
      <c r="D79" s="8" t="n">
        <v>14921</v>
      </c>
      <c r="E79" s="8" t="n">
        <v>14336</v>
      </c>
      <c r="F79" s="8" t="n">
        <v>13560</v>
      </c>
      <c r="G79" s="8" t="n">
        <v>14125</v>
      </c>
      <c r="H79" s="8" t="n">
        <v>15386</v>
      </c>
      <c r="I79" s="8" t="n">
        <v>14551</v>
      </c>
      <c r="J79" s="8" t="n">
        <v>13139</v>
      </c>
      <c r="K79" s="8" t="n">
        <v>15888</v>
      </c>
      <c r="L79" s="8" t="n">
        <v>9540</v>
      </c>
      <c r="M79" s="8" t="n">
        <v>17166</v>
      </c>
      <c r="N79" s="8" t="n">
        <v>18673</v>
      </c>
      <c r="O79" s="8" t="n">
        <v>20821</v>
      </c>
      <c r="P79" s="8" t="n">
        <v>25457.17</v>
      </c>
      <c r="Q79" s="8" t="n">
        <v>33694.38</v>
      </c>
      <c r="R79" s="8" t="n">
        <v>50132.95</v>
      </c>
      <c r="S79" s="8" t="n">
        <v>66529.01</v>
      </c>
      <c r="T79" s="8" t="n">
        <v>84964.12</v>
      </c>
    </row>
    <row r="80" customFormat="false" ht="15" hidden="false" customHeight="true" outlineLevel="0" collapsed="false">
      <c r="A80" s="6" t="s">
        <v>55</v>
      </c>
      <c r="B80" s="7" t="s">
        <v>32</v>
      </c>
      <c r="C80" s="8" t="n">
        <v>13575</v>
      </c>
      <c r="D80" s="8" t="n">
        <v>14341</v>
      </c>
      <c r="E80" s="8" t="n">
        <v>12945</v>
      </c>
      <c r="F80" s="8" t="n">
        <v>12371</v>
      </c>
      <c r="G80" s="8" t="n">
        <v>12104</v>
      </c>
      <c r="H80" s="8" t="n">
        <v>13650</v>
      </c>
      <c r="I80" s="8" t="n">
        <v>12891</v>
      </c>
      <c r="J80" s="8" t="n">
        <v>11575</v>
      </c>
      <c r="K80" s="8" t="n">
        <v>13753</v>
      </c>
      <c r="L80" s="8" t="n">
        <v>5029</v>
      </c>
      <c r="M80" s="8" t="n">
        <v>8471</v>
      </c>
      <c r="N80" s="8" t="n">
        <v>11807</v>
      </c>
      <c r="O80" s="8" t="n">
        <v>-394</v>
      </c>
      <c r="P80" s="8" t="n">
        <v>-26424.83</v>
      </c>
      <c r="Q80" s="8" t="n">
        <v>-18447.03</v>
      </c>
      <c r="R80" s="8" t="n">
        <v>-19736.54</v>
      </c>
      <c r="S80" s="8" t="n">
        <v>-14519.6</v>
      </c>
      <c r="T80" s="8" t="n">
        <v>18504.26</v>
      </c>
    </row>
    <row r="81" customFormat="false" ht="15" hidden="false" customHeight="true" outlineLevel="0" collapsed="false">
      <c r="A81" s="6" t="s">
        <v>55</v>
      </c>
      <c r="B81" s="7" t="s">
        <v>33</v>
      </c>
      <c r="C81" s="8" t="n">
        <v>11021</v>
      </c>
      <c r="D81" s="8" t="n">
        <v>9813</v>
      </c>
      <c r="E81" s="8" t="n">
        <v>8087</v>
      </c>
      <c r="F81" s="8" t="n">
        <v>10440</v>
      </c>
      <c r="G81" s="8" t="n">
        <v>3561</v>
      </c>
      <c r="H81" s="8" t="n">
        <v>11347</v>
      </c>
      <c r="I81" s="8" t="n">
        <v>36140</v>
      </c>
      <c r="J81" s="8" t="n">
        <v>19240</v>
      </c>
      <c r="K81" s="8" t="n">
        <v>20934</v>
      </c>
      <c r="L81" s="8" t="n">
        <v>16248</v>
      </c>
      <c r="M81" s="8" t="n">
        <v>1300</v>
      </c>
      <c r="N81" s="8" t="n">
        <v>1202</v>
      </c>
      <c r="O81" s="8" t="n">
        <v>600</v>
      </c>
      <c r="P81" s="8" t="n">
        <v>95</v>
      </c>
      <c r="Q81" s="8" t="n">
        <v>0</v>
      </c>
      <c r="R81" s="8" t="n">
        <v>0</v>
      </c>
      <c r="S81" s="8" t="n">
        <v>0</v>
      </c>
      <c r="T81" s="8" t="n">
        <v>0</v>
      </c>
    </row>
    <row r="82" customFormat="false" ht="15" hidden="false" customHeight="true" outlineLevel="0" collapsed="false">
      <c r="A82" s="6" t="s">
        <v>55</v>
      </c>
      <c r="B82" s="7" t="s">
        <v>56</v>
      </c>
      <c r="C82" s="8" t="n">
        <v>1365</v>
      </c>
      <c r="D82" s="8" t="n">
        <v>1577</v>
      </c>
      <c r="E82" s="8" t="n">
        <v>2094</v>
      </c>
      <c r="F82" s="8" t="n">
        <v>2854</v>
      </c>
      <c r="G82" s="8" t="n">
        <v>4572</v>
      </c>
      <c r="H82" s="8" t="n">
        <v>6189.17</v>
      </c>
      <c r="I82" s="8" t="n">
        <v>6918.19</v>
      </c>
      <c r="J82" s="8" t="n">
        <v>7811.32</v>
      </c>
      <c r="K82" s="8" t="n">
        <v>8945</v>
      </c>
      <c r="L82" s="8" t="n">
        <v>10809</v>
      </c>
      <c r="M82" s="8" t="n">
        <v>15882</v>
      </c>
      <c r="N82" s="8" t="n">
        <v>19775</v>
      </c>
      <c r="O82" s="8" t="n">
        <v>24507</v>
      </c>
      <c r="P82" s="8" t="n">
        <v>34020.24</v>
      </c>
      <c r="Q82" s="8" t="n">
        <v>55591.76</v>
      </c>
      <c r="R82" s="8" t="n">
        <v>92351.27</v>
      </c>
      <c r="S82" s="8" t="n">
        <v>132214.36</v>
      </c>
      <c r="T82" s="8" t="n">
        <v>152708.94</v>
      </c>
    </row>
    <row r="83" customFormat="false" ht="15" hidden="false" customHeight="true" outlineLevel="0" collapsed="false">
      <c r="A83" s="6" t="s">
        <v>55</v>
      </c>
      <c r="B83" s="7" t="s">
        <v>57</v>
      </c>
      <c r="C83" s="12"/>
      <c r="D83" s="12"/>
      <c r="E83" s="12"/>
      <c r="F83" s="12"/>
      <c r="G83" s="12"/>
      <c r="H83" s="12"/>
      <c r="I83" s="12"/>
      <c r="J83" s="12"/>
      <c r="K83" s="12"/>
      <c r="L83" s="8" t="n">
        <v>2760.74</v>
      </c>
      <c r="M83" s="8" t="n">
        <v>4500</v>
      </c>
      <c r="N83" s="8" t="n">
        <v>6800</v>
      </c>
      <c r="O83" s="8" t="n">
        <v>10234</v>
      </c>
      <c r="P83" s="8" t="n">
        <v>18064.4</v>
      </c>
      <c r="Q83" s="8" t="n">
        <v>37935.24</v>
      </c>
      <c r="R83" s="8" t="n">
        <v>72977.07</v>
      </c>
      <c r="S83" s="8" t="n">
        <v>111105.3</v>
      </c>
      <c r="T83" s="8" t="n">
        <v>129847.66</v>
      </c>
    </row>
    <row r="84" customFormat="false" ht="15" hidden="false" customHeight="true" outlineLevel="0" collapsed="false">
      <c r="A84" s="6" t="s">
        <v>55</v>
      </c>
      <c r="B84" s="7" t="s">
        <v>58</v>
      </c>
      <c r="C84" s="12"/>
      <c r="D84" s="12"/>
      <c r="E84" s="12"/>
      <c r="F84" s="12"/>
      <c r="G84" s="12"/>
      <c r="H84" s="12"/>
      <c r="I84" s="12"/>
      <c r="J84" s="12"/>
      <c r="K84" s="12"/>
      <c r="L84" s="8" t="n">
        <v>7999.33</v>
      </c>
      <c r="M84" s="8" t="n">
        <v>11400</v>
      </c>
      <c r="N84" s="8" t="n">
        <v>12949</v>
      </c>
      <c r="O84" s="8" t="n">
        <v>14272</v>
      </c>
      <c r="P84" s="8" t="n">
        <v>15955.84</v>
      </c>
      <c r="Q84" s="8" t="n">
        <v>17656.52</v>
      </c>
      <c r="R84" s="8" t="n">
        <v>19374.2</v>
      </c>
      <c r="S84" s="8" t="n">
        <v>21109.07</v>
      </c>
      <c r="T84" s="8" t="n">
        <v>22861.28</v>
      </c>
    </row>
    <row r="85" customFormat="false" ht="15" hidden="false" customHeight="true" outlineLevel="0" collapsed="false">
      <c r="A85" s="6" t="s">
        <v>55</v>
      </c>
      <c r="B85" s="7" t="s">
        <v>59</v>
      </c>
      <c r="C85" s="12"/>
      <c r="D85" s="12"/>
      <c r="E85" s="12"/>
      <c r="F85" s="12"/>
      <c r="G85" s="12"/>
      <c r="H85" s="12"/>
      <c r="I85" s="8" t="n">
        <v>36200</v>
      </c>
      <c r="J85" s="8" t="n">
        <v>37000</v>
      </c>
      <c r="K85" s="8" t="n">
        <v>41300</v>
      </c>
      <c r="L85" s="8" t="n">
        <v>46600</v>
      </c>
      <c r="M85" s="8" t="n">
        <v>67900</v>
      </c>
      <c r="N85" s="8" t="n">
        <v>98000</v>
      </c>
      <c r="O85" s="8" t="n">
        <v>138000</v>
      </c>
      <c r="P85" s="12"/>
      <c r="Q85" s="12"/>
      <c r="R85" s="12"/>
      <c r="S85" s="12"/>
      <c r="T85" s="12"/>
    </row>
    <row r="86" customFormat="false" ht="15" hidden="false" customHeight="true" outlineLevel="0" collapsed="false">
      <c r="A86" s="6" t="s">
        <v>55</v>
      </c>
      <c r="B86" s="7" t="s">
        <v>60</v>
      </c>
      <c r="C86" s="8" t="n">
        <v>17612</v>
      </c>
      <c r="D86" s="8" t="n">
        <v>18108</v>
      </c>
      <c r="E86" s="8" t="n">
        <v>17396</v>
      </c>
      <c r="F86" s="8" t="n">
        <v>15785</v>
      </c>
      <c r="G86" s="8" t="n">
        <v>16168</v>
      </c>
      <c r="H86" s="8" t="n">
        <v>17155</v>
      </c>
      <c r="I86" s="8" t="n">
        <v>17384</v>
      </c>
      <c r="J86" s="8" t="n">
        <v>17383</v>
      </c>
      <c r="K86" s="8" t="n">
        <v>19000</v>
      </c>
      <c r="L86" s="8" t="n">
        <v>19592</v>
      </c>
      <c r="M86" s="8" t="n">
        <v>20904</v>
      </c>
      <c r="N86" s="8" t="n">
        <v>23054</v>
      </c>
      <c r="O86" s="8" t="n">
        <v>25034</v>
      </c>
      <c r="P86" s="8" t="n">
        <v>28113.04</v>
      </c>
      <c r="Q86" s="8" t="n">
        <v>28489.16</v>
      </c>
      <c r="R86" s="8" t="n">
        <v>46280.73</v>
      </c>
      <c r="S86" s="8" t="n">
        <v>64368.1</v>
      </c>
      <c r="T86" s="8" t="n">
        <v>69758.92</v>
      </c>
    </row>
    <row r="87" customFormat="false" ht="15" hidden="false" customHeight="true" outlineLevel="0" collapsed="false">
      <c r="A87" s="6" t="s">
        <v>55</v>
      </c>
      <c r="B87" s="7" t="s">
        <v>61</v>
      </c>
      <c r="C87" s="9" t="n">
        <v>2.68</v>
      </c>
      <c r="D87" s="9" t="n">
        <v>2.87</v>
      </c>
      <c r="E87" s="9" t="n">
        <v>2.77</v>
      </c>
      <c r="F87" s="9" t="n">
        <v>2.61</v>
      </c>
      <c r="G87" s="9" t="n">
        <v>2.74</v>
      </c>
      <c r="H87" s="9" t="n">
        <v>3.05</v>
      </c>
      <c r="I87" s="9" t="n">
        <v>3.52</v>
      </c>
      <c r="J87" s="9" t="n">
        <v>3.85</v>
      </c>
      <c r="K87" s="9" t="n">
        <v>4.67</v>
      </c>
      <c r="L87" s="9" t="n">
        <v>4.9</v>
      </c>
      <c r="M87" s="9" t="n">
        <v>5.12</v>
      </c>
      <c r="N87" s="9" t="n">
        <v>5.56</v>
      </c>
      <c r="O87" s="9" t="n">
        <v>6.03</v>
      </c>
      <c r="P87" s="9" t="n">
        <v>7.32</v>
      </c>
      <c r="Q87" s="9" t="n">
        <v>6.09</v>
      </c>
      <c r="R87" s="9" t="n">
        <v>10.59</v>
      </c>
      <c r="S87" s="9" t="n">
        <v>14.81</v>
      </c>
      <c r="T87" s="9" t="n">
        <v>15.94</v>
      </c>
    </row>
  </sheetData>
  <mergeCells count="6">
    <mergeCell ref="A1:T1"/>
    <mergeCell ref="A4:T4"/>
    <mergeCell ref="A20:T20"/>
    <mergeCell ref="A35:T35"/>
    <mergeCell ref="A52:T52"/>
    <mergeCell ref="A70:T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90"/>
  </cols>
  <sheetData>
    <row r="2" customFormat="false" ht="36" hidden="false" customHeight="true" outlineLevel="0" collapsed="false">
      <c r="B2" s="16" t="s">
        <v>62</v>
      </c>
    </row>
    <row r="3" customFormat="false" ht="15" hidden="false" customHeight="true" outlineLevel="0" collapsed="false">
      <c r="B3" s="17" t="s">
        <v>63</v>
      </c>
    </row>
    <row r="5" customFormat="false" ht="15" hidden="false" customHeight="true" outlineLevel="0" collapsed="false">
      <c r="B5" s="18" t="s">
        <v>64</v>
      </c>
    </row>
    <row r="6" customFormat="false" ht="18" hidden="false" customHeight="true" outlineLevel="0" collapsed="false">
      <c r="B6" s="19" t="s">
        <v>65</v>
      </c>
    </row>
    <row r="7" customFormat="false" ht="18" hidden="false" customHeight="true" outlineLevel="0" collapsed="false">
      <c r="B7" s="19" t="s">
        <v>66</v>
      </c>
    </row>
    <row r="8" customFormat="false" ht="18" hidden="false" customHeight="true" outlineLevel="0" collapsed="false">
      <c r="B8" s="19" t="s">
        <v>67</v>
      </c>
    </row>
    <row r="9" customFormat="false" ht="18" hidden="false" customHeight="true" outlineLevel="0" collapsed="false">
      <c r="B9" s="19" t="s">
        <v>68</v>
      </c>
    </row>
    <row r="10" customFormat="false" ht="18" hidden="false" customHeight="true" outlineLevel="0" collapsed="false">
      <c r="B10" s="19" t="s">
        <v>69</v>
      </c>
    </row>
    <row r="11" customFormat="false" ht="18" hidden="false" customHeight="true" outlineLevel="0" collapsed="false">
      <c r="B11" s="19" t="s">
        <v>70</v>
      </c>
    </row>
    <row r="12" customFormat="false" ht="18" hidden="false" customHeight="true" outlineLevel="0" collapsed="false">
      <c r="B12" s="19" t="s">
        <v>71</v>
      </c>
    </row>
    <row r="13" customFormat="false" ht="18" hidden="false" customHeight="true" outlineLevel="0" collapsed="false">
      <c r="B13" s="19" t="s">
        <v>72</v>
      </c>
    </row>
    <row r="14" customFormat="false" ht="18" hidden="false" customHeight="true" outlineLevel="0" collapsed="false">
      <c r="B14" s="19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0" min="2" style="1" width="10"/>
  </cols>
  <sheetData>
    <row r="1" customFormat="false" ht="25.5" hidden="false" customHeight="true" outlineLevel="0" collapsed="false">
      <c r="A1" s="20" t="s">
        <v>74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3" customFormat="false" ht="15" hidden="false" customHeight="true" outlineLevel="0" collapsed="false">
      <c r="A3" s="21" t="s">
        <v>75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customFormat="false" ht="15" hidden="false" customHeight="true" outlineLevel="0" collapsed="false">
      <c r="A4" s="4" t="s">
        <v>76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</row>
    <row r="5" customFormat="false" ht="15" hidden="false" customHeight="true" outlineLevel="0" collapsed="false">
      <c r="A5" s="22" t="s">
        <v>22</v>
      </c>
      <c r="B5" s="23" t="n">
        <f aca="false">'0. Database'!C5</f>
        <v>77849</v>
      </c>
      <c r="C5" s="23" t="n">
        <f aca="false">'0. Database'!D5</f>
        <v>86833</v>
      </c>
      <c r="D5" s="23" t="n">
        <f aca="false">'0. Database'!E5</f>
        <v>93580</v>
      </c>
      <c r="E5" s="23" t="n">
        <f aca="false">'0. Database'!F5</f>
        <v>85320</v>
      </c>
      <c r="F5" s="23" t="n">
        <f aca="false">'0. Database'!G5</f>
        <v>96571</v>
      </c>
      <c r="G5" s="23" t="n">
        <f aca="false">'0. Database'!H5</f>
        <v>110360</v>
      </c>
      <c r="H5" s="23" t="n">
        <f aca="false">'0. Database'!I5</f>
        <v>125843</v>
      </c>
      <c r="I5" s="23" t="n">
        <f aca="false">'0. Database'!J5</f>
        <v>143015</v>
      </c>
      <c r="J5" s="23" t="n">
        <f aca="false">'0. Database'!K5</f>
        <v>168088</v>
      </c>
      <c r="K5" s="23" t="n">
        <f aca="false">'0. Database'!L5</f>
        <v>198270</v>
      </c>
      <c r="L5" s="23" t="n">
        <f aca="false">'0. Database'!M5</f>
        <v>211915</v>
      </c>
      <c r="M5" s="23" t="n">
        <f aca="false">'0. Database'!N5</f>
        <v>245122</v>
      </c>
      <c r="N5" s="23" t="n">
        <f aca="false">'0. Database'!O5</f>
        <v>281724</v>
      </c>
      <c r="O5" s="23" t="n">
        <f aca="false">'0. Database'!P5</f>
        <v>329440.24</v>
      </c>
      <c r="P5" s="23" t="n">
        <f aca="false">'0. Database'!Q5</f>
        <v>387103.71</v>
      </c>
      <c r="Q5" s="23" t="n">
        <f aca="false">'0. Database'!R5</f>
        <v>463474.17</v>
      </c>
      <c r="R5" s="23" t="n">
        <f aca="false">'0. Database'!S5</f>
        <v>553714.52</v>
      </c>
      <c r="S5" s="23" t="n">
        <f aca="false">'0. Database'!T5</f>
        <v>652772.62</v>
      </c>
    </row>
    <row r="6" customFormat="false" ht="15" hidden="false" customHeight="true" outlineLevel="0" collapsed="false">
      <c r="A6" s="22" t="s">
        <v>38</v>
      </c>
      <c r="B6" s="23" t="n">
        <f aca="false">'0. Database'!C21</f>
        <v>74453</v>
      </c>
      <c r="C6" s="23" t="n">
        <f aca="false">'0. Database'!D21</f>
        <v>88988.4</v>
      </c>
      <c r="D6" s="23" t="n">
        <f aca="false">'0. Database'!E21</f>
        <v>107006.6</v>
      </c>
      <c r="E6" s="23" t="n">
        <f aca="false">'0. Database'!F21</f>
        <v>135987</v>
      </c>
      <c r="F6" s="23" t="n">
        <f aca="false">'0. Database'!G21</f>
        <v>177866</v>
      </c>
      <c r="G6" s="23" t="n">
        <f aca="false">'0. Database'!H21</f>
        <v>232887</v>
      </c>
      <c r="H6" s="23" t="n">
        <f aca="false">'0. Database'!I21</f>
        <v>280522</v>
      </c>
      <c r="I6" s="23" t="n">
        <f aca="false">'0. Database'!J21</f>
        <v>386064</v>
      </c>
      <c r="J6" s="23" t="n">
        <f aca="false">'0. Database'!K21</f>
        <v>469822</v>
      </c>
      <c r="K6" s="23" t="n">
        <f aca="false">'0. Database'!L21</f>
        <v>513983</v>
      </c>
      <c r="L6" s="23" t="n">
        <f aca="false">'0. Database'!M21</f>
        <v>574785</v>
      </c>
      <c r="M6" s="23" t="n">
        <f aca="false">'0. Database'!N21</f>
        <v>637959</v>
      </c>
      <c r="N6" s="23" t="n">
        <f aca="false">'0. Database'!O21</f>
        <v>716924</v>
      </c>
      <c r="O6" s="23" t="n">
        <f aca="false">'0. Database'!P21</f>
        <v>827599.51</v>
      </c>
      <c r="P6" s="23" t="n">
        <f aca="false">'0. Database'!Q21</f>
        <v>946630.91</v>
      </c>
      <c r="Q6" s="23" t="n">
        <f aca="false">'0. Database'!R21</f>
        <v>1063340.59</v>
      </c>
      <c r="R6" s="23" t="n">
        <f aca="false">'0. Database'!S21</f>
        <v>1183117.72</v>
      </c>
      <c r="S6" s="23" t="n">
        <f aca="false">'0. Database'!T21</f>
        <v>1305415.48</v>
      </c>
    </row>
    <row r="7" customFormat="false" ht="15" hidden="false" customHeight="true" outlineLevel="0" collapsed="false">
      <c r="A7" s="22" t="s">
        <v>42</v>
      </c>
      <c r="B7" s="23" t="n">
        <f aca="false">'0. Database'!C36</f>
        <v>55519</v>
      </c>
      <c r="C7" s="23" t="n">
        <f aca="false">'0. Database'!D36</f>
        <v>66001</v>
      </c>
      <c r="D7" s="23" t="n">
        <f aca="false">'0. Database'!E36</f>
        <v>74989</v>
      </c>
      <c r="E7" s="23" t="n">
        <f aca="false">'0. Database'!F36</f>
        <v>90272</v>
      </c>
      <c r="F7" s="23" t="n">
        <f aca="false">'0. Database'!G36</f>
        <v>110855</v>
      </c>
      <c r="G7" s="23" t="n">
        <f aca="false">'0. Database'!H36</f>
        <v>136819</v>
      </c>
      <c r="H7" s="23" t="n">
        <f aca="false">'0. Database'!I36</f>
        <v>161857</v>
      </c>
      <c r="I7" s="23" t="n">
        <f aca="false">'0. Database'!J36</f>
        <v>182527</v>
      </c>
      <c r="J7" s="23" t="n">
        <f aca="false">'0. Database'!K36</f>
        <v>257637</v>
      </c>
      <c r="K7" s="23" t="n">
        <f aca="false">'0. Database'!L36</f>
        <v>282836</v>
      </c>
      <c r="L7" s="23" t="n">
        <f aca="false">'0. Database'!M36</f>
        <v>307394</v>
      </c>
      <c r="M7" s="23" t="n">
        <f aca="false">'0. Database'!N36</f>
        <v>350018</v>
      </c>
      <c r="N7" s="23" t="n">
        <f aca="false">'0. Database'!O36</f>
        <v>402836</v>
      </c>
      <c r="O7" s="23" t="n">
        <f aca="false">'0. Database'!P36</f>
        <v>488278.6</v>
      </c>
      <c r="P7" s="23" t="n">
        <f aca="false">'0. Database'!Q36</f>
        <v>591935.74</v>
      </c>
      <c r="Q7" s="23" t="n">
        <f aca="false">'0. Database'!R36</f>
        <v>701414.49</v>
      </c>
      <c r="R7" s="23" t="n">
        <f aca="false">'0. Database'!S36</f>
        <v>815276.88</v>
      </c>
      <c r="S7" s="23" t="n">
        <f aca="false">'0. Database'!T36</f>
        <v>921874.95</v>
      </c>
    </row>
    <row r="8" customFormat="false" ht="15" hidden="false" customHeight="true" outlineLevel="0" collapsed="false">
      <c r="A8" s="22" t="s">
        <v>48</v>
      </c>
      <c r="B8" s="23" t="n">
        <f aca="false">'0. Database'!C53</f>
        <v>7872</v>
      </c>
      <c r="C8" s="23" t="n">
        <f aca="false">'0. Database'!D53</f>
        <v>12466</v>
      </c>
      <c r="D8" s="23" t="n">
        <f aca="false">'0. Database'!E53</f>
        <v>17927</v>
      </c>
      <c r="E8" s="23" t="n">
        <f aca="false">'0. Database'!F53</f>
        <v>27638</v>
      </c>
      <c r="F8" s="23" t="n">
        <f aca="false">'0. Database'!G53</f>
        <v>40653</v>
      </c>
      <c r="G8" s="23" t="n">
        <f aca="false">'0. Database'!H53</f>
        <v>55838</v>
      </c>
      <c r="H8" s="23" t="n">
        <f aca="false">'0. Database'!I53</f>
        <v>70696.5</v>
      </c>
      <c r="I8" s="23" t="n">
        <f aca="false">'0. Database'!J53</f>
        <v>85966</v>
      </c>
      <c r="J8" s="23" t="n">
        <f aca="false">'0. Database'!K53</f>
        <v>117929</v>
      </c>
      <c r="K8" s="23" t="n">
        <f aca="false">'0. Database'!L53</f>
        <v>116609</v>
      </c>
      <c r="L8" s="23" t="n">
        <f aca="false">'0. Database'!M53</f>
        <v>134901</v>
      </c>
      <c r="M8" s="23" t="n">
        <f aca="false">'0. Database'!N53</f>
        <v>164500</v>
      </c>
      <c r="N8" s="23" t="n">
        <f aca="false">'0. Database'!O53</f>
        <v>200965</v>
      </c>
      <c r="O8" s="23" t="n">
        <f aca="false">'0. Database'!P53</f>
        <v>255175.56</v>
      </c>
      <c r="P8" s="23" t="n">
        <f aca="false">'0. Database'!Q53</f>
        <v>306410.52</v>
      </c>
      <c r="Q8" s="23" t="n">
        <f aca="false">'0. Database'!R53</f>
        <v>357336.07</v>
      </c>
      <c r="R8" s="23" t="n">
        <f aca="false">'0. Database'!S53</f>
        <v>407351.97</v>
      </c>
      <c r="S8" s="23" t="n">
        <f aca="false">'0. Database'!T53</f>
        <v>456192.68</v>
      </c>
    </row>
    <row r="9" customFormat="false" ht="15" hidden="false" customHeight="true" outlineLevel="0" collapsed="false">
      <c r="A9" s="22" t="s">
        <v>55</v>
      </c>
      <c r="B9" s="23" t="n">
        <f aca="false">'0. Database'!C71</f>
        <v>37253</v>
      </c>
      <c r="C9" s="23" t="n">
        <f aca="false">'0. Database'!D71</f>
        <v>38305</v>
      </c>
      <c r="D9" s="23" t="n">
        <f aca="false">'0. Database'!E71</f>
        <v>38253</v>
      </c>
      <c r="E9" s="23" t="n">
        <f aca="false">'0. Database'!F71</f>
        <v>37057</v>
      </c>
      <c r="F9" s="23" t="n">
        <f aca="false">'0. Database'!G71</f>
        <v>37899</v>
      </c>
      <c r="G9" s="23" t="n">
        <f aca="false">'0. Database'!H71</f>
        <v>39431</v>
      </c>
      <c r="H9" s="23" t="n">
        <f aca="false">'0. Database'!I71</f>
        <v>39525</v>
      </c>
      <c r="I9" s="23" t="n">
        <f aca="false">'0. Database'!J71</f>
        <v>39073</v>
      </c>
      <c r="J9" s="23" t="n">
        <f aca="false">'0. Database'!K71</f>
        <v>40481</v>
      </c>
      <c r="K9" s="23" t="n">
        <f aca="false">'0. Database'!L71</f>
        <v>42441</v>
      </c>
      <c r="L9" s="23" t="n">
        <f aca="false">'0. Database'!M71</f>
        <v>49955</v>
      </c>
      <c r="M9" s="23" t="n">
        <f aca="false">'0. Database'!N71</f>
        <v>52961</v>
      </c>
      <c r="N9" s="23" t="n">
        <f aca="false">'0. Database'!O71</f>
        <v>57399</v>
      </c>
      <c r="O9" s="23" t="n">
        <f aca="false">'0. Database'!P71</f>
        <v>67286.75</v>
      </c>
      <c r="P9" s="23" t="n">
        <f aca="false">'0. Database'!Q71</f>
        <v>88782.02</v>
      </c>
      <c r="Q9" s="23" t="n">
        <f aca="false">'0. Database'!R71</f>
        <v>125445.05</v>
      </c>
      <c r="R9" s="23" t="n">
        <f aca="false">'0. Database'!S71</f>
        <v>165192.96</v>
      </c>
      <c r="S9" s="23" t="n">
        <f aca="false">'0. Database'!T71</f>
        <v>185555.08</v>
      </c>
    </row>
    <row r="11" customFormat="false" ht="15" hidden="false" customHeight="true" outlineLevel="0" collapsed="false">
      <c r="A11" s="21" t="s">
        <v>77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customFormat="false" ht="15" hidden="false" customHeight="true" outlineLevel="0" collapsed="false">
      <c r="A12" s="4" t="s">
        <v>76</v>
      </c>
      <c r="B12" s="4" t="s">
        <v>3</v>
      </c>
      <c r="C12" s="4" t="s">
        <v>4</v>
      </c>
      <c r="D12" s="4" t="s">
        <v>5</v>
      </c>
      <c r="E12" s="4" t="s">
        <v>6</v>
      </c>
      <c r="F12" s="4" t="s">
        <v>7</v>
      </c>
      <c r="G12" s="4" t="s">
        <v>8</v>
      </c>
      <c r="H12" s="4" t="s">
        <v>9</v>
      </c>
      <c r="I12" s="4" t="s">
        <v>10</v>
      </c>
      <c r="J12" s="4" t="s">
        <v>11</v>
      </c>
      <c r="K12" s="4" t="s">
        <v>12</v>
      </c>
      <c r="L12" s="4" t="s">
        <v>13</v>
      </c>
      <c r="M12" s="4" t="s">
        <v>14</v>
      </c>
      <c r="N12" s="4" t="s">
        <v>15</v>
      </c>
      <c r="O12" s="4" t="s">
        <v>16</v>
      </c>
      <c r="P12" s="4" t="s">
        <v>17</v>
      </c>
      <c r="Q12" s="4" t="s">
        <v>18</v>
      </c>
      <c r="R12" s="4" t="s">
        <v>19</v>
      </c>
      <c r="S12" s="4" t="s">
        <v>20</v>
      </c>
    </row>
    <row r="13" customFormat="false" ht="15" hidden="false" customHeight="true" outlineLevel="0" collapsed="false">
      <c r="A13" s="22" t="s">
        <v>78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</row>
    <row r="14" customFormat="false" ht="15" hidden="false" customHeight="true" outlineLevel="0" collapsed="false">
      <c r="A14" s="22" t="s">
        <v>79</v>
      </c>
      <c r="B14" s="23" t="n">
        <f aca="false">'0. Database'!C32</f>
        <v>3107.57</v>
      </c>
      <c r="C14" s="23" t="n">
        <f aca="false">'0. Database'!D32</f>
        <v>4644</v>
      </c>
      <c r="D14" s="23" t="n">
        <f aca="false">'0. Database'!E32</f>
        <v>7880</v>
      </c>
      <c r="E14" s="23" t="n">
        <f aca="false">'0. Database'!F32</f>
        <v>12219</v>
      </c>
      <c r="F14" s="23" t="n">
        <f aca="false">'0. Database'!G32</f>
        <v>17458</v>
      </c>
      <c r="G14" s="23" t="n">
        <f aca="false">'0. Database'!H32</f>
        <v>25656</v>
      </c>
      <c r="H14" s="23" t="n">
        <f aca="false">'0. Database'!I32</f>
        <v>35026</v>
      </c>
      <c r="I14" s="23" t="n">
        <f aca="false">'0. Database'!J32</f>
        <v>45370</v>
      </c>
      <c r="J14" s="23" t="n">
        <f aca="false">'0. Database'!K32</f>
        <v>62202</v>
      </c>
      <c r="K14" s="23" t="n">
        <f aca="false">'0. Database'!L32</f>
        <v>80096</v>
      </c>
      <c r="L14" s="23" t="n">
        <f aca="false">'0. Database'!M32</f>
        <v>90757</v>
      </c>
      <c r="M14" s="23" t="n">
        <f aca="false">'0. Database'!N32</f>
        <v>107556</v>
      </c>
      <c r="N14" s="23" t="n">
        <f aca="false">'0. Database'!O32</f>
        <v>128725</v>
      </c>
      <c r="O14" s="23" t="n">
        <f aca="false">'0. Database'!P32</f>
        <v>171284.9</v>
      </c>
      <c r="P14" s="23" t="n">
        <f aca="false">'0. Database'!Q32</f>
        <v>225587.94</v>
      </c>
      <c r="Q14" s="23" t="n">
        <f aca="false">'0. Database'!R32</f>
        <v>274421.67</v>
      </c>
      <c r="R14" s="23" t="n">
        <f aca="false">'0. Database'!S32</f>
        <v>323817.58</v>
      </c>
      <c r="S14" s="23" t="n">
        <f aca="false">'0. Database'!T32</f>
        <v>374009.3</v>
      </c>
    </row>
    <row r="15" customFormat="false" ht="15" hidden="false" customHeight="true" outlineLevel="0" collapsed="false">
      <c r="A15" s="22" t="s">
        <v>80</v>
      </c>
      <c r="B15" s="23" t="n">
        <f aca="false">'0. Database'!C47</f>
        <v>0</v>
      </c>
      <c r="C15" s="23" t="n">
        <f aca="false">'0. Database'!D47</f>
        <v>0</v>
      </c>
      <c r="D15" s="23" t="n">
        <f aca="false">'0. Database'!E47</f>
        <v>0</v>
      </c>
      <c r="E15" s="23" t="n">
        <f aca="false">'0. Database'!F47</f>
        <v>0</v>
      </c>
      <c r="F15" s="23" t="n">
        <f aca="false">'0. Database'!G47</f>
        <v>4056</v>
      </c>
      <c r="G15" s="23" t="n">
        <f aca="false">'0. Database'!H47</f>
        <v>5838</v>
      </c>
      <c r="H15" s="23" t="n">
        <f aca="false">'0. Database'!I47</f>
        <v>8918</v>
      </c>
      <c r="I15" s="23" t="n">
        <f aca="false">'0. Database'!J47</f>
        <v>13059</v>
      </c>
      <c r="J15" s="23" t="n">
        <f aca="false">'0. Database'!K47</f>
        <v>19206</v>
      </c>
      <c r="K15" s="23" t="n">
        <f aca="false">'0. Database'!L47</f>
        <v>26280</v>
      </c>
      <c r="L15" s="23" t="n">
        <f aca="false">'0. Database'!M47</f>
        <v>33088</v>
      </c>
      <c r="M15" s="23" t="n">
        <f aca="false">'0. Database'!N47</f>
        <v>43229</v>
      </c>
      <c r="N15" s="23" t="n">
        <f aca="false">'0. Database'!O47</f>
        <v>58705</v>
      </c>
      <c r="O15" s="23" t="n">
        <f aca="false">'0. Database'!P47</f>
        <v>99085.93</v>
      </c>
      <c r="P15" s="23" t="n">
        <f aca="false">'0. Database'!Q47</f>
        <v>157303.91</v>
      </c>
      <c r="Q15" s="23" t="n">
        <f aca="false">'0. Database'!R47</f>
        <v>220225.47</v>
      </c>
      <c r="R15" s="23" t="n">
        <f aca="false">'0. Database'!S47</f>
        <v>286293.12</v>
      </c>
      <c r="S15" s="23" t="n">
        <f aca="false">'0. Database'!T47</f>
        <v>343551.74</v>
      </c>
    </row>
    <row r="16" customFormat="false" ht="15" hidden="false" customHeight="true" outlineLevel="0" collapsed="false">
      <c r="A16" s="22" t="s">
        <v>81</v>
      </c>
      <c r="B16" s="23" t="n">
        <f aca="false">'0. Database'!C64</f>
        <v>6986</v>
      </c>
      <c r="C16" s="23" t="n">
        <f aca="false">'0. Database'!D64</f>
        <v>11492</v>
      </c>
      <c r="D16" s="23" t="n">
        <f aca="false">'0. Database'!E64</f>
        <v>17080</v>
      </c>
      <c r="E16" s="23" t="n">
        <f aca="false">'0. Database'!F64</f>
        <v>26885</v>
      </c>
      <c r="F16" s="23" t="n">
        <f aca="false">'0. Database'!G64</f>
        <v>39942</v>
      </c>
      <c r="G16" s="23" t="n">
        <f aca="false">'0. Database'!H64</f>
        <v>55012</v>
      </c>
      <c r="H16" s="23" t="n">
        <f aca="false">'0. Database'!I64</f>
        <v>69654.5</v>
      </c>
      <c r="I16" s="23" t="n">
        <f aca="false">'0. Database'!J64</f>
        <v>84169</v>
      </c>
      <c r="J16" s="23" t="n">
        <f aca="false">'0. Database'!K64</f>
        <v>114934</v>
      </c>
      <c r="K16" s="23" t="n">
        <f aca="false">'0. Database'!L64</f>
        <v>113641</v>
      </c>
      <c r="L16" s="23" t="n">
        <f aca="false">'0. Database'!M64</f>
        <v>131948</v>
      </c>
      <c r="M16" s="23" t="n">
        <f aca="false">'0. Database'!N64</f>
        <v>160632</v>
      </c>
      <c r="N16" s="23" t="n">
        <f aca="false">'0. Database'!O64</f>
        <v>196174</v>
      </c>
      <c r="O16" s="23" t="n">
        <f aca="false">'0. Database'!P64</f>
        <v>248664.66</v>
      </c>
      <c r="P16" s="23" t="n">
        <f aca="false">'0. Database'!Q64</f>
        <v>298597.44</v>
      </c>
      <c r="Q16" s="23" t="n">
        <f aca="false">'0. Database'!R64</f>
        <v>348271.65</v>
      </c>
      <c r="R16" s="23" t="n">
        <f aca="false">'0. Database'!S64</f>
        <v>397194.59</v>
      </c>
      <c r="S16" s="23" t="n">
        <f aca="false">'0. Database'!T64</f>
        <v>444912.31</v>
      </c>
    </row>
    <row r="17" customFormat="false" ht="15" hidden="false" customHeight="true" outlineLevel="0" collapsed="false">
      <c r="A17" s="22" t="s">
        <v>82</v>
      </c>
      <c r="B17" s="23" t="n">
        <f aca="false">'0. Database'!C82</f>
        <v>1365</v>
      </c>
      <c r="C17" s="23" t="n">
        <f aca="false">'0. Database'!D82</f>
        <v>1577</v>
      </c>
      <c r="D17" s="23" t="n">
        <f aca="false">'0. Database'!E82</f>
        <v>2094</v>
      </c>
      <c r="E17" s="23" t="n">
        <f aca="false">'0. Database'!F82</f>
        <v>2854</v>
      </c>
      <c r="F17" s="23" t="n">
        <f aca="false">'0. Database'!G82</f>
        <v>4572</v>
      </c>
      <c r="G17" s="23" t="n">
        <f aca="false">'0. Database'!H82</f>
        <v>6189.17</v>
      </c>
      <c r="H17" s="23" t="n">
        <f aca="false">'0. Database'!I82</f>
        <v>6918.19</v>
      </c>
      <c r="I17" s="23" t="n">
        <f aca="false">'0. Database'!J82</f>
        <v>7811.32</v>
      </c>
      <c r="J17" s="23" t="n">
        <f aca="false">'0. Database'!K82</f>
        <v>8945</v>
      </c>
      <c r="K17" s="23" t="n">
        <f aca="false">'0. Database'!L82</f>
        <v>10809</v>
      </c>
      <c r="L17" s="23" t="n">
        <f aca="false">'0. Database'!M82</f>
        <v>15882</v>
      </c>
      <c r="M17" s="23" t="n">
        <f aca="false">'0. Database'!N82</f>
        <v>19775</v>
      </c>
      <c r="N17" s="23" t="n">
        <f aca="false">'0. Database'!O82</f>
        <v>24507</v>
      </c>
      <c r="O17" s="23" t="n">
        <f aca="false">'0. Database'!P82</f>
        <v>34020.24</v>
      </c>
      <c r="P17" s="23" t="n">
        <f aca="false">'0. Database'!Q82</f>
        <v>55591.76</v>
      </c>
      <c r="Q17" s="23" t="n">
        <f aca="false">'0. Database'!R82</f>
        <v>92351.27</v>
      </c>
      <c r="R17" s="23" t="n">
        <f aca="false">'0. Database'!S82</f>
        <v>132214.36</v>
      </c>
      <c r="S17" s="23" t="n">
        <f aca="false">'0. Database'!T82</f>
        <v>152708.94</v>
      </c>
    </row>
    <row r="19" customFormat="false" ht="15" hidden="false" customHeight="true" outlineLevel="0" collapsed="false">
      <c r="A19" s="21" t="s">
        <v>83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customFormat="false" ht="15" hidden="false" customHeight="true" outlineLevel="0" collapsed="false">
      <c r="A20" s="4" t="s">
        <v>76</v>
      </c>
      <c r="B20" s="4" t="s">
        <v>3</v>
      </c>
      <c r="C20" s="4" t="s">
        <v>4</v>
      </c>
      <c r="D20" s="4" t="s">
        <v>5</v>
      </c>
      <c r="E20" s="4" t="s">
        <v>6</v>
      </c>
      <c r="F20" s="4" t="s">
        <v>7</v>
      </c>
      <c r="G20" s="4" t="s">
        <v>8</v>
      </c>
      <c r="H20" s="4" t="s">
        <v>9</v>
      </c>
      <c r="I20" s="4" t="s">
        <v>10</v>
      </c>
      <c r="J20" s="4" t="s">
        <v>11</v>
      </c>
      <c r="K20" s="4" t="s">
        <v>12</v>
      </c>
      <c r="L20" s="4" t="s">
        <v>13</v>
      </c>
      <c r="M20" s="4" t="s">
        <v>14</v>
      </c>
      <c r="N20" s="4" t="s">
        <v>15</v>
      </c>
      <c r="O20" s="4" t="s">
        <v>16</v>
      </c>
      <c r="P20" s="4" t="s">
        <v>17</v>
      </c>
      <c r="Q20" s="4" t="s">
        <v>18</v>
      </c>
      <c r="R20" s="4" t="s">
        <v>19</v>
      </c>
      <c r="S20" s="4" t="s">
        <v>20</v>
      </c>
    </row>
    <row r="21" customFormat="false" ht="15" hidden="false" customHeight="true" outlineLevel="0" collapsed="false">
      <c r="A21" s="22" t="s">
        <v>22</v>
      </c>
      <c r="B21" s="25"/>
      <c r="C21" s="26" t="n">
        <f aca="false">IFERROR(C5/B5-1,"")</f>
        <v>0.115402895348688</v>
      </c>
      <c r="D21" s="26" t="n">
        <f aca="false">IFERROR(D5/C5-1,"")</f>
        <v>0.0777008740916472</v>
      </c>
      <c r="E21" s="26" t="n">
        <f aca="false">IFERROR(E5/D5-1,"")</f>
        <v>-0.0882667236589014</v>
      </c>
      <c r="F21" s="26" t="n">
        <f aca="false">IFERROR(F5/E5-1,"")</f>
        <v>0.131868260665729</v>
      </c>
      <c r="G21" s="26" t="n">
        <f aca="false">IFERROR(G5/F5-1,"")</f>
        <v>0.142786136624867</v>
      </c>
      <c r="H21" s="26" t="n">
        <f aca="false">IFERROR(H5/G5-1,"")</f>
        <v>0.140295396882929</v>
      </c>
      <c r="I21" s="26" t="n">
        <f aca="false">IFERROR(I5/H5-1,"")</f>
        <v>0.136455742472764</v>
      </c>
      <c r="J21" s="26" t="n">
        <f aca="false">IFERROR(J5/I5-1,"")</f>
        <v>0.175317274411775</v>
      </c>
      <c r="K21" s="26" t="n">
        <f aca="false">IFERROR(K5/J5-1,"")</f>
        <v>0.179560706296702</v>
      </c>
      <c r="L21" s="26" t="n">
        <f aca="false">IFERROR(L5/K5-1,"")</f>
        <v>0.0688202955565642</v>
      </c>
      <c r="M21" s="26" t="n">
        <f aca="false">IFERROR(M5/L5-1,"")</f>
        <v>0.156699620130713</v>
      </c>
      <c r="N21" s="26" t="n">
        <f aca="false">IFERROR(N5/M5-1,"")</f>
        <v>0.149321562324067</v>
      </c>
      <c r="O21" s="26" t="n">
        <f aca="false">IFERROR(O5/N5-1,"")</f>
        <v>0.169372293450327</v>
      </c>
      <c r="P21" s="26" t="n">
        <f aca="false">IFERROR(P5/O5-1,"")</f>
        <v>0.175034689144228</v>
      </c>
      <c r="Q21" s="26" t="n">
        <f aca="false">IFERROR(Q5/P5-1,"")</f>
        <v>0.197286820113401</v>
      </c>
      <c r="R21" s="26" t="n">
        <f aca="false">IFERROR(R5/Q5-1,"")</f>
        <v>0.19470416226216</v>
      </c>
      <c r="S21" s="26" t="n">
        <f aca="false">IFERROR(S5/R5-1,"")</f>
        <v>0.178897421725549</v>
      </c>
    </row>
    <row r="22" customFormat="false" ht="15" hidden="false" customHeight="true" outlineLevel="0" collapsed="false">
      <c r="A22" s="22" t="s">
        <v>38</v>
      </c>
      <c r="B22" s="25"/>
      <c r="C22" s="26" t="n">
        <f aca="false">IFERROR(C6/B6-1,"")</f>
        <v>0.195229205001813</v>
      </c>
      <c r="D22" s="26" t="n">
        <f aca="false">IFERROR(D6/C6-1,"")</f>
        <v>0.202478075794149</v>
      </c>
      <c r="E22" s="26" t="n">
        <f aca="false">IFERROR(E6/D6-1,"")</f>
        <v>0.270828154525048</v>
      </c>
      <c r="F22" s="26" t="n">
        <f aca="false">IFERROR(F6/E6-1,"")</f>
        <v>0.307963261194085</v>
      </c>
      <c r="G22" s="26" t="n">
        <f aca="false">IFERROR(G6/F6-1,"")</f>
        <v>0.309339615215949</v>
      </c>
      <c r="H22" s="26" t="n">
        <f aca="false">IFERROR(H6/G6-1,"")</f>
        <v>0.20454125820677</v>
      </c>
      <c r="I22" s="26" t="n">
        <f aca="false">IFERROR(I6/H6-1,"")</f>
        <v>0.376234306043733</v>
      </c>
      <c r="J22" s="26" t="n">
        <f aca="false">IFERROR(J6/I6-1,"")</f>
        <v>0.216953665713457</v>
      </c>
      <c r="K22" s="26" t="n">
        <f aca="false">IFERROR(K6/J6-1,"")</f>
        <v>0.0939951726398509</v>
      </c>
      <c r="L22" s="26" t="n">
        <f aca="false">IFERROR(L6/K6-1,"")</f>
        <v>0.118295741298837</v>
      </c>
      <c r="M22" s="26" t="n">
        <f aca="false">IFERROR(M6/L6-1,"")</f>
        <v>0.109908922466661</v>
      </c>
      <c r="N22" s="26" t="n">
        <f aca="false">IFERROR(N6/M6-1,"")</f>
        <v>0.123777546832947</v>
      </c>
      <c r="O22" s="26" t="n">
        <f aca="false">IFERROR(O6/N6-1,"")</f>
        <v>0.154375512606636</v>
      </c>
      <c r="P22" s="26" t="n">
        <f aca="false">IFERROR(P6/O6-1,"")</f>
        <v>0.143827296369472</v>
      </c>
      <c r="Q22" s="26" t="n">
        <f aca="false">IFERROR(Q6/P6-1,"")</f>
        <v>0.123289530023903</v>
      </c>
      <c r="R22" s="26" t="n">
        <f aca="false">IFERROR(R6/Q6-1,"")</f>
        <v>0.112642300243612</v>
      </c>
      <c r="S22" s="26" t="n">
        <f aca="false">IFERROR(S6/R6-1,"")</f>
        <v>0.103369054433569</v>
      </c>
    </row>
    <row r="23" customFormat="false" ht="15" hidden="false" customHeight="true" outlineLevel="0" collapsed="false">
      <c r="A23" s="22" t="s">
        <v>42</v>
      </c>
      <c r="B23" s="25"/>
      <c r="C23" s="26" t="n">
        <f aca="false">IFERROR(C7/B7-1,"")</f>
        <v>0.188800230551703</v>
      </c>
      <c r="D23" s="26" t="n">
        <f aca="false">IFERROR(D7/C7-1,"")</f>
        <v>0.136179754852199</v>
      </c>
      <c r="E23" s="26" t="n">
        <f aca="false">IFERROR(E7/D7-1,"")</f>
        <v>0.203803224472923</v>
      </c>
      <c r="F23" s="26" t="n">
        <f aca="false">IFERROR(F7/E7-1,"")</f>
        <v>0.228010900389933</v>
      </c>
      <c r="G23" s="26" t="n">
        <f aca="false">IFERROR(G7/F7-1,"")</f>
        <v>0.23421586757476</v>
      </c>
      <c r="H23" s="26" t="n">
        <f aca="false">IFERROR(H7/G7-1,"")</f>
        <v>0.183000898997946</v>
      </c>
      <c r="I23" s="26" t="n">
        <f aca="false">IFERROR(I7/H7-1,"")</f>
        <v>0.127705320128261</v>
      </c>
      <c r="J23" s="26" t="n">
        <f aca="false">IFERROR(J7/I7-1,"")</f>
        <v>0.411500764270492</v>
      </c>
      <c r="K23" s="26" t="n">
        <f aca="false">IFERROR(K7/J7-1,"")</f>
        <v>0.0978081564371578</v>
      </c>
      <c r="L23" s="26" t="n">
        <f aca="false">IFERROR(L7/K7-1,"")</f>
        <v>0.0868277022726951</v>
      </c>
      <c r="M23" s="26" t="n">
        <f aca="false">IFERROR(M7/L7-1,"")</f>
        <v>0.138662433229016</v>
      </c>
      <c r="N23" s="26" t="n">
        <f aca="false">IFERROR(N7/M7-1,"")</f>
        <v>0.150900810815444</v>
      </c>
      <c r="O23" s="26" t="n">
        <f aca="false">IFERROR(O7/N7-1,"")</f>
        <v>0.212102691914327</v>
      </c>
      <c r="P23" s="26" t="n">
        <f aca="false">IFERROR(P7/O7-1,"")</f>
        <v>0.212290974865579</v>
      </c>
      <c r="Q23" s="26" t="n">
        <f aca="false">IFERROR(Q7/P7-1,"")</f>
        <v>0.184950396811654</v>
      </c>
      <c r="R23" s="26" t="n">
        <f aca="false">IFERROR(R7/Q7-1,"")</f>
        <v>0.162332531795857</v>
      </c>
      <c r="S23" s="26" t="n">
        <f aca="false">IFERROR(S7/R7-1,"")</f>
        <v>0.13075075795109</v>
      </c>
    </row>
    <row r="24" customFormat="false" ht="15" hidden="false" customHeight="true" outlineLevel="0" collapsed="false">
      <c r="A24" s="22" t="s">
        <v>48</v>
      </c>
      <c r="B24" s="25"/>
      <c r="C24" s="26" t="n">
        <f aca="false">IFERROR(C8/B8-1,"")</f>
        <v>0.583587398373984</v>
      </c>
      <c r="D24" s="26" t="n">
        <f aca="false">IFERROR(D8/C8-1,"")</f>
        <v>0.43807155462859</v>
      </c>
      <c r="E24" s="26" t="n">
        <f aca="false">IFERROR(E8/D8-1,"")</f>
        <v>0.541696881798405</v>
      </c>
      <c r="F24" s="26" t="n">
        <f aca="false">IFERROR(F8/E8-1,"")</f>
        <v>0.470909617193719</v>
      </c>
      <c r="G24" s="26" t="n">
        <f aca="false">IFERROR(G8/F8-1,"")</f>
        <v>0.37352716896662</v>
      </c>
      <c r="H24" s="26" t="n">
        <f aca="false">IFERROR(H8/G8-1,"")</f>
        <v>0.266100146853397</v>
      </c>
      <c r="I24" s="26" t="n">
        <f aca="false">IFERROR(I8/H8-1,"")</f>
        <v>0.215986647146606</v>
      </c>
      <c r="J24" s="26" t="n">
        <f aca="false">IFERROR(J8/I8-1,"")</f>
        <v>0.371809785263942</v>
      </c>
      <c r="K24" s="26" t="n">
        <f aca="false">IFERROR(K8/J8-1,"")</f>
        <v>-0.0111931755547829</v>
      </c>
      <c r="L24" s="26" t="n">
        <f aca="false">IFERROR(L8/K8-1,"")</f>
        <v>0.156866108104863</v>
      </c>
      <c r="M24" s="26" t="n">
        <f aca="false">IFERROR(M8/L8-1,"")</f>
        <v>0.219412754538513</v>
      </c>
      <c r="N24" s="26" t="n">
        <f aca="false">IFERROR(N8/M8-1,"")</f>
        <v>0.221671732522796</v>
      </c>
      <c r="O24" s="26" t="n">
        <f aca="false">IFERROR(O8/N8-1,"")</f>
        <v>0.2697512502177</v>
      </c>
      <c r="P24" s="26" t="n">
        <f aca="false">IFERROR(P8/O8-1,"")</f>
        <v>0.20078317845173</v>
      </c>
      <c r="Q24" s="26" t="n">
        <f aca="false">IFERROR(Q8/P8-1,"")</f>
        <v>0.166200396774889</v>
      </c>
      <c r="R24" s="26" t="n">
        <f aca="false">IFERROR(R8/Q8-1,"")</f>
        <v>0.13996879744046</v>
      </c>
      <c r="S24" s="26" t="n">
        <f aca="false">IFERROR(S8/R8-1,"")</f>
        <v>0.119898057691976</v>
      </c>
    </row>
    <row r="25" customFormat="false" ht="15" hidden="false" customHeight="true" outlineLevel="0" collapsed="false">
      <c r="A25" s="22" t="s">
        <v>55</v>
      </c>
      <c r="B25" s="25"/>
      <c r="C25" s="26" t="n">
        <f aca="false">IFERROR(C9/B9-1,"")</f>
        <v>0.0282393364292808</v>
      </c>
      <c r="D25" s="26" t="n">
        <f aca="false">IFERROR(D9/C9-1,"")</f>
        <v>-0.00135752512726794</v>
      </c>
      <c r="E25" s="26" t="n">
        <f aca="false">IFERROR(E9/D9-1,"")</f>
        <v>-0.031265521658432</v>
      </c>
      <c r="F25" s="26" t="n">
        <f aca="false">IFERROR(F9/E9-1,"")</f>
        <v>0.0227217529751464</v>
      </c>
      <c r="G25" s="26" t="n">
        <f aca="false">IFERROR(G9/F9-1,"")</f>
        <v>0.0404232301643843</v>
      </c>
      <c r="H25" s="26" t="n">
        <f aca="false">IFERROR(H9/G9-1,"")</f>
        <v>0.0023839111359083</v>
      </c>
      <c r="I25" s="26" t="n">
        <f aca="false">IFERROR(I9/H9-1,"")</f>
        <v>-0.0114358001265022</v>
      </c>
      <c r="J25" s="26" t="n">
        <f aca="false">IFERROR(J9/I9-1,"")</f>
        <v>0.036035113761421</v>
      </c>
      <c r="K25" s="26" t="n">
        <f aca="false">IFERROR(K9/J9-1,"")</f>
        <v>0.0484177762407054</v>
      </c>
      <c r="L25" s="26" t="n">
        <f aca="false">IFERROR(L9/K9-1,"")</f>
        <v>0.17704578120214</v>
      </c>
      <c r="M25" s="26" t="n">
        <f aca="false">IFERROR(M9/L9-1,"")</f>
        <v>0.060174156741067</v>
      </c>
      <c r="N25" s="26" t="n">
        <f aca="false">IFERROR(N9/M9-1,"")</f>
        <v>0.0837975113762959</v>
      </c>
      <c r="O25" s="26" t="n">
        <f aca="false">IFERROR(O9/N9-1,"")</f>
        <v>0.172263454067144</v>
      </c>
      <c r="P25" s="26" t="n">
        <f aca="false">IFERROR(P9/O9-1,"")</f>
        <v>0.319457694122543</v>
      </c>
      <c r="Q25" s="26" t="n">
        <f aca="false">IFERROR(Q9/P9-1,"")</f>
        <v>0.412955573662325</v>
      </c>
      <c r="R25" s="26" t="n">
        <f aca="false">IFERROR(R9/Q9-1,"")</f>
        <v>0.316855148927758</v>
      </c>
      <c r="S25" s="26" t="n">
        <f aca="false">IFERROR(S9/R9-1,"")</f>
        <v>0.123262637826697</v>
      </c>
    </row>
  </sheetData>
  <mergeCells count="4">
    <mergeCell ref="A1:S1"/>
    <mergeCell ref="A3:S3"/>
    <mergeCell ref="A11:S11"/>
    <mergeCell ref="A19:S19"/>
  </mergeCells>
  <conditionalFormatting sqref="B21:S25">
    <cfRule type="colorScale" priority="2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0" min="2" style="1" width="10"/>
  </cols>
  <sheetData>
    <row r="1" customFormat="false" ht="25.5" hidden="false" customHeight="true" outlineLevel="0" collapsed="false">
      <c r="A1" s="20" t="s">
        <v>84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3" customFormat="false" ht="15" hidden="false" customHeight="true" outlineLevel="0" collapsed="false">
      <c r="A3" s="21" t="s">
        <v>85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customFormat="false" ht="15" hidden="false" customHeight="true" outlineLevel="0" collapsed="false">
      <c r="A4" s="4" t="s">
        <v>76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</row>
    <row r="5" customFormat="false" ht="15" hidden="false" customHeight="true" outlineLevel="0" collapsed="false">
      <c r="A5" s="22" t="s">
        <v>22</v>
      </c>
      <c r="B5" s="23" t="n">
        <f aca="false">'0. Database'!C12</f>
        <v>4257</v>
      </c>
      <c r="C5" s="23" t="n">
        <f aca="false">'0. Database'!D12</f>
        <v>5485</v>
      </c>
      <c r="D5" s="23" t="n">
        <f aca="false">'0. Database'!E12</f>
        <v>5944</v>
      </c>
      <c r="E5" s="23" t="n">
        <f aca="false">'0. Database'!F12</f>
        <v>8932</v>
      </c>
      <c r="F5" s="23" t="n">
        <f aca="false">'0. Database'!G12</f>
        <v>10200</v>
      </c>
      <c r="G5" s="23" t="n">
        <f aca="false">'0. Database'!H12</f>
        <v>13600</v>
      </c>
      <c r="H5" s="23" t="n">
        <f aca="false">'0. Database'!I12</f>
        <v>16900</v>
      </c>
      <c r="I5" s="23" t="n">
        <f aca="false">'0. Database'!J12</f>
        <v>19000</v>
      </c>
      <c r="J5" s="23" t="n">
        <f aca="false">'0. Database'!K12</f>
        <v>24200</v>
      </c>
      <c r="K5" s="23" t="n">
        <f aca="false">'0. Database'!L12</f>
        <v>29200</v>
      </c>
      <c r="L5" s="23" t="n">
        <f aca="false">'0. Database'!M12</f>
        <v>31900</v>
      </c>
      <c r="M5" s="23" t="n">
        <f aca="false">'0. Database'!N12</f>
        <v>55700</v>
      </c>
      <c r="N5" s="23" t="n">
        <f aca="false">'0. Database'!O12</f>
        <v>88200</v>
      </c>
      <c r="O5" s="23" t="n">
        <f aca="false">'0. Database'!P12</f>
        <v>145871.3</v>
      </c>
      <c r="P5" s="23" t="n">
        <f aca="false">'0. Database'!Q12</f>
        <v>245263.45</v>
      </c>
      <c r="Q5" s="23" t="n">
        <f aca="false">'0. Database'!R12</f>
        <v>286760.35</v>
      </c>
      <c r="R5" s="23" t="n">
        <f aca="false">'0. Database'!S12</f>
        <v>300210.91</v>
      </c>
      <c r="S5" s="23" t="n">
        <f aca="false">'0. Database'!T12</f>
        <v>304616.04</v>
      </c>
    </row>
    <row r="6" customFormat="false" ht="15" hidden="false" customHeight="true" outlineLevel="0" collapsed="false">
      <c r="A6" s="22" t="s">
        <v>38</v>
      </c>
      <c r="B6" s="23" t="n">
        <f aca="false">'0. Database'!C28</f>
        <v>3443</v>
      </c>
      <c r="C6" s="23" t="n">
        <f aca="false">'0. Database'!D28</f>
        <v>4892</v>
      </c>
      <c r="D6" s="23" t="n">
        <f aca="false">'0. Database'!E28</f>
        <v>4588</v>
      </c>
      <c r="E6" s="23" t="n">
        <f aca="false">'0. Database'!F28</f>
        <v>6736</v>
      </c>
      <c r="F6" s="23" t="n">
        <f aca="false">'0. Database'!G28</f>
        <v>10057</v>
      </c>
      <c r="G6" s="23" t="n">
        <f aca="false">'0. Database'!H28</f>
        <v>11322</v>
      </c>
      <c r="H6" s="23" t="n">
        <f aca="false">'0. Database'!I28</f>
        <v>12690</v>
      </c>
      <c r="I6" s="23" t="n">
        <f aca="false">'0. Database'!J28</f>
        <v>35046</v>
      </c>
      <c r="J6" s="23" t="n">
        <f aca="false">'0. Database'!K28</f>
        <v>55396</v>
      </c>
      <c r="K6" s="23" t="n">
        <f aca="false">'0. Database'!L28</f>
        <v>58321</v>
      </c>
      <c r="L6" s="23" t="n">
        <f aca="false">'0. Database'!M28</f>
        <v>48133</v>
      </c>
      <c r="M6" s="23" t="n">
        <f aca="false">'0. Database'!N28</f>
        <v>77658</v>
      </c>
      <c r="N6" s="23" t="n">
        <f aca="false">'0. Database'!O28</f>
        <v>128320</v>
      </c>
      <c r="O6" s="23" t="n">
        <f aca="false">'0. Database'!P28</f>
        <v>200104.98</v>
      </c>
      <c r="P6" s="23" t="n">
        <f aca="false">'0. Database'!Q28</f>
        <v>270141.72</v>
      </c>
      <c r="Q6" s="23" t="n">
        <f aca="false">'0. Database'!R28</f>
        <v>283648.81</v>
      </c>
      <c r="R6" s="23" t="n">
        <f aca="false">'0. Database'!S28</f>
        <v>297831.25</v>
      </c>
      <c r="S6" s="23" t="n">
        <f aca="false">'0. Database'!T28</f>
        <v>312722.81</v>
      </c>
    </row>
    <row r="7" customFormat="false" ht="15" hidden="false" customHeight="true" outlineLevel="0" collapsed="false">
      <c r="A7" s="22" t="s">
        <v>42</v>
      </c>
      <c r="B7" s="23" t="n">
        <f aca="false">'0. Database'!C43</f>
        <v>7358</v>
      </c>
      <c r="C7" s="23" t="n">
        <f aca="false">'0. Database'!D43</f>
        <v>10959</v>
      </c>
      <c r="D7" s="23" t="n">
        <f aca="false">'0. Database'!E43</f>
        <v>9915</v>
      </c>
      <c r="E7" s="23" t="n">
        <f aca="false">'0. Database'!F43</f>
        <v>10183</v>
      </c>
      <c r="F7" s="23" t="n">
        <f aca="false">'0. Database'!G43</f>
        <v>13184</v>
      </c>
      <c r="G7" s="23" t="n">
        <f aca="false">'0. Database'!H43</f>
        <v>25139</v>
      </c>
      <c r="H7" s="23" t="n">
        <f aca="false">'0. Database'!I43</f>
        <v>23548</v>
      </c>
      <c r="I7" s="23" t="n">
        <f aca="false">'0. Database'!J43</f>
        <v>22281</v>
      </c>
      <c r="J7" s="23" t="n">
        <f aca="false">'0. Database'!K43</f>
        <v>24640</v>
      </c>
      <c r="K7" s="23" t="n">
        <f aca="false">'0. Database'!L43</f>
        <v>31485</v>
      </c>
      <c r="L7" s="23" t="n">
        <f aca="false">'0. Database'!M43</f>
        <v>32251</v>
      </c>
      <c r="M7" s="23" t="n">
        <f aca="false">'0. Database'!N43</f>
        <v>52535</v>
      </c>
      <c r="N7" s="23" t="n">
        <f aca="false">'0. Database'!O43</f>
        <v>91447</v>
      </c>
      <c r="O7" s="23" t="n">
        <f aca="false">'0. Database'!P43</f>
        <v>185234.28</v>
      </c>
      <c r="P7" s="23" t="n">
        <f aca="false">'0. Database'!Q43</f>
        <v>259327.99</v>
      </c>
      <c r="Q7" s="23" t="n">
        <f aca="false">'0. Database'!R43</f>
        <v>285260.79</v>
      </c>
      <c r="R7" s="23" t="n">
        <f aca="false">'0. Database'!S43</f>
        <v>299523.83</v>
      </c>
      <c r="S7" s="23" t="n">
        <f aca="false">'0. Database'!T43</f>
        <v>314500.02</v>
      </c>
    </row>
    <row r="8" customFormat="false" ht="15" hidden="false" customHeight="true" outlineLevel="0" collapsed="false">
      <c r="A8" s="22" t="s">
        <v>48</v>
      </c>
      <c r="B8" s="23" t="n">
        <f aca="false">'0. Database'!C60</f>
        <v>1362</v>
      </c>
      <c r="C8" s="23" t="n">
        <f aca="false">'0. Database'!D60</f>
        <v>1831</v>
      </c>
      <c r="D8" s="23" t="n">
        <f aca="false">'0. Database'!E60</f>
        <v>2523</v>
      </c>
      <c r="E8" s="23" t="n">
        <f aca="false">'0. Database'!F60</f>
        <v>4491</v>
      </c>
      <c r="F8" s="23" t="n">
        <f aca="false">'0. Database'!G60</f>
        <v>6732</v>
      </c>
      <c r="G8" s="23" t="n">
        <f aca="false">'0. Database'!H60</f>
        <v>13980</v>
      </c>
      <c r="H8" s="23" t="n">
        <f aca="false">'0. Database'!I60</f>
        <v>15102</v>
      </c>
      <c r="I8" s="23" t="n">
        <f aca="false">'0. Database'!J60</f>
        <v>15115</v>
      </c>
      <c r="J8" s="23" t="n">
        <f aca="false">'0. Database'!K60</f>
        <v>18567</v>
      </c>
      <c r="K8" s="23" t="n">
        <f aca="false">'0. Database'!L60</f>
        <v>31186</v>
      </c>
      <c r="L8" s="23" t="n">
        <f aca="false">'0. Database'!M60</f>
        <v>27045</v>
      </c>
      <c r="M8" s="23" t="n">
        <f aca="false">'0. Database'!N60</f>
        <v>37256</v>
      </c>
      <c r="N8" s="23" t="n">
        <f aca="false">'0. Database'!O60</f>
        <v>69691</v>
      </c>
      <c r="O8" s="23" t="n">
        <f aca="false">'0. Database'!P60</f>
        <v>135583.71</v>
      </c>
      <c r="P8" s="23" t="n">
        <f aca="false">'0. Database'!Q60</f>
        <v>165714.44</v>
      </c>
      <c r="Q8" s="23" t="n">
        <f aca="false">'0. Database'!R60</f>
        <v>185600.17</v>
      </c>
      <c r="R8" s="23" t="n">
        <f aca="false">'0. Database'!S60</f>
        <v>196736.18</v>
      </c>
      <c r="S8" s="23" t="n">
        <f aca="false">'0. Database'!T60</f>
        <v>208540.35</v>
      </c>
    </row>
    <row r="9" customFormat="false" ht="15" hidden="false" customHeight="true" outlineLevel="0" collapsed="false">
      <c r="A9" s="22" t="s">
        <v>55</v>
      </c>
      <c r="B9" s="23" t="n">
        <f aca="false">'0. Database'!C78</f>
        <v>650</v>
      </c>
      <c r="C9" s="23" t="n">
        <f aca="false">'0. Database'!D78</f>
        <v>580</v>
      </c>
      <c r="D9" s="23" t="n">
        <f aca="false">'0. Database'!E78</f>
        <v>1391</v>
      </c>
      <c r="E9" s="23" t="n">
        <f aca="false">'0. Database'!F78</f>
        <v>1189</v>
      </c>
      <c r="F9" s="23" t="n">
        <f aca="false">'0. Database'!G78</f>
        <v>2021</v>
      </c>
      <c r="G9" s="23" t="n">
        <f aca="false">'0. Database'!H78</f>
        <v>1736</v>
      </c>
      <c r="H9" s="23" t="n">
        <f aca="false">'0. Database'!I78</f>
        <v>1660</v>
      </c>
      <c r="I9" s="23" t="n">
        <f aca="false">'0. Database'!J78</f>
        <v>1564</v>
      </c>
      <c r="J9" s="23" t="n">
        <f aca="false">'0. Database'!K78</f>
        <v>2135</v>
      </c>
      <c r="K9" s="23" t="n">
        <f aca="false">'0. Database'!L78</f>
        <v>4511</v>
      </c>
      <c r="L9" s="23" t="n">
        <f aca="false">'0. Database'!M78</f>
        <v>8695</v>
      </c>
      <c r="M9" s="23" t="n">
        <f aca="false">'0. Database'!N78</f>
        <v>6866</v>
      </c>
      <c r="N9" s="23" t="n">
        <f aca="false">'0. Database'!O78</f>
        <v>21215</v>
      </c>
      <c r="O9" s="23" t="n">
        <f aca="false">'0. Database'!P78</f>
        <v>51882</v>
      </c>
      <c r="P9" s="23" t="n">
        <f aca="false">'0. Database'!Q78</f>
        <v>52141.41</v>
      </c>
      <c r="Q9" s="23" t="n">
        <f aca="false">'0. Database'!R78</f>
        <v>69869.49</v>
      </c>
      <c r="R9" s="23" t="n">
        <f aca="false">'0. Database'!S78</f>
        <v>81048.61</v>
      </c>
      <c r="S9" s="23" t="n">
        <f aca="false">'0. Database'!T78</f>
        <v>66459.86</v>
      </c>
    </row>
    <row r="11" customFormat="false" ht="15" hidden="false" customHeight="true" outlineLevel="0" collapsed="false">
      <c r="A11" s="21" t="s">
        <v>86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customFormat="false" ht="15" hidden="false" customHeight="true" outlineLevel="0" collapsed="false">
      <c r="A12" s="4" t="s">
        <v>76</v>
      </c>
      <c r="B12" s="4" t="s">
        <v>3</v>
      </c>
      <c r="C12" s="4" t="s">
        <v>4</v>
      </c>
      <c r="D12" s="4" t="s">
        <v>5</v>
      </c>
      <c r="E12" s="4" t="s">
        <v>6</v>
      </c>
      <c r="F12" s="4" t="s">
        <v>7</v>
      </c>
      <c r="G12" s="4" t="s">
        <v>8</v>
      </c>
      <c r="H12" s="4" t="s">
        <v>9</v>
      </c>
      <c r="I12" s="4" t="s">
        <v>10</v>
      </c>
      <c r="J12" s="4" t="s">
        <v>11</v>
      </c>
      <c r="K12" s="4" t="s">
        <v>12</v>
      </c>
      <c r="L12" s="4" t="s">
        <v>13</v>
      </c>
      <c r="M12" s="4" t="s">
        <v>14</v>
      </c>
      <c r="N12" s="4" t="s">
        <v>15</v>
      </c>
      <c r="O12" s="4" t="s">
        <v>16</v>
      </c>
      <c r="P12" s="4" t="s">
        <v>17</v>
      </c>
      <c r="Q12" s="4" t="s">
        <v>18</v>
      </c>
      <c r="R12" s="4" t="s">
        <v>19</v>
      </c>
      <c r="S12" s="4" t="s">
        <v>20</v>
      </c>
    </row>
    <row r="13" customFormat="false" ht="15" hidden="false" customHeight="true" outlineLevel="0" collapsed="false">
      <c r="A13" s="22" t="s">
        <v>22</v>
      </c>
      <c r="B13" s="23" t="n">
        <f aca="false">'0. Database'!C11</f>
        <v>3339</v>
      </c>
      <c r="C13" s="23" t="n">
        <f aca="false">'0. Database'!D11</f>
        <v>4245</v>
      </c>
      <c r="D13" s="23" t="n">
        <f aca="false">'0. Database'!E11</f>
        <v>5400</v>
      </c>
      <c r="E13" s="23" t="n">
        <f aca="false">'0. Database'!F11</f>
        <v>5878</v>
      </c>
      <c r="F13" s="23" t="n">
        <f aca="false">'0. Database'!G11</f>
        <v>7800</v>
      </c>
      <c r="G13" s="23" t="n">
        <f aca="false">'0. Database'!H11</f>
        <v>9900</v>
      </c>
      <c r="H13" s="23" t="n">
        <f aca="false">'0. Database'!I11</f>
        <v>11600</v>
      </c>
      <c r="I13" s="23" t="n">
        <f aca="false">'0. Database'!J11</f>
        <v>12300</v>
      </c>
      <c r="J13" s="23" t="n">
        <f aca="false">'0. Database'!K11</f>
        <v>10900</v>
      </c>
      <c r="K13" s="23" t="n">
        <f aca="false">'0. Database'!L11</f>
        <v>14600</v>
      </c>
      <c r="L13" s="23" t="n">
        <f aca="false">'0. Database'!M11</f>
        <v>13500</v>
      </c>
      <c r="M13" s="23" t="n">
        <f aca="false">'0. Database'!N11</f>
        <v>20000</v>
      </c>
      <c r="N13" s="23" t="n">
        <f aca="false">'0. Database'!O11</f>
        <v>28000</v>
      </c>
      <c r="O13" s="23" t="n">
        <f aca="false">'0. Database'!P11</f>
        <v>39638.96</v>
      </c>
      <c r="P13" s="23" t="n">
        <f aca="false">'0. Database'!Q11</f>
        <v>62441.96</v>
      </c>
      <c r="Q13" s="23" t="n">
        <f aca="false">'0. Database'!R11</f>
        <v>94995.43</v>
      </c>
      <c r="R13" s="23" t="n">
        <f aca="false">'0. Database'!S11</f>
        <v>131504.45</v>
      </c>
      <c r="S13" s="23" t="n">
        <f aca="false">'0. Database'!T11</f>
        <v>167239.58</v>
      </c>
    </row>
    <row r="14" customFormat="false" ht="15" hidden="false" customHeight="true" outlineLevel="0" collapsed="false">
      <c r="A14" s="22" t="s">
        <v>38</v>
      </c>
      <c r="B14" s="23" t="n">
        <f aca="false">'0. Database'!C27</f>
        <v>3253</v>
      </c>
      <c r="C14" s="23" t="n">
        <f aca="false">'0. Database'!D27</f>
        <v>4745</v>
      </c>
      <c r="D14" s="23" t="n">
        <f aca="false">'0. Database'!E27</f>
        <v>6281</v>
      </c>
      <c r="E14" s="23" t="n">
        <f aca="false">'0. Database'!F27</f>
        <v>8117</v>
      </c>
      <c r="F14" s="23" t="n">
        <f aca="false">'0. Database'!G27</f>
        <v>11478</v>
      </c>
      <c r="G14" s="23" t="n">
        <f aca="false">'0. Database'!H27</f>
        <v>15341</v>
      </c>
      <c r="H14" s="23" t="n">
        <f aca="false">'0. Database'!I27</f>
        <v>21789</v>
      </c>
      <c r="I14" s="23" t="n">
        <f aca="false">'0. Database'!J27</f>
        <v>25251</v>
      </c>
      <c r="J14" s="23" t="n">
        <f aca="false">'0. Database'!K27</f>
        <v>34296</v>
      </c>
      <c r="K14" s="23" t="n">
        <f aca="false">'0. Database'!L27</f>
        <v>41461</v>
      </c>
      <c r="L14" s="23" t="n">
        <f aca="false">'0. Database'!M27</f>
        <v>48663</v>
      </c>
      <c r="M14" s="23" t="n">
        <f aca="false">'0. Database'!N27</f>
        <v>52795</v>
      </c>
      <c r="N14" s="23" t="n">
        <f aca="false">'0. Database'!O27</f>
        <v>65756</v>
      </c>
      <c r="O14" s="23" t="n">
        <f aca="false">'0. Database'!P27</f>
        <v>81175.82</v>
      </c>
      <c r="P14" s="23" t="n">
        <f aca="false">'0. Database'!Q27</f>
        <v>90716.93</v>
      </c>
      <c r="Q14" s="23" t="n">
        <f aca="false">'0. Database'!R27</f>
        <v>120533.23</v>
      </c>
      <c r="R14" s="23" t="n">
        <f aca="false">'0. Database'!S27</f>
        <v>150703.05</v>
      </c>
      <c r="S14" s="23" t="n">
        <f aca="false">'0. Database'!T27</f>
        <v>175451.44</v>
      </c>
    </row>
    <row r="15" customFormat="false" ht="15" hidden="false" customHeight="true" outlineLevel="0" collapsed="false">
      <c r="A15" s="22" t="s">
        <v>42</v>
      </c>
      <c r="B15" s="23" t="n">
        <f aca="false">'0. Database'!C42</f>
        <v>2781</v>
      </c>
      <c r="C15" s="23" t="n">
        <f aca="false">'0. Database'!D42</f>
        <v>3523</v>
      </c>
      <c r="D15" s="23" t="n">
        <f aca="false">'0. Database'!E42</f>
        <v>4132</v>
      </c>
      <c r="E15" s="23" t="n">
        <f aca="false">'0. Database'!F42</f>
        <v>5267</v>
      </c>
      <c r="F15" s="23" t="n">
        <f aca="false">'0. Database'!G42</f>
        <v>6103</v>
      </c>
      <c r="G15" s="23" t="n">
        <f aca="false">'0. Database'!H42</f>
        <v>8164</v>
      </c>
      <c r="H15" s="23" t="n">
        <f aca="false">'0. Database'!I42</f>
        <v>10856</v>
      </c>
      <c r="I15" s="23" t="n">
        <f aca="false">'0. Database'!J42</f>
        <v>12905</v>
      </c>
      <c r="J15" s="23" t="n">
        <f aca="false">'0. Database'!K42</f>
        <v>11555</v>
      </c>
      <c r="K15" s="23" t="n">
        <f aca="false">'0. Database'!L42</f>
        <v>15287</v>
      </c>
      <c r="L15" s="23" t="n">
        <f aca="false">'0. Database'!M42</f>
        <v>13326</v>
      </c>
      <c r="M15" s="23" t="n">
        <f aca="false">'0. Database'!N42</f>
        <v>15311</v>
      </c>
      <c r="N15" s="23" t="n">
        <f aca="false">'0. Database'!O42</f>
        <v>21136</v>
      </c>
      <c r="O15" s="23" t="n">
        <f aca="false">'0. Database'!P42</f>
        <v>42874.7</v>
      </c>
      <c r="P15" s="23" t="n">
        <f aca="false">'0. Database'!Q42</f>
        <v>69582.72</v>
      </c>
      <c r="Q15" s="23" t="n">
        <f aca="false">'0. Database'!R42</f>
        <v>98340.16</v>
      </c>
      <c r="R15" s="23" t="n">
        <f aca="false">'0. Database'!S42</f>
        <v>127674.93</v>
      </c>
      <c r="S15" s="23" t="n">
        <f aca="false">'0. Database'!T42</f>
        <v>156155.17</v>
      </c>
    </row>
    <row r="16" customFormat="false" ht="15" hidden="false" customHeight="true" outlineLevel="0" collapsed="false">
      <c r="A16" s="22" t="s">
        <v>48</v>
      </c>
      <c r="B16" s="23" t="n">
        <f aca="false">'0. Database'!C59</f>
        <v>1011</v>
      </c>
      <c r="C16" s="23" t="n">
        <f aca="false">'0. Database'!D59</f>
        <v>1243</v>
      </c>
      <c r="D16" s="23" t="n">
        <f aca="false">'0. Database'!E59</f>
        <v>1945</v>
      </c>
      <c r="E16" s="23" t="n">
        <f aca="false">'0. Database'!F59</f>
        <v>2342</v>
      </c>
      <c r="F16" s="23" t="n">
        <f aca="false">'0. Database'!G59</f>
        <v>3025</v>
      </c>
      <c r="G16" s="23" t="n">
        <f aca="false">'0. Database'!H59</f>
        <v>4315</v>
      </c>
      <c r="H16" s="23" t="n">
        <f aca="false">'0. Database'!I59</f>
        <v>5741</v>
      </c>
      <c r="I16" s="23" t="n">
        <f aca="false">'0. Database'!J59</f>
        <v>6862</v>
      </c>
      <c r="J16" s="23" t="n">
        <f aca="false">'0. Database'!K59</f>
        <v>7966</v>
      </c>
      <c r="K16" s="23" t="n">
        <f aca="false">'0. Database'!L59</f>
        <v>8686</v>
      </c>
      <c r="L16" s="23" t="n">
        <f aca="false">'0. Database'!M59</f>
        <v>11177</v>
      </c>
      <c r="M16" s="23" t="n">
        <f aca="false">'0. Database'!N59</f>
        <v>15498</v>
      </c>
      <c r="N16" s="23" t="n">
        <f aca="false">'0. Database'!O59</f>
        <v>18616</v>
      </c>
      <c r="O16" s="23" t="n">
        <f aca="false">'0. Database'!P59</f>
        <v>35955.99</v>
      </c>
      <c r="P16" s="23" t="n">
        <f aca="false">'0. Database'!Q59</f>
        <v>56602.9</v>
      </c>
      <c r="Q16" s="23" t="n">
        <f aca="false">'0. Database'!R59</f>
        <v>78641.85</v>
      </c>
      <c r="R16" s="23" t="n">
        <f aca="false">'0. Database'!S59</f>
        <v>100070.74</v>
      </c>
      <c r="S16" s="23" t="n">
        <f aca="false">'0. Database'!T59</f>
        <v>120937.09</v>
      </c>
    </row>
    <row r="17" customFormat="false" ht="15" hidden="false" customHeight="true" outlineLevel="0" collapsed="false">
      <c r="A17" s="22" t="s">
        <v>55</v>
      </c>
      <c r="B17" s="23" t="n">
        <f aca="false">'0. Database'!C77</f>
        <v>546</v>
      </c>
      <c r="C17" s="23" t="n">
        <f aca="false">'0. Database'!D77</f>
        <v>608</v>
      </c>
      <c r="D17" s="23" t="n">
        <f aca="false">'0. Database'!E77</f>
        <v>712</v>
      </c>
      <c r="E17" s="23" t="n">
        <f aca="false">'0. Database'!F77</f>
        <v>871</v>
      </c>
      <c r="F17" s="23" t="n">
        <f aca="false">'0. Database'!G77</f>
        <v>1000</v>
      </c>
      <c r="G17" s="23" t="n">
        <f aca="false">'0. Database'!H77</f>
        <v>1165</v>
      </c>
      <c r="H17" s="23" t="n">
        <f aca="false">'0. Database'!I77</f>
        <v>1230</v>
      </c>
      <c r="I17" s="23" t="n">
        <f aca="false">'0. Database'!J77</f>
        <v>1382</v>
      </c>
      <c r="J17" s="23" t="n">
        <f aca="false">'0. Database'!K77</f>
        <v>1537</v>
      </c>
      <c r="K17" s="23" t="n">
        <f aca="false">'0. Database'!L77</f>
        <v>1972</v>
      </c>
      <c r="L17" s="23" t="n">
        <f aca="false">'0. Database'!M77</f>
        <v>2526</v>
      </c>
      <c r="M17" s="23" t="n">
        <f aca="false">'0. Database'!N77</f>
        <v>3129</v>
      </c>
      <c r="N17" s="23" t="n">
        <f aca="false">'0. Database'!O77</f>
        <v>3867</v>
      </c>
      <c r="O17" s="23" t="n">
        <f aca="false">'0. Database'!P77</f>
        <v>7501.53</v>
      </c>
      <c r="P17" s="23" t="n">
        <f aca="false">'0. Database'!Q77</f>
        <v>16868.58</v>
      </c>
      <c r="Q17" s="23" t="n">
        <f aca="false">'0. Database'!R77</f>
        <v>27597.91</v>
      </c>
      <c r="R17" s="23" t="n">
        <f aca="false">'0. Database'!S77</f>
        <v>39646.31</v>
      </c>
      <c r="S17" s="23" t="n">
        <f aca="false">'0. Database'!T77</f>
        <v>48244.32</v>
      </c>
    </row>
    <row r="19" customFormat="false" ht="15" hidden="false" customHeight="true" outlineLevel="0" collapsed="false">
      <c r="A19" s="21" t="s">
        <v>87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customFormat="false" ht="15" hidden="false" customHeight="true" outlineLevel="0" collapsed="false">
      <c r="A20" s="4" t="s">
        <v>76</v>
      </c>
      <c r="B20" s="4" t="s">
        <v>3</v>
      </c>
      <c r="C20" s="4" t="s">
        <v>4</v>
      </c>
      <c r="D20" s="4" t="s">
        <v>5</v>
      </c>
      <c r="E20" s="4" t="s">
        <v>6</v>
      </c>
      <c r="F20" s="4" t="s">
        <v>7</v>
      </c>
      <c r="G20" s="4" t="s">
        <v>8</v>
      </c>
      <c r="H20" s="4" t="s">
        <v>9</v>
      </c>
      <c r="I20" s="4" t="s">
        <v>10</v>
      </c>
      <c r="J20" s="4" t="s">
        <v>11</v>
      </c>
      <c r="K20" s="4" t="s">
        <v>12</v>
      </c>
      <c r="L20" s="4" t="s">
        <v>13</v>
      </c>
      <c r="M20" s="4" t="s">
        <v>14</v>
      </c>
      <c r="N20" s="4" t="s">
        <v>15</v>
      </c>
      <c r="O20" s="4" t="s">
        <v>16</v>
      </c>
      <c r="P20" s="4" t="s">
        <v>17</v>
      </c>
      <c r="Q20" s="4" t="s">
        <v>18</v>
      </c>
      <c r="R20" s="4" t="s">
        <v>19</v>
      </c>
      <c r="S20" s="4" t="s">
        <v>20</v>
      </c>
    </row>
    <row r="21" customFormat="false" ht="15" hidden="false" customHeight="true" outlineLevel="0" collapsed="false">
      <c r="A21" s="22" t="s">
        <v>22</v>
      </c>
      <c r="B21" s="23" t="n">
        <f aca="false">'0. Database'!C5</f>
        <v>77849</v>
      </c>
      <c r="C21" s="23" t="n">
        <f aca="false">'0. Database'!D5</f>
        <v>86833</v>
      </c>
      <c r="D21" s="23" t="n">
        <f aca="false">'0. Database'!E5</f>
        <v>93580</v>
      </c>
      <c r="E21" s="23" t="n">
        <f aca="false">'0. Database'!F5</f>
        <v>85320</v>
      </c>
      <c r="F21" s="23" t="n">
        <f aca="false">'0. Database'!G5</f>
        <v>96571</v>
      </c>
      <c r="G21" s="23" t="n">
        <f aca="false">'0. Database'!H5</f>
        <v>110360</v>
      </c>
      <c r="H21" s="23" t="n">
        <f aca="false">'0. Database'!I5</f>
        <v>125843</v>
      </c>
      <c r="I21" s="23" t="n">
        <f aca="false">'0. Database'!J5</f>
        <v>143015</v>
      </c>
      <c r="J21" s="23" t="n">
        <f aca="false">'0. Database'!K5</f>
        <v>168088</v>
      </c>
      <c r="K21" s="23" t="n">
        <f aca="false">'0. Database'!L5</f>
        <v>198270</v>
      </c>
      <c r="L21" s="23" t="n">
        <f aca="false">'0. Database'!M5</f>
        <v>211915</v>
      </c>
      <c r="M21" s="23" t="n">
        <f aca="false">'0. Database'!N5</f>
        <v>245122</v>
      </c>
      <c r="N21" s="23" t="n">
        <f aca="false">'0. Database'!O5</f>
        <v>281724</v>
      </c>
      <c r="O21" s="23" t="n">
        <f aca="false">'0. Database'!P5</f>
        <v>329440.24</v>
      </c>
      <c r="P21" s="23" t="n">
        <f aca="false">'0. Database'!Q5</f>
        <v>387103.71</v>
      </c>
      <c r="Q21" s="23" t="n">
        <f aca="false">'0. Database'!R5</f>
        <v>463474.17</v>
      </c>
      <c r="R21" s="23" t="n">
        <f aca="false">'0. Database'!S5</f>
        <v>553714.52</v>
      </c>
      <c r="S21" s="23" t="n">
        <f aca="false">'0. Database'!T5</f>
        <v>652772.62</v>
      </c>
    </row>
    <row r="22" customFormat="false" ht="15" hidden="false" customHeight="true" outlineLevel="0" collapsed="false">
      <c r="A22" s="22" t="s">
        <v>38</v>
      </c>
      <c r="B22" s="23" t="n">
        <f aca="false">'0. Database'!C21</f>
        <v>74453</v>
      </c>
      <c r="C22" s="23" t="n">
        <f aca="false">'0. Database'!D21</f>
        <v>88988.4</v>
      </c>
      <c r="D22" s="23" t="n">
        <f aca="false">'0. Database'!E21</f>
        <v>107006.6</v>
      </c>
      <c r="E22" s="23" t="n">
        <f aca="false">'0. Database'!F21</f>
        <v>135987</v>
      </c>
      <c r="F22" s="23" t="n">
        <f aca="false">'0. Database'!G21</f>
        <v>177866</v>
      </c>
      <c r="G22" s="23" t="n">
        <f aca="false">'0. Database'!H21</f>
        <v>232887</v>
      </c>
      <c r="H22" s="23" t="n">
        <f aca="false">'0. Database'!I21</f>
        <v>280522</v>
      </c>
      <c r="I22" s="23" t="n">
        <f aca="false">'0. Database'!J21</f>
        <v>386064</v>
      </c>
      <c r="J22" s="23" t="n">
        <f aca="false">'0. Database'!K21</f>
        <v>469822</v>
      </c>
      <c r="K22" s="23" t="n">
        <f aca="false">'0. Database'!L21</f>
        <v>513983</v>
      </c>
      <c r="L22" s="23" t="n">
        <f aca="false">'0. Database'!M21</f>
        <v>574785</v>
      </c>
      <c r="M22" s="23" t="n">
        <f aca="false">'0. Database'!N21</f>
        <v>637959</v>
      </c>
      <c r="N22" s="23" t="n">
        <f aca="false">'0. Database'!O21</f>
        <v>716924</v>
      </c>
      <c r="O22" s="23" t="n">
        <f aca="false">'0. Database'!P21</f>
        <v>827599.51</v>
      </c>
      <c r="P22" s="23" t="n">
        <f aca="false">'0. Database'!Q21</f>
        <v>946630.91</v>
      </c>
      <c r="Q22" s="23" t="n">
        <f aca="false">'0. Database'!R21</f>
        <v>1063340.59</v>
      </c>
      <c r="R22" s="23" t="n">
        <f aca="false">'0. Database'!S21</f>
        <v>1183117.72</v>
      </c>
      <c r="S22" s="23" t="n">
        <f aca="false">'0. Database'!T21</f>
        <v>1305415.48</v>
      </c>
    </row>
    <row r="23" customFormat="false" ht="15" hidden="false" customHeight="true" outlineLevel="0" collapsed="false">
      <c r="A23" s="22" t="s">
        <v>42</v>
      </c>
      <c r="B23" s="23" t="n">
        <f aca="false">'0. Database'!C36</f>
        <v>55519</v>
      </c>
      <c r="C23" s="23" t="n">
        <f aca="false">'0. Database'!D36</f>
        <v>66001</v>
      </c>
      <c r="D23" s="23" t="n">
        <f aca="false">'0. Database'!E36</f>
        <v>74989</v>
      </c>
      <c r="E23" s="23" t="n">
        <f aca="false">'0. Database'!F36</f>
        <v>90272</v>
      </c>
      <c r="F23" s="23" t="n">
        <f aca="false">'0. Database'!G36</f>
        <v>110855</v>
      </c>
      <c r="G23" s="23" t="n">
        <f aca="false">'0. Database'!H36</f>
        <v>136819</v>
      </c>
      <c r="H23" s="23" t="n">
        <f aca="false">'0. Database'!I36</f>
        <v>161857</v>
      </c>
      <c r="I23" s="23" t="n">
        <f aca="false">'0. Database'!J36</f>
        <v>182527</v>
      </c>
      <c r="J23" s="23" t="n">
        <f aca="false">'0. Database'!K36</f>
        <v>257637</v>
      </c>
      <c r="K23" s="23" t="n">
        <f aca="false">'0. Database'!L36</f>
        <v>282836</v>
      </c>
      <c r="L23" s="23" t="n">
        <f aca="false">'0. Database'!M36</f>
        <v>307394</v>
      </c>
      <c r="M23" s="23" t="n">
        <f aca="false">'0. Database'!N36</f>
        <v>350018</v>
      </c>
      <c r="N23" s="23" t="n">
        <f aca="false">'0. Database'!O36</f>
        <v>402836</v>
      </c>
      <c r="O23" s="23" t="n">
        <f aca="false">'0. Database'!P36</f>
        <v>488278.6</v>
      </c>
      <c r="P23" s="23" t="n">
        <f aca="false">'0. Database'!Q36</f>
        <v>591935.74</v>
      </c>
      <c r="Q23" s="23" t="n">
        <f aca="false">'0. Database'!R36</f>
        <v>701414.49</v>
      </c>
      <c r="R23" s="23" t="n">
        <f aca="false">'0. Database'!S36</f>
        <v>815276.88</v>
      </c>
      <c r="S23" s="23" t="n">
        <f aca="false">'0. Database'!T36</f>
        <v>921874.95</v>
      </c>
    </row>
    <row r="24" customFormat="false" ht="15" hidden="false" customHeight="true" outlineLevel="0" collapsed="false">
      <c r="A24" s="22" t="s">
        <v>48</v>
      </c>
      <c r="B24" s="23" t="n">
        <f aca="false">'0. Database'!C53</f>
        <v>7872</v>
      </c>
      <c r="C24" s="23" t="n">
        <f aca="false">'0. Database'!D53</f>
        <v>12466</v>
      </c>
      <c r="D24" s="23" t="n">
        <f aca="false">'0. Database'!E53</f>
        <v>17927</v>
      </c>
      <c r="E24" s="23" t="n">
        <f aca="false">'0. Database'!F53</f>
        <v>27638</v>
      </c>
      <c r="F24" s="23" t="n">
        <f aca="false">'0. Database'!G53</f>
        <v>40653</v>
      </c>
      <c r="G24" s="23" t="n">
        <f aca="false">'0. Database'!H53</f>
        <v>55838</v>
      </c>
      <c r="H24" s="23" t="n">
        <f aca="false">'0. Database'!I53</f>
        <v>70696.5</v>
      </c>
      <c r="I24" s="23" t="n">
        <f aca="false">'0. Database'!J53</f>
        <v>85966</v>
      </c>
      <c r="J24" s="23" t="n">
        <f aca="false">'0. Database'!K53</f>
        <v>117929</v>
      </c>
      <c r="K24" s="23" t="n">
        <f aca="false">'0. Database'!L53</f>
        <v>116609</v>
      </c>
      <c r="L24" s="23" t="n">
        <f aca="false">'0. Database'!M53</f>
        <v>134901</v>
      </c>
      <c r="M24" s="23" t="n">
        <f aca="false">'0. Database'!N53</f>
        <v>164500</v>
      </c>
      <c r="N24" s="23" t="n">
        <f aca="false">'0. Database'!O53</f>
        <v>200965</v>
      </c>
      <c r="O24" s="23" t="n">
        <f aca="false">'0. Database'!P53</f>
        <v>255175.56</v>
      </c>
      <c r="P24" s="23" t="n">
        <f aca="false">'0. Database'!Q53</f>
        <v>306410.52</v>
      </c>
      <c r="Q24" s="23" t="n">
        <f aca="false">'0. Database'!R53</f>
        <v>357336.07</v>
      </c>
      <c r="R24" s="23" t="n">
        <f aca="false">'0. Database'!S53</f>
        <v>407351.97</v>
      </c>
      <c r="S24" s="23" t="n">
        <f aca="false">'0. Database'!T53</f>
        <v>456192.68</v>
      </c>
    </row>
    <row r="25" customFormat="false" ht="15" hidden="false" customHeight="true" outlineLevel="0" collapsed="false">
      <c r="A25" s="22" t="s">
        <v>55</v>
      </c>
      <c r="B25" s="23" t="n">
        <f aca="false">'0. Database'!C71</f>
        <v>37253</v>
      </c>
      <c r="C25" s="23" t="n">
        <f aca="false">'0. Database'!D71</f>
        <v>38305</v>
      </c>
      <c r="D25" s="23" t="n">
        <f aca="false">'0. Database'!E71</f>
        <v>38253</v>
      </c>
      <c r="E25" s="23" t="n">
        <f aca="false">'0. Database'!F71</f>
        <v>37057</v>
      </c>
      <c r="F25" s="23" t="n">
        <f aca="false">'0. Database'!G71</f>
        <v>37899</v>
      </c>
      <c r="G25" s="23" t="n">
        <f aca="false">'0. Database'!H71</f>
        <v>39431</v>
      </c>
      <c r="H25" s="23" t="n">
        <f aca="false">'0. Database'!I71</f>
        <v>39525</v>
      </c>
      <c r="I25" s="23" t="n">
        <f aca="false">'0. Database'!J71</f>
        <v>39073</v>
      </c>
      <c r="J25" s="23" t="n">
        <f aca="false">'0. Database'!K71</f>
        <v>40481</v>
      </c>
      <c r="K25" s="23" t="n">
        <f aca="false">'0. Database'!L71</f>
        <v>42441</v>
      </c>
      <c r="L25" s="23" t="n">
        <f aca="false">'0. Database'!M71</f>
        <v>49955</v>
      </c>
      <c r="M25" s="23" t="n">
        <f aca="false">'0. Database'!N71</f>
        <v>52961</v>
      </c>
      <c r="N25" s="23" t="n">
        <f aca="false">'0. Database'!O71</f>
        <v>57399</v>
      </c>
      <c r="O25" s="23" t="n">
        <f aca="false">'0. Database'!P71</f>
        <v>67286.75</v>
      </c>
      <c r="P25" s="23" t="n">
        <f aca="false">'0. Database'!Q71</f>
        <v>88782.02</v>
      </c>
      <c r="Q25" s="23" t="n">
        <f aca="false">'0. Database'!R71</f>
        <v>125445.05</v>
      </c>
      <c r="R25" s="23" t="n">
        <f aca="false">'0. Database'!S71</f>
        <v>165192.96</v>
      </c>
      <c r="S25" s="23" t="n">
        <f aca="false">'0. Database'!T71</f>
        <v>185555.08</v>
      </c>
    </row>
    <row r="27" customFormat="false" ht="15" hidden="false" customHeight="true" outlineLevel="0" collapsed="false">
      <c r="A27" s="21" t="s">
        <v>88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customFormat="false" ht="15" hidden="false" customHeight="true" outlineLevel="0" collapsed="false">
      <c r="A28" s="4" t="s">
        <v>76</v>
      </c>
      <c r="B28" s="4" t="s">
        <v>3</v>
      </c>
      <c r="C28" s="4" t="s">
        <v>4</v>
      </c>
      <c r="D28" s="4" t="s">
        <v>5</v>
      </c>
      <c r="E28" s="4" t="s">
        <v>6</v>
      </c>
      <c r="F28" s="4" t="s">
        <v>7</v>
      </c>
      <c r="G28" s="4" t="s">
        <v>8</v>
      </c>
      <c r="H28" s="4" t="s">
        <v>9</v>
      </c>
      <c r="I28" s="4" t="s">
        <v>10</v>
      </c>
      <c r="J28" s="4" t="s">
        <v>11</v>
      </c>
      <c r="K28" s="4" t="s">
        <v>12</v>
      </c>
      <c r="L28" s="4" t="s">
        <v>13</v>
      </c>
      <c r="M28" s="4" t="s">
        <v>14</v>
      </c>
      <c r="N28" s="4" t="s">
        <v>15</v>
      </c>
      <c r="O28" s="4" t="s">
        <v>16</v>
      </c>
      <c r="P28" s="4" t="s">
        <v>17</v>
      </c>
      <c r="Q28" s="4" t="s">
        <v>18</v>
      </c>
      <c r="R28" s="4" t="s">
        <v>19</v>
      </c>
      <c r="S28" s="4" t="s">
        <v>20</v>
      </c>
    </row>
    <row r="29" customFormat="false" ht="15" hidden="false" customHeight="true" outlineLevel="0" collapsed="false">
      <c r="A29" s="22" t="s">
        <v>22</v>
      </c>
      <c r="B29" s="25"/>
      <c r="C29" s="26" t="n">
        <f aca="false">IFERROR(C5/B5-1,"")</f>
        <v>0.288466055907916</v>
      </c>
      <c r="D29" s="26" t="n">
        <f aca="false">IFERROR(D5/C5-1,"")</f>
        <v>0.0836827711941659</v>
      </c>
      <c r="E29" s="26" t="n">
        <f aca="false">IFERROR(E5/D5-1,"")</f>
        <v>0.502691790040377</v>
      </c>
      <c r="F29" s="26" t="n">
        <f aca="false">IFERROR(F5/E5-1,"")</f>
        <v>0.141961486789073</v>
      </c>
      <c r="G29" s="26" t="n">
        <f aca="false">IFERROR(G5/F5-1,"")</f>
        <v>0.333333333333333</v>
      </c>
      <c r="H29" s="26" t="n">
        <f aca="false">IFERROR(H5/G5-1,"")</f>
        <v>0.242647058823529</v>
      </c>
      <c r="I29" s="26" t="n">
        <f aca="false">IFERROR(I5/H5-1,"")</f>
        <v>0.124260355029586</v>
      </c>
      <c r="J29" s="26" t="n">
        <f aca="false">IFERROR(J5/I5-1,"")</f>
        <v>0.273684210526316</v>
      </c>
      <c r="K29" s="26" t="n">
        <f aca="false">IFERROR(K5/J5-1,"")</f>
        <v>0.206611570247934</v>
      </c>
      <c r="L29" s="26" t="n">
        <f aca="false">IFERROR(L5/K5-1,"")</f>
        <v>0.0924657534246576</v>
      </c>
      <c r="M29" s="26" t="n">
        <f aca="false">IFERROR(M5/L5-1,"")</f>
        <v>0.746081504702194</v>
      </c>
      <c r="N29" s="26" t="n">
        <f aca="false">IFERROR(N5/M5-1,"")</f>
        <v>0.583482944344704</v>
      </c>
      <c r="O29" s="26" t="n">
        <f aca="false">IFERROR(O5/N5-1,"")</f>
        <v>0.653869614512472</v>
      </c>
      <c r="P29" s="26" t="n">
        <f aca="false">IFERROR(P5/O5-1,"")</f>
        <v>0.681368781933115</v>
      </c>
      <c r="Q29" s="26" t="n">
        <f aca="false">IFERROR(Q5/P5-1,"")</f>
        <v>0.169193167591828</v>
      </c>
      <c r="R29" s="26" t="n">
        <f aca="false">IFERROR(R5/Q5-1,"")</f>
        <v>0.0469052294014845</v>
      </c>
      <c r="S29" s="26" t="n">
        <f aca="false">IFERROR(S5/R5-1,"")</f>
        <v>0.0146734507416804</v>
      </c>
    </row>
    <row r="30" customFormat="false" ht="15" hidden="false" customHeight="true" outlineLevel="0" collapsed="false">
      <c r="A30" s="22" t="s">
        <v>38</v>
      </c>
      <c r="B30" s="25"/>
      <c r="C30" s="26" t="n">
        <f aca="false">IFERROR(C6/B6-1,"")</f>
        <v>0.42085390647691</v>
      </c>
      <c r="D30" s="26" t="n">
        <f aca="false">IFERROR(D6/C6-1,"")</f>
        <v>-0.0621422730989371</v>
      </c>
      <c r="E30" s="26" t="n">
        <f aca="false">IFERROR(E6/D6-1,"")</f>
        <v>0.468177855274629</v>
      </c>
      <c r="F30" s="26" t="n">
        <f aca="false">IFERROR(F6/E6-1,"")</f>
        <v>0.493022565320665</v>
      </c>
      <c r="G30" s="26" t="n">
        <f aca="false">IFERROR(G6/F6-1,"")</f>
        <v>0.125783036690862</v>
      </c>
      <c r="H30" s="26" t="n">
        <f aca="false">IFERROR(H6/G6-1,"")</f>
        <v>0.120826709062003</v>
      </c>
      <c r="I30" s="26" t="n">
        <f aca="false">IFERROR(I6/H6-1,"")</f>
        <v>1.76170212765957</v>
      </c>
      <c r="J30" s="26" t="n">
        <f aca="false">IFERROR(J6/I6-1,"")</f>
        <v>0.580665411173886</v>
      </c>
      <c r="K30" s="26" t="n">
        <f aca="false">IFERROR(K6/J6-1,"")</f>
        <v>0.0528016463282548</v>
      </c>
      <c r="L30" s="26" t="n">
        <f aca="false">IFERROR(L6/K6-1,"")</f>
        <v>-0.174688362682396</v>
      </c>
      <c r="M30" s="26" t="n">
        <f aca="false">IFERROR(M6/L6-1,"")</f>
        <v>0.613404524962084</v>
      </c>
      <c r="N30" s="26" t="n">
        <f aca="false">IFERROR(N6/M6-1,"")</f>
        <v>0.652373226196915</v>
      </c>
      <c r="O30" s="26" t="n">
        <f aca="false">IFERROR(O6/N6-1,"")</f>
        <v>0.559421602244389</v>
      </c>
      <c r="P30" s="26" t="n">
        <f aca="false">IFERROR(P6/O6-1,"")</f>
        <v>0.349999985007869</v>
      </c>
      <c r="Q30" s="26" t="n">
        <f aca="false">IFERROR(Q6/P6-1,"")</f>
        <v>0.050000014807043</v>
      </c>
      <c r="R30" s="26" t="n">
        <f aca="false">IFERROR(R6/Q6-1,"")</f>
        <v>0.0499999982372568</v>
      </c>
      <c r="S30" s="26" t="n">
        <f aca="false">IFERROR(S6/R6-1,"")</f>
        <v>0.049999991605985</v>
      </c>
    </row>
    <row r="31" customFormat="false" ht="15" hidden="false" customHeight="true" outlineLevel="0" collapsed="false">
      <c r="A31" s="22" t="s">
        <v>42</v>
      </c>
      <c r="B31" s="25"/>
      <c r="C31" s="26" t="n">
        <f aca="false">IFERROR(C7/B7-1,"")</f>
        <v>0.489399293286219</v>
      </c>
      <c r="D31" s="26" t="n">
        <f aca="false">IFERROR(D7/C7-1,"")</f>
        <v>-0.0952641664385436</v>
      </c>
      <c r="E31" s="26" t="n">
        <f aca="false">IFERROR(E7/D7-1,"")</f>
        <v>0.027029752899647</v>
      </c>
      <c r="F31" s="26" t="n">
        <f aca="false">IFERROR(F7/E7-1,"")</f>
        <v>0.294706864381813</v>
      </c>
      <c r="G31" s="26" t="n">
        <f aca="false">IFERROR(G7/F7-1,"")</f>
        <v>0.906780946601942</v>
      </c>
      <c r="H31" s="26" t="n">
        <f aca="false">IFERROR(H7/G7-1,"")</f>
        <v>-0.0632881180635666</v>
      </c>
      <c r="I31" s="26" t="n">
        <f aca="false">IFERROR(I7/H7-1,"")</f>
        <v>-0.0538049940546967</v>
      </c>
      <c r="J31" s="26" t="n">
        <f aca="false">IFERROR(J7/I7-1,"")</f>
        <v>0.105874960728872</v>
      </c>
      <c r="K31" s="26" t="n">
        <f aca="false">IFERROR(K7/J7-1,"")</f>
        <v>0.277800324675325</v>
      </c>
      <c r="L31" s="26" t="n">
        <f aca="false">IFERROR(L7/K7-1,"")</f>
        <v>0.0243290455772591</v>
      </c>
      <c r="M31" s="26" t="n">
        <f aca="false">IFERROR(M7/L7-1,"")</f>
        <v>0.628941738240675</v>
      </c>
      <c r="N31" s="26" t="n">
        <f aca="false">IFERROR(N7/M7-1,"")</f>
        <v>0.740687160940326</v>
      </c>
      <c r="O31" s="26" t="n">
        <f aca="false">IFERROR(O7/N7-1,"")</f>
        <v>1.0255916541822</v>
      </c>
      <c r="P31" s="26" t="n">
        <f aca="false">IFERROR(P7/O7-1,"")</f>
        <v>0.399999989202863</v>
      </c>
      <c r="Q31" s="26" t="n">
        <f aca="false">IFERROR(Q7/P7-1,"")</f>
        <v>0.100000003856121</v>
      </c>
      <c r="R31" s="26" t="n">
        <f aca="false">IFERROR(R7/Q7-1,"")</f>
        <v>0.0500000017527822</v>
      </c>
      <c r="S31" s="26" t="n">
        <f aca="false">IFERROR(S7/R7-1,"")</f>
        <v>0.0499999949920513</v>
      </c>
    </row>
    <row r="32" customFormat="false" ht="15" hidden="false" customHeight="true" outlineLevel="0" collapsed="false">
      <c r="A32" s="22" t="s">
        <v>48</v>
      </c>
      <c r="B32" s="25"/>
      <c r="C32" s="26" t="n">
        <f aca="false">IFERROR(C8/B8-1,"")</f>
        <v>0.344346549192364</v>
      </c>
      <c r="D32" s="26" t="n">
        <f aca="false">IFERROR(D8/C8-1,"")</f>
        <v>0.37793555434189</v>
      </c>
      <c r="E32" s="26" t="n">
        <f aca="false">IFERROR(E8/D8-1,"")</f>
        <v>0.780023781212842</v>
      </c>
      <c r="F32" s="26" t="n">
        <f aca="false">IFERROR(F8/E8-1,"")</f>
        <v>0.498997995991984</v>
      </c>
      <c r="G32" s="26" t="n">
        <f aca="false">IFERROR(G8/F8-1,"")</f>
        <v>1.07664884135472</v>
      </c>
      <c r="H32" s="26" t="n">
        <f aca="false">IFERROR(H8/G8-1,"")</f>
        <v>0.0802575107296137</v>
      </c>
      <c r="I32" s="26" t="n">
        <f aca="false">IFERROR(I8/H8-1,"")</f>
        <v>0.000860813137332883</v>
      </c>
      <c r="J32" s="26" t="n">
        <f aca="false">IFERROR(J8/I8-1,"")</f>
        <v>0.228382401587827</v>
      </c>
      <c r="K32" s="26" t="n">
        <f aca="false">IFERROR(K8/J8-1,"")</f>
        <v>0.679646684978726</v>
      </c>
      <c r="L32" s="26" t="n">
        <f aca="false">IFERROR(L8/K8-1,"")</f>
        <v>-0.132783941512217</v>
      </c>
      <c r="M32" s="26" t="n">
        <f aca="false">IFERROR(M8/L8-1,"")</f>
        <v>0.377555925309669</v>
      </c>
      <c r="N32" s="26" t="n">
        <f aca="false">IFERROR(N8/M8-1,"")</f>
        <v>0.870598024479279</v>
      </c>
      <c r="O32" s="26" t="n">
        <f aca="false">IFERROR(O8/N8-1,"")</f>
        <v>0.945498127448307</v>
      </c>
      <c r="P32" s="26" t="n">
        <f aca="false">IFERROR(P8/O8-1,"")</f>
        <v>0.22222972066482</v>
      </c>
      <c r="Q32" s="26" t="n">
        <f aca="false">IFERROR(Q8/P8-1,"")</f>
        <v>0.119999983103464</v>
      </c>
      <c r="R32" s="26" t="n">
        <f aca="false">IFERROR(R8/Q8-1,"")</f>
        <v>0.0599999989224147</v>
      </c>
      <c r="S32" s="26" t="n">
        <f aca="false">IFERROR(S8/R8-1,"")</f>
        <v>0.0599999959336408</v>
      </c>
    </row>
    <row r="33" customFormat="false" ht="15" hidden="false" customHeight="true" outlineLevel="0" collapsed="false">
      <c r="A33" s="22" t="s">
        <v>55</v>
      </c>
      <c r="B33" s="25"/>
      <c r="C33" s="26" t="n">
        <f aca="false">IFERROR(C9/B9-1,"")</f>
        <v>-0.107692307692308</v>
      </c>
      <c r="D33" s="26" t="n">
        <f aca="false">IFERROR(D9/C9-1,"")</f>
        <v>1.39827586206897</v>
      </c>
      <c r="E33" s="26" t="n">
        <f aca="false">IFERROR(E9/D9-1,"")</f>
        <v>-0.145219266714594</v>
      </c>
      <c r="F33" s="26" t="n">
        <f aca="false">IFERROR(F9/E9-1,"")</f>
        <v>0.699747687132044</v>
      </c>
      <c r="G33" s="26" t="n">
        <f aca="false">IFERROR(G9/F9-1,"")</f>
        <v>-0.141019297377536</v>
      </c>
      <c r="H33" s="26" t="n">
        <f aca="false">IFERROR(H9/G9-1,"")</f>
        <v>-0.043778801843318</v>
      </c>
      <c r="I33" s="26" t="n">
        <f aca="false">IFERROR(I9/H9-1,"")</f>
        <v>-0.0578313253012048</v>
      </c>
      <c r="J33" s="26" t="n">
        <f aca="false">IFERROR(J9/I9-1,"")</f>
        <v>0.365089514066496</v>
      </c>
      <c r="K33" s="26" t="n">
        <f aca="false">IFERROR(K9/J9-1,"")</f>
        <v>1.11288056206089</v>
      </c>
      <c r="L33" s="26" t="n">
        <f aca="false">IFERROR(L9/K9-1,"")</f>
        <v>0.927510529816005</v>
      </c>
      <c r="M33" s="26" t="n">
        <f aca="false">IFERROR(M9/L9-1,"")</f>
        <v>-0.210350776308223</v>
      </c>
      <c r="N33" s="26" t="n">
        <f aca="false">IFERROR(N9/M9-1,"")</f>
        <v>2.08986309350422</v>
      </c>
      <c r="O33" s="26" t="n">
        <f aca="false">IFERROR(O9/N9-1,"")</f>
        <v>1.44553382041009</v>
      </c>
      <c r="P33" s="26" t="n">
        <f aca="false">IFERROR(P9/O9-1,"")</f>
        <v>0.00500000000000012</v>
      </c>
      <c r="Q33" s="26" t="n">
        <f aca="false">IFERROR(Q9/P9-1,"")</f>
        <v>0.340000011507169</v>
      </c>
      <c r="R33" s="26" t="n">
        <f aca="false">IFERROR(R9/Q9-1,"")</f>
        <v>0.160000022899838</v>
      </c>
      <c r="S33" s="26" t="n">
        <f aca="false">IFERROR(S9/R9-1,"")</f>
        <v>-0.180000002467655</v>
      </c>
    </row>
    <row r="35" customFormat="false" ht="15" hidden="false" customHeight="true" outlineLevel="0" collapsed="false">
      <c r="A35" s="21" t="s">
        <v>89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customFormat="false" ht="15" hidden="false" customHeight="true" outlineLevel="0" collapsed="false">
      <c r="A36" s="4" t="s">
        <v>76</v>
      </c>
      <c r="B36" s="4" t="s">
        <v>3</v>
      </c>
      <c r="C36" s="4" t="s">
        <v>4</v>
      </c>
      <c r="D36" s="4" t="s">
        <v>5</v>
      </c>
      <c r="E36" s="4" t="s">
        <v>6</v>
      </c>
      <c r="F36" s="4" t="s">
        <v>7</v>
      </c>
      <c r="G36" s="4" t="s">
        <v>8</v>
      </c>
      <c r="H36" s="4" t="s">
        <v>9</v>
      </c>
      <c r="I36" s="4" t="s">
        <v>10</v>
      </c>
      <c r="J36" s="4" t="s">
        <v>11</v>
      </c>
      <c r="K36" s="4" t="s">
        <v>12</v>
      </c>
      <c r="L36" s="4" t="s">
        <v>13</v>
      </c>
      <c r="M36" s="4" t="s">
        <v>14</v>
      </c>
      <c r="N36" s="4" t="s">
        <v>15</v>
      </c>
      <c r="O36" s="4" t="s">
        <v>16</v>
      </c>
      <c r="P36" s="4" t="s">
        <v>17</v>
      </c>
      <c r="Q36" s="4" t="s">
        <v>18</v>
      </c>
      <c r="R36" s="4" t="s">
        <v>19</v>
      </c>
      <c r="S36" s="4" t="s">
        <v>20</v>
      </c>
    </row>
    <row r="37" customFormat="false" ht="15" hidden="false" customHeight="true" outlineLevel="0" collapsed="false">
      <c r="A37" s="22" t="s">
        <v>22</v>
      </c>
      <c r="B37" s="26" t="n">
        <f aca="false">IFERROR(B5/B21,"")</f>
        <v>0.0546827833369729</v>
      </c>
      <c r="C37" s="26" t="n">
        <f aca="false">IFERROR(C5/C21,"")</f>
        <v>0.0631672290488639</v>
      </c>
      <c r="D37" s="26" t="n">
        <f aca="false">IFERROR(D5/D21,"")</f>
        <v>0.0635178456935243</v>
      </c>
      <c r="E37" s="26" t="n">
        <f aca="false">IFERROR(E5/E21,"")</f>
        <v>0.104688232536334</v>
      </c>
      <c r="F37" s="26" t="n">
        <f aca="false">IFERROR(F5/F21,"")</f>
        <v>0.105621770510816</v>
      </c>
      <c r="G37" s="26" t="n">
        <f aca="false">IFERROR(G5/G21,"")</f>
        <v>0.123233055454875</v>
      </c>
      <c r="H37" s="26" t="n">
        <f aca="false">IFERROR(H5/H21,"")</f>
        <v>0.134294319111909</v>
      </c>
      <c r="I37" s="26" t="n">
        <f aca="false">IFERROR(I5/I21,"")</f>
        <v>0.132853197217075</v>
      </c>
      <c r="J37" s="26" t="n">
        <f aca="false">IFERROR(J5/J21,"")</f>
        <v>0.143972205035458</v>
      </c>
      <c r="K37" s="26" t="n">
        <f aca="false">IFERROR(K5/K21,"")</f>
        <v>0.147273919402835</v>
      </c>
      <c r="L37" s="26" t="n">
        <f aca="false">IFERROR(L5/L21,"")</f>
        <v>0.150532052945757</v>
      </c>
      <c r="M37" s="26" t="n">
        <f aca="false">IFERROR(M5/M21,"")</f>
        <v>0.227233785625117</v>
      </c>
      <c r="N37" s="26" t="n">
        <f aca="false">IFERROR(N5/N21,"")</f>
        <v>0.313072368701282</v>
      </c>
      <c r="O37" s="26" t="n">
        <f aca="false">IFERROR(O5/O21,"")</f>
        <v>0.442785313658101</v>
      </c>
      <c r="P37" s="26" t="n">
        <f aca="false">IFERROR(P5/P21,"")</f>
        <v>0.633585893558086</v>
      </c>
      <c r="Q37" s="26" t="n">
        <f aca="false">IFERROR(Q5/Q21,"")</f>
        <v>0.618719161846711</v>
      </c>
      <c r="R37" s="26" t="n">
        <f aca="false">IFERROR(R5/R21,"")</f>
        <v>0.542176336643655</v>
      </c>
      <c r="S37" s="26" t="n">
        <f aca="false">IFERROR(S5/S21,"")</f>
        <v>0.466649535637693</v>
      </c>
    </row>
    <row r="38" customFormat="false" ht="15" hidden="false" customHeight="true" outlineLevel="0" collapsed="false">
      <c r="A38" s="22" t="s">
        <v>38</v>
      </c>
      <c r="B38" s="26" t="n">
        <f aca="false">IFERROR(B6/B22,"")</f>
        <v>0.0462439391293836</v>
      </c>
      <c r="C38" s="26" t="n">
        <f aca="false">IFERROR(C6/C22,"")</f>
        <v>0.0549734572146482</v>
      </c>
      <c r="D38" s="26" t="n">
        <f aca="false">IFERROR(D6/D22,"")</f>
        <v>0.0428758599936826</v>
      </c>
      <c r="E38" s="26" t="n">
        <f aca="false">IFERROR(E6/E22,"")</f>
        <v>0.0495341466463706</v>
      </c>
      <c r="F38" s="26" t="n">
        <f aca="false">IFERROR(F6/F22,"")</f>
        <v>0.0565425657517457</v>
      </c>
      <c r="G38" s="26" t="n">
        <f aca="false">IFERROR(G6/G22,"")</f>
        <v>0.0486158523232297</v>
      </c>
      <c r="H38" s="26" t="n">
        <f aca="false">IFERROR(H6/H22,"")</f>
        <v>0.0452370937038806</v>
      </c>
      <c r="I38" s="26" t="n">
        <f aca="false">IFERROR(I6/I22,"")</f>
        <v>0.0907776948899664</v>
      </c>
      <c r="J38" s="26" t="n">
        <f aca="false">IFERROR(J6/J22,"")</f>
        <v>0.117908484489871</v>
      </c>
      <c r="K38" s="26" t="n">
        <f aca="false">IFERROR(K6/K22,"")</f>
        <v>0.113468733401688</v>
      </c>
      <c r="L38" s="26" t="n">
        <f aca="false">IFERROR(L6/L22,"")</f>
        <v>0.0837408770235827</v>
      </c>
      <c r="M38" s="26" t="n">
        <f aca="false">IFERROR(M6/M22,"")</f>
        <v>0.121728825833635</v>
      </c>
      <c r="N38" s="26" t="n">
        <f aca="false">IFERROR(N6/N22,"")</f>
        <v>0.178986894008291</v>
      </c>
      <c r="O38" s="26" t="n">
        <f aca="false">IFERROR(O6/O22,"")</f>
        <v>0.24178963083243</v>
      </c>
      <c r="P38" s="26" t="n">
        <f aca="false">IFERROR(P6/P22,"")</f>
        <v>0.285371750643553</v>
      </c>
      <c r="Q38" s="26" t="n">
        <f aca="false">IFERROR(Q6/Q22,"")</f>
        <v>0.266752546331369</v>
      </c>
      <c r="R38" s="26" t="n">
        <f aca="false">IFERROR(R6/R22,"")</f>
        <v>0.251734248389078</v>
      </c>
      <c r="S38" s="26" t="n">
        <f aca="false">IFERROR(S6/S22,"")</f>
        <v>0.2395580677502</v>
      </c>
    </row>
    <row r="39" customFormat="false" ht="15" hidden="false" customHeight="true" outlineLevel="0" collapsed="false">
      <c r="A39" s="22" t="s">
        <v>42</v>
      </c>
      <c r="B39" s="26" t="n">
        <f aca="false">IFERROR(B7/B23,"")</f>
        <v>0.132531205533241</v>
      </c>
      <c r="C39" s="26" t="n">
        <f aca="false">IFERROR(C7/C23,"")</f>
        <v>0.166042938743352</v>
      </c>
      <c r="D39" s="26" t="n">
        <f aca="false">IFERROR(D7/D23,"")</f>
        <v>0.132219392177519</v>
      </c>
      <c r="E39" s="26" t="n">
        <f aca="false">IFERROR(E7/E23,"")</f>
        <v>0.112803527118043</v>
      </c>
      <c r="F39" s="26" t="n">
        <f aca="false">IFERROR(F7/F23,"")</f>
        <v>0.118930133958775</v>
      </c>
      <c r="G39" s="26" t="n">
        <f aca="false">IFERROR(G7/G23,"")</f>
        <v>0.183739100563518</v>
      </c>
      <c r="H39" s="26" t="n">
        <f aca="false">IFERROR(H7/H23,"")</f>
        <v>0.145486447913899</v>
      </c>
      <c r="I39" s="26" t="n">
        <f aca="false">IFERROR(I7/I23,"")</f>
        <v>0.122069611619103</v>
      </c>
      <c r="J39" s="26" t="n">
        <f aca="false">IFERROR(J7/J23,"")</f>
        <v>0.0956384370257378</v>
      </c>
      <c r="K39" s="26" t="n">
        <f aca="false">IFERROR(K7/K23,"")</f>
        <v>0.111318926869281</v>
      </c>
      <c r="L39" s="26" t="n">
        <f aca="false">IFERROR(L7/L23,"")</f>
        <v>0.104917467484726</v>
      </c>
      <c r="M39" s="26" t="n">
        <f aca="false">IFERROR(M7/M23,"")</f>
        <v>0.150092280968407</v>
      </c>
      <c r="N39" s="26" t="n">
        <f aca="false">IFERROR(N7/N23,"")</f>
        <v>0.227008013186508</v>
      </c>
      <c r="O39" s="26" t="n">
        <f aca="false">IFERROR(O7/O23,"")</f>
        <v>0.37936186431271</v>
      </c>
      <c r="P39" s="26" t="n">
        <f aca="false">IFERROR(P7/P23,"")</f>
        <v>0.438101591905905</v>
      </c>
      <c r="Q39" s="26" t="n">
        <f aca="false">IFERROR(Q7/Q23,"")</f>
        <v>0.406693608510996</v>
      </c>
      <c r="R39" s="26" t="n">
        <f aca="false">IFERROR(R7/R23,"")</f>
        <v>0.36738908872284</v>
      </c>
      <c r="S39" s="26" t="n">
        <f aca="false">IFERROR(S7/S23,"")</f>
        <v>0.341152582570988</v>
      </c>
    </row>
    <row r="40" customFormat="false" ht="15" hidden="false" customHeight="true" outlineLevel="0" collapsed="false">
      <c r="A40" s="22" t="s">
        <v>48</v>
      </c>
      <c r="B40" s="26" t="n">
        <f aca="false">IFERROR(B8/B24,"")</f>
        <v>0.173018292682927</v>
      </c>
      <c r="C40" s="26" t="n">
        <f aca="false">IFERROR(C8/C24,"")</f>
        <v>0.146879512273384</v>
      </c>
      <c r="D40" s="26" t="n">
        <f aca="false">IFERROR(D8/D24,"")</f>
        <v>0.140737435153679</v>
      </c>
      <c r="E40" s="26" t="n">
        <f aca="false">IFERROR(E8/E24,"")</f>
        <v>0.162493668138071</v>
      </c>
      <c r="F40" s="26" t="n">
        <f aca="false">IFERROR(F8/F24,"")</f>
        <v>0.165596634934691</v>
      </c>
      <c r="G40" s="26" t="n">
        <f aca="false">IFERROR(G8/G24,"")</f>
        <v>0.25036713349332</v>
      </c>
      <c r="H40" s="26" t="n">
        <f aca="false">IFERROR(H8/H24,"")</f>
        <v>0.213617364367402</v>
      </c>
      <c r="I40" s="26" t="n">
        <f aca="false">IFERROR(I8/I24,"")</f>
        <v>0.17582532629179</v>
      </c>
      <c r="J40" s="26" t="n">
        <f aca="false">IFERROR(J8/J24,"")</f>
        <v>0.157442189792163</v>
      </c>
      <c r="K40" s="26" t="n">
        <f aca="false">IFERROR(K8/K24,"")</f>
        <v>0.267440763577425</v>
      </c>
      <c r="L40" s="26" t="n">
        <f aca="false">IFERROR(L8/L24,"")</f>
        <v>0.200480352258323</v>
      </c>
      <c r="M40" s="26" t="n">
        <f aca="false">IFERROR(M8/M24,"")</f>
        <v>0.226480243161094</v>
      </c>
      <c r="N40" s="26" t="n">
        <f aca="false">IFERROR(N8/N24,"")</f>
        <v>0.346781777921529</v>
      </c>
      <c r="O40" s="26" t="n">
        <f aca="false">IFERROR(O8/O24,"")</f>
        <v>0.531335014999085</v>
      </c>
      <c r="P40" s="26" t="n">
        <f aca="false">IFERROR(P8/P24,"")</f>
        <v>0.540824903792468</v>
      </c>
      <c r="Q40" s="26" t="n">
        <f aca="false">IFERROR(Q8/Q24,"")</f>
        <v>0.519399482957318</v>
      </c>
      <c r="R40" s="26" t="n">
        <f aca="false">IFERROR(R8/R24,"")</f>
        <v>0.482963614978958</v>
      </c>
      <c r="S40" s="26" t="n">
        <f aca="false">IFERROR(S8/S24,"")</f>
        <v>0.457132170555652</v>
      </c>
    </row>
    <row r="41" customFormat="false" ht="15" hidden="false" customHeight="true" outlineLevel="0" collapsed="false">
      <c r="A41" s="22" t="s">
        <v>55</v>
      </c>
      <c r="B41" s="26" t="n">
        <f aca="false">IFERROR(B9/B25,"")</f>
        <v>0.0174482592006013</v>
      </c>
      <c r="C41" s="26" t="n">
        <f aca="false">IFERROR(C9/C25,"")</f>
        <v>0.0151416264195275</v>
      </c>
      <c r="D41" s="26" t="n">
        <f aca="false">IFERROR(D9/D25,"")</f>
        <v>0.0363631610592633</v>
      </c>
      <c r="E41" s="26" t="n">
        <f aca="false">IFERROR(E9/E25,"")</f>
        <v>0.0320857058045713</v>
      </c>
      <c r="F41" s="26" t="n">
        <f aca="false">IFERROR(F9/F25,"")</f>
        <v>0.0533259452756009</v>
      </c>
      <c r="G41" s="26" t="n">
        <f aca="false">IFERROR(G9/G25,"")</f>
        <v>0.0440262737440085</v>
      </c>
      <c r="H41" s="26" t="n">
        <f aca="false">IFERROR(H9/H25,"")</f>
        <v>0.0419987349778621</v>
      </c>
      <c r="I41" s="26" t="n">
        <f aca="false">IFERROR(I9/I25,"")</f>
        <v>0.0400276405702147</v>
      </c>
      <c r="J41" s="26" t="n">
        <f aca="false">IFERROR(J9/J25,"")</f>
        <v>0.0527407919764828</v>
      </c>
      <c r="K41" s="26" t="n">
        <f aca="false">IFERROR(K9/K25,"")</f>
        <v>0.106288730237271</v>
      </c>
      <c r="L41" s="26" t="n">
        <f aca="false">IFERROR(L9/L25,"")</f>
        <v>0.174056650985887</v>
      </c>
      <c r="M41" s="26" t="n">
        <f aca="false">IFERROR(M9/M25,"")</f>
        <v>0.12964256717207</v>
      </c>
      <c r="N41" s="26" t="n">
        <f aca="false">IFERROR(N9/N25,"")</f>
        <v>0.369605742260318</v>
      </c>
      <c r="O41" s="26" t="n">
        <f aca="false">IFERROR(O9/O25,"")</f>
        <v>0.77105819496409</v>
      </c>
      <c r="P41" s="26" t="n">
        <f aca="false">IFERROR(P9/P25,"")</f>
        <v>0.587296954946508</v>
      </c>
      <c r="Q41" s="26" t="n">
        <f aca="false">IFERROR(Q9/Q25,"")</f>
        <v>0.556972873780193</v>
      </c>
      <c r="R41" s="26" t="n">
        <f aca="false">IFERROR(R9/R25,"")</f>
        <v>0.490629927570763</v>
      </c>
      <c r="S41" s="26" t="n">
        <f aca="false">IFERROR(S9/S25,"")</f>
        <v>0.358167828118745</v>
      </c>
    </row>
    <row r="43" customFormat="false" ht="15" hidden="false" customHeight="true" outlineLevel="0" collapsed="false">
      <c r="A43" s="21" t="s">
        <v>90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 customFormat="false" ht="15" hidden="false" customHeight="true" outlineLevel="0" collapsed="false">
      <c r="A44" s="4" t="s">
        <v>76</v>
      </c>
      <c r="B44" s="4" t="s">
        <v>3</v>
      </c>
      <c r="C44" s="4" t="s">
        <v>4</v>
      </c>
      <c r="D44" s="4" t="s">
        <v>5</v>
      </c>
      <c r="E44" s="4" t="s">
        <v>6</v>
      </c>
      <c r="F44" s="4" t="s">
        <v>7</v>
      </c>
      <c r="G44" s="4" t="s">
        <v>8</v>
      </c>
      <c r="H44" s="4" t="s">
        <v>9</v>
      </c>
      <c r="I44" s="4" t="s">
        <v>10</v>
      </c>
      <c r="J44" s="4" t="s">
        <v>11</v>
      </c>
      <c r="K44" s="4" t="s">
        <v>12</v>
      </c>
      <c r="L44" s="4" t="s">
        <v>13</v>
      </c>
      <c r="M44" s="4" t="s">
        <v>14</v>
      </c>
      <c r="N44" s="4" t="s">
        <v>15</v>
      </c>
      <c r="O44" s="4" t="s">
        <v>16</v>
      </c>
      <c r="P44" s="4" t="s">
        <v>17</v>
      </c>
      <c r="Q44" s="4" t="s">
        <v>18</v>
      </c>
      <c r="R44" s="4" t="s">
        <v>19</v>
      </c>
      <c r="S44" s="4" t="s">
        <v>20</v>
      </c>
    </row>
    <row r="45" customFormat="false" ht="15" hidden="false" customHeight="true" outlineLevel="0" collapsed="false">
      <c r="A45" s="22" t="s">
        <v>22</v>
      </c>
      <c r="B45" s="26" t="n">
        <f aca="false">IFERROR(B13/B21,"")</f>
        <v>0.0428907243509872</v>
      </c>
      <c r="C45" s="26" t="n">
        <f aca="false">IFERROR(C13/C21,"")</f>
        <v>0.0488869439038154</v>
      </c>
      <c r="D45" s="26" t="n">
        <f aca="false">IFERROR(D13/D21,"")</f>
        <v>0.0577046377431075</v>
      </c>
      <c r="E45" s="26" t="n">
        <f aca="false">IFERROR(E13/E21,"")</f>
        <v>0.0688935771214252</v>
      </c>
      <c r="F45" s="26" t="n">
        <f aca="false">IFERROR(F13/F21,"")</f>
        <v>0.0807695892141533</v>
      </c>
      <c r="G45" s="26" t="n">
        <f aca="false">IFERROR(G13/G21,"")</f>
        <v>0.0897064153678869</v>
      </c>
      <c r="H45" s="26" t="n">
        <f aca="false">IFERROR(H13/H21,"")</f>
        <v>0.0921783492129081</v>
      </c>
      <c r="I45" s="26" t="n">
        <f aca="false">IFERROR(I13/I21,"")</f>
        <v>0.0860049645142118</v>
      </c>
      <c r="J45" s="26" t="n">
        <f aca="false">IFERROR(J13/J21,"")</f>
        <v>0.0648469849126648</v>
      </c>
      <c r="K45" s="26" t="n">
        <f aca="false">IFERROR(K13/K21,"")</f>
        <v>0.0736369597014173</v>
      </c>
      <c r="L45" s="26" t="n">
        <f aca="false">IFERROR(L13/L21,"")</f>
        <v>0.0637047872967935</v>
      </c>
      <c r="M45" s="26" t="n">
        <f aca="false">IFERROR(M13/M21,"")</f>
        <v>0.0815920235637764</v>
      </c>
      <c r="N45" s="26" t="n">
        <f aca="false">IFERROR(N13/N21,"")</f>
        <v>0.0993880535559626</v>
      </c>
      <c r="O45" s="26" t="n">
        <f aca="false">IFERROR(O13/O21,"")</f>
        <v>0.120322156151902</v>
      </c>
      <c r="P45" s="26" t="n">
        <f aca="false">IFERROR(P13/P21,"")</f>
        <v>0.161305506475254</v>
      </c>
      <c r="Q45" s="26" t="n">
        <f aca="false">IFERROR(Q13/Q21,"")</f>
        <v>0.204963806289356</v>
      </c>
      <c r="R45" s="26" t="n">
        <f aca="false">IFERROR(R13/R21,"")</f>
        <v>0.23749503625081</v>
      </c>
      <c r="S45" s="26" t="n">
        <f aca="false">IFERROR(S13/S21,"")</f>
        <v>0.256198827702057</v>
      </c>
    </row>
    <row r="46" customFormat="false" ht="15" hidden="false" customHeight="true" outlineLevel="0" collapsed="false">
      <c r="A46" s="22" t="s">
        <v>38</v>
      </c>
      <c r="B46" s="26" t="n">
        <f aca="false">IFERROR(B14/B22,"")</f>
        <v>0.0436919936067049</v>
      </c>
      <c r="C46" s="26" t="n">
        <f aca="false">IFERROR(C14/C22,"")</f>
        <v>0.0533215565174787</v>
      </c>
      <c r="D46" s="26" t="n">
        <f aca="false">IFERROR(D14/D22,"")</f>
        <v>0.0586973139974544</v>
      </c>
      <c r="E46" s="26" t="n">
        <f aca="false">IFERROR(E14/E22,"")</f>
        <v>0.0596895291461684</v>
      </c>
      <c r="F46" s="26" t="n">
        <f aca="false">IFERROR(F14/F22,"")</f>
        <v>0.0645317261309075</v>
      </c>
      <c r="G46" s="26" t="n">
        <f aca="false">IFERROR(G14/G22,"")</f>
        <v>0.0658731487803098</v>
      </c>
      <c r="H46" s="26" t="n">
        <f aca="false">IFERROR(H14/H22,"")</f>
        <v>0.0776730523809184</v>
      </c>
      <c r="I46" s="26" t="n">
        <f aca="false">IFERROR(I14/I22,"")</f>
        <v>0.0654062538853662</v>
      </c>
      <c r="J46" s="26" t="n">
        <f aca="false">IFERROR(J14/J22,"")</f>
        <v>0.0729978587635317</v>
      </c>
      <c r="K46" s="26" t="n">
        <f aca="false">IFERROR(K14/K22,"")</f>
        <v>0.080666092069193</v>
      </c>
      <c r="L46" s="26" t="n">
        <f aca="false">IFERROR(L14/L22,"")</f>
        <v>0.0846629609332185</v>
      </c>
      <c r="M46" s="26" t="n">
        <f aca="false">IFERROR(M14/M22,"")</f>
        <v>0.0827561018811554</v>
      </c>
      <c r="N46" s="26" t="n">
        <f aca="false">IFERROR(N14/N22,"")</f>
        <v>0.0917196243953334</v>
      </c>
      <c r="O46" s="26" t="n">
        <f aca="false">IFERROR(O14/O22,"")</f>
        <v>0.0980858724771357</v>
      </c>
      <c r="P46" s="26" t="n">
        <f aca="false">IFERROR(P14/P22,"")</f>
        <v>0.0958313626162915</v>
      </c>
      <c r="Q46" s="26" t="n">
        <f aca="false">IFERROR(Q14/Q22,"")</f>
        <v>0.113353361221732</v>
      </c>
      <c r="R46" s="26" t="n">
        <f aca="false">IFERROR(R14/R22,"")</f>
        <v>0.127377899470562</v>
      </c>
      <c r="S46" s="26" t="n">
        <f aca="false">IFERROR(S14/S22,"")</f>
        <v>0.13440275735048</v>
      </c>
    </row>
    <row r="47" customFormat="false" ht="15" hidden="false" customHeight="true" outlineLevel="0" collapsed="false">
      <c r="A47" s="22" t="s">
        <v>42</v>
      </c>
      <c r="B47" s="26" t="n">
        <f aca="false">IFERROR(B15/B23,"")</f>
        <v>0.0500909598515823</v>
      </c>
      <c r="C47" s="26" t="n">
        <f aca="false">IFERROR(C15/C23,"")</f>
        <v>0.0533779791215285</v>
      </c>
      <c r="D47" s="26" t="n">
        <f aca="false">IFERROR(D15/D23,"")</f>
        <v>0.0551014148741816</v>
      </c>
      <c r="E47" s="26" t="n">
        <f aca="false">IFERROR(E15/E23,"")</f>
        <v>0.0583458879829848</v>
      </c>
      <c r="F47" s="26" t="n">
        <f aca="false">IFERROR(F15/F23,"")</f>
        <v>0.055053899237743</v>
      </c>
      <c r="G47" s="26" t="n">
        <f aca="false">IFERROR(G15/G23,"")</f>
        <v>0.059670075062674</v>
      </c>
      <c r="H47" s="26" t="n">
        <f aca="false">IFERROR(H15/H23,"")</f>
        <v>0.0670715508133723</v>
      </c>
      <c r="I47" s="26" t="n">
        <f aca="false">IFERROR(I15/I23,"")</f>
        <v>0.0707018687646211</v>
      </c>
      <c r="J47" s="26" t="n">
        <f aca="false">IFERROR(J15/J23,"")</f>
        <v>0.0448499245061851</v>
      </c>
      <c r="K47" s="26" t="n">
        <f aca="false">IFERROR(K15/K23,"")</f>
        <v>0.0540489895204288</v>
      </c>
      <c r="L47" s="26" t="n">
        <f aca="false">IFERROR(L15/L23,"")</f>
        <v>0.0433515293076638</v>
      </c>
      <c r="M47" s="26" t="n">
        <f aca="false">IFERROR(M15/M23,"")</f>
        <v>0.0437434646218194</v>
      </c>
      <c r="N47" s="26" t="n">
        <f aca="false">IFERROR(N15/N23,"")</f>
        <v>0.0524680018667646</v>
      </c>
      <c r="O47" s="26" t="n">
        <f aca="false">IFERROR(O15/O23,"")</f>
        <v>0.0878078621508295</v>
      </c>
      <c r="P47" s="26" t="n">
        <f aca="false">IFERROR(P15/P23,"")</f>
        <v>0.117551138236728</v>
      </c>
      <c r="Q47" s="26" t="n">
        <f aca="false">IFERROR(Q15/Q23,"")</f>
        <v>0.140202635391807</v>
      </c>
      <c r="R47" s="26" t="n">
        <f aca="false">IFERROR(R15/R23,"")</f>
        <v>0.156603153029435</v>
      </c>
      <c r="S47" s="26" t="n">
        <f aca="false">IFERROR(S15/S23,"")</f>
        <v>0.169388668170233</v>
      </c>
    </row>
    <row r="48" customFormat="false" ht="15" hidden="false" customHeight="true" outlineLevel="0" collapsed="false">
      <c r="A48" s="22" t="s">
        <v>48</v>
      </c>
      <c r="B48" s="26" t="n">
        <f aca="false">IFERROR(B16/B24,"")</f>
        <v>0.12842987804878</v>
      </c>
      <c r="C48" s="26" t="n">
        <f aca="false">IFERROR(C16/C24,"")</f>
        <v>0.0997112145034494</v>
      </c>
      <c r="D48" s="26" t="n">
        <f aca="false">IFERROR(D16/D24,"")</f>
        <v>0.108495565348357</v>
      </c>
      <c r="E48" s="26" t="n">
        <f aca="false">IFERROR(E16/E24,"")</f>
        <v>0.0847384036471525</v>
      </c>
      <c r="F48" s="26" t="n">
        <f aca="false">IFERROR(F16/F24,"")</f>
        <v>0.0744102526258825</v>
      </c>
      <c r="G48" s="26" t="n">
        <f aca="false">IFERROR(G16/G24,"")</f>
        <v>0.0772771231061284</v>
      </c>
      <c r="H48" s="26" t="n">
        <f aca="false">IFERROR(H16/H24,"")</f>
        <v>0.0812062831964807</v>
      </c>
      <c r="I48" s="26" t="n">
        <f aca="false">IFERROR(I16/I24,"")</f>
        <v>0.0798222553102389</v>
      </c>
      <c r="J48" s="26" t="n">
        <f aca="false">IFERROR(J16/J24,"")</f>
        <v>0.0675491185374251</v>
      </c>
      <c r="K48" s="26" t="n">
        <f aca="false">IFERROR(K16/K24,"")</f>
        <v>0.0744882470478265</v>
      </c>
      <c r="L48" s="26" t="n">
        <f aca="false">IFERROR(L16/L24,"")</f>
        <v>0.0828533517171852</v>
      </c>
      <c r="M48" s="26" t="n">
        <f aca="false">IFERROR(M16/M24,"")</f>
        <v>0.0942127659574468</v>
      </c>
      <c r="N48" s="26" t="n">
        <f aca="false">IFERROR(N16/N24,"")</f>
        <v>0.0926330455551962</v>
      </c>
      <c r="O48" s="26" t="n">
        <f aca="false">IFERROR(O16/O24,"")</f>
        <v>0.140906872115809</v>
      </c>
      <c r="P48" s="26" t="n">
        <f aca="false">IFERROR(P16/P24,"")</f>
        <v>0.184728970793823</v>
      </c>
      <c r="Q48" s="26" t="n">
        <f aca="false">IFERROR(Q16/Q24,"")</f>
        <v>0.22007811861814</v>
      </c>
      <c r="R48" s="26" t="n">
        <f aca="false">IFERROR(R16/R24,"")</f>
        <v>0.245661608068325</v>
      </c>
      <c r="S48" s="26" t="n">
        <f aca="false">IFERROR(S16/S24,"")</f>
        <v>0.265100899909223</v>
      </c>
    </row>
    <row r="49" customFormat="false" ht="15" hidden="false" customHeight="true" outlineLevel="0" collapsed="false">
      <c r="A49" s="22" t="s">
        <v>55</v>
      </c>
      <c r="B49" s="26" t="n">
        <f aca="false">IFERROR(B17/B25,"")</f>
        <v>0.0146565377285051</v>
      </c>
      <c r="C49" s="26" t="n">
        <f aca="false">IFERROR(C17/C25,"")</f>
        <v>0.0158726014880564</v>
      </c>
      <c r="D49" s="26" t="n">
        <f aca="false">IFERROR(D17/D25,"")</f>
        <v>0.0186129192481635</v>
      </c>
      <c r="E49" s="26" t="n">
        <f aca="false">IFERROR(E17/E25,"")</f>
        <v>0.0235043311655018</v>
      </c>
      <c r="F49" s="26" t="n">
        <f aca="false">IFERROR(F17/F25,"")</f>
        <v>0.0263859204728357</v>
      </c>
      <c r="G49" s="26" t="n">
        <f aca="false">IFERROR(G17/G25,"")</f>
        <v>0.0295452816312039</v>
      </c>
      <c r="H49" s="26" t="n">
        <f aca="false">IFERROR(H17/H25,"")</f>
        <v>0.0311195445920304</v>
      </c>
      <c r="I49" s="26" t="n">
        <f aca="false">IFERROR(I17/I25,"")</f>
        <v>0.035369692626622</v>
      </c>
      <c r="J49" s="26" t="n">
        <f aca="false">IFERROR(J17/J25,"")</f>
        <v>0.0379684296336553</v>
      </c>
      <c r="K49" s="26" t="n">
        <f aca="false">IFERROR(K17/K25,"")</f>
        <v>0.0464645036639099</v>
      </c>
      <c r="L49" s="26" t="n">
        <f aca="false">IFERROR(L17/L25,"")</f>
        <v>0.0505655089580623</v>
      </c>
      <c r="M49" s="26" t="n">
        <f aca="false">IFERROR(M17/M25,"")</f>
        <v>0.0590812107022148</v>
      </c>
      <c r="N49" s="26" t="n">
        <f aca="false">IFERROR(N17/N25,"")</f>
        <v>0.0673705116813882</v>
      </c>
      <c r="O49" s="26" t="n">
        <f aca="false">IFERROR(O17/O25,"")</f>
        <v>0.111485990926891</v>
      </c>
      <c r="P49" s="26" t="n">
        <f aca="false">IFERROR(P17/P25,"")</f>
        <v>0.189999957198541</v>
      </c>
      <c r="Q49" s="26" t="n">
        <f aca="false">IFERROR(Q17/Q25,"")</f>
        <v>0.219999992028382</v>
      </c>
      <c r="R49" s="26" t="n">
        <f aca="false">IFERROR(R17/R25,"")</f>
        <v>0.239999997578589</v>
      </c>
      <c r="S49" s="26" t="n">
        <f aca="false">IFERROR(S17/S25,"")</f>
        <v>0.259999995688612</v>
      </c>
    </row>
    <row r="51" customFormat="false" ht="15" hidden="false" customHeight="true" outlineLevel="0" collapsed="false">
      <c r="A51" s="21" t="s">
        <v>91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customFormat="false" ht="15" hidden="false" customHeight="true" outlineLevel="0" collapsed="false">
      <c r="A52" s="4" t="s">
        <v>76</v>
      </c>
      <c r="B52" s="4" t="s">
        <v>3</v>
      </c>
      <c r="C52" s="4" t="s">
        <v>4</v>
      </c>
      <c r="D52" s="4" t="s">
        <v>5</v>
      </c>
      <c r="E52" s="4" t="s">
        <v>6</v>
      </c>
      <c r="F52" s="4" t="s">
        <v>7</v>
      </c>
      <c r="G52" s="4" t="s">
        <v>8</v>
      </c>
      <c r="H52" s="4" t="s">
        <v>9</v>
      </c>
      <c r="I52" s="4" t="s">
        <v>10</v>
      </c>
      <c r="J52" s="4" t="s">
        <v>11</v>
      </c>
      <c r="K52" s="4" t="s">
        <v>12</v>
      </c>
      <c r="L52" s="4" t="s">
        <v>13</v>
      </c>
      <c r="M52" s="4" t="s">
        <v>14</v>
      </c>
      <c r="N52" s="4" t="s">
        <v>15</v>
      </c>
      <c r="O52" s="4" t="s">
        <v>16</v>
      </c>
      <c r="P52" s="4" t="s">
        <v>17</v>
      </c>
      <c r="Q52" s="4" t="s">
        <v>18</v>
      </c>
      <c r="R52" s="4" t="s">
        <v>19</v>
      </c>
      <c r="S52" s="4" t="s">
        <v>20</v>
      </c>
    </row>
    <row r="53" customFormat="false" ht="15" hidden="false" customHeight="true" outlineLevel="0" collapsed="false">
      <c r="A53" s="22" t="s">
        <v>22</v>
      </c>
      <c r="B53" s="25"/>
      <c r="C53" s="26" t="n">
        <f aca="false">IFERROR(C13/B13-1,"")</f>
        <v>0.271338724168913</v>
      </c>
      <c r="D53" s="26" t="n">
        <f aca="false">IFERROR(D13/C13-1,"")</f>
        <v>0.27208480565371</v>
      </c>
      <c r="E53" s="26" t="n">
        <f aca="false">IFERROR(E13/D13-1,"")</f>
        <v>0.0885185185185184</v>
      </c>
      <c r="F53" s="26" t="n">
        <f aca="false">IFERROR(F13/E13-1,"")</f>
        <v>0.326981966655325</v>
      </c>
      <c r="G53" s="26" t="n">
        <f aca="false">IFERROR(G13/F13-1,"")</f>
        <v>0.269230769230769</v>
      </c>
      <c r="H53" s="26" t="n">
        <f aca="false">IFERROR(H13/G13-1,"")</f>
        <v>0.171717171717172</v>
      </c>
      <c r="I53" s="26" t="n">
        <f aca="false">IFERROR(I13/H13-1,"")</f>
        <v>0.0603448275862069</v>
      </c>
      <c r="J53" s="26" t="n">
        <f aca="false">IFERROR(J13/I13-1,"")</f>
        <v>-0.113821138211382</v>
      </c>
      <c r="K53" s="26" t="n">
        <f aca="false">IFERROR(K13/J13-1,"")</f>
        <v>0.339449541284404</v>
      </c>
      <c r="L53" s="26" t="n">
        <f aca="false">IFERROR(L13/K13-1,"")</f>
        <v>-0.0753424657534246</v>
      </c>
      <c r="M53" s="26" t="n">
        <f aca="false">IFERROR(M13/L13-1,"")</f>
        <v>0.481481481481481</v>
      </c>
      <c r="N53" s="26" t="n">
        <f aca="false">IFERROR(N13/M13-1,"")</f>
        <v>0.4</v>
      </c>
      <c r="O53" s="26" t="n">
        <f aca="false">IFERROR(O13/N13-1,"")</f>
        <v>0.415677142857143</v>
      </c>
      <c r="P53" s="26" t="n">
        <f aca="false">IFERROR(P13/O13-1,"")</f>
        <v>0.575267363220428</v>
      </c>
      <c r="Q53" s="26" t="n">
        <f aca="false">IFERROR(Q13/P13-1,"")</f>
        <v>0.521339656858946</v>
      </c>
      <c r="R53" s="26" t="n">
        <f aca="false">IFERROR(R13/Q13-1,"")</f>
        <v>0.384323961689526</v>
      </c>
      <c r="S53" s="26" t="n">
        <f aca="false">IFERROR(S13/R13-1,"")</f>
        <v>0.271740842230054</v>
      </c>
    </row>
    <row r="54" customFormat="false" ht="15" hidden="false" customHeight="true" outlineLevel="0" collapsed="false">
      <c r="A54" s="22" t="s">
        <v>38</v>
      </c>
      <c r="B54" s="25"/>
      <c r="C54" s="26" t="n">
        <f aca="false">IFERROR(C14/B14-1,"")</f>
        <v>0.458653550568706</v>
      </c>
      <c r="D54" s="26" t="n">
        <f aca="false">IFERROR(D14/C14-1,"")</f>
        <v>0.323709167544784</v>
      </c>
      <c r="E54" s="26" t="n">
        <f aca="false">IFERROR(E14/D14-1,"")</f>
        <v>0.292310141697182</v>
      </c>
      <c r="F54" s="26" t="n">
        <f aca="false">IFERROR(F14/E14-1,"")</f>
        <v>0.414069237402981</v>
      </c>
      <c r="G54" s="26" t="n">
        <f aca="false">IFERROR(G14/F14-1,"")</f>
        <v>0.336556891444503</v>
      </c>
      <c r="H54" s="26" t="n">
        <f aca="false">IFERROR(H14/G14-1,"")</f>
        <v>0.420311583338765</v>
      </c>
      <c r="I54" s="26" t="n">
        <f aca="false">IFERROR(I14/H14-1,"")</f>
        <v>0.158887512047363</v>
      </c>
      <c r="J54" s="26" t="n">
        <f aca="false">IFERROR(J14/I14-1,"")</f>
        <v>0.358203635499584</v>
      </c>
      <c r="K54" s="26" t="n">
        <f aca="false">IFERROR(K14/J14-1,"")</f>
        <v>0.208916491719151</v>
      </c>
      <c r="L54" s="26" t="n">
        <f aca="false">IFERROR(L14/K14-1,"")</f>
        <v>0.173705409903283</v>
      </c>
      <c r="M54" s="26" t="n">
        <f aca="false">IFERROR(M14/L14-1,"")</f>
        <v>0.0849105069560034</v>
      </c>
      <c r="N54" s="26" t="n">
        <f aca="false">IFERROR(N14/M14-1,"")</f>
        <v>0.245496732645137</v>
      </c>
      <c r="O54" s="26" t="n">
        <f aca="false">IFERROR(O14/N14-1,"")</f>
        <v>0.234500577894033</v>
      </c>
      <c r="P54" s="26" t="n">
        <f aca="false">IFERROR(P14/O14-1,"")</f>
        <v>0.117536355037744</v>
      </c>
      <c r="Q54" s="26" t="n">
        <f aca="false">IFERROR(Q14/P14-1,"")</f>
        <v>0.328674041328339</v>
      </c>
      <c r="R54" s="26" t="n">
        <f aca="false">IFERROR(R14/Q14-1,"")</f>
        <v>0.25030292476191</v>
      </c>
      <c r="S54" s="26" t="n">
        <f aca="false">IFERROR(S14/R14-1,"")</f>
        <v>0.164219569544213</v>
      </c>
    </row>
    <row r="55" customFormat="false" ht="15" hidden="false" customHeight="true" outlineLevel="0" collapsed="false">
      <c r="A55" s="22" t="s">
        <v>42</v>
      </c>
      <c r="B55" s="25"/>
      <c r="C55" s="26" t="n">
        <f aca="false">IFERROR(C15/B15-1,"")</f>
        <v>0.266810499820209</v>
      </c>
      <c r="D55" s="26" t="n">
        <f aca="false">IFERROR(D15/C15-1,"")</f>
        <v>0.172864036332671</v>
      </c>
      <c r="E55" s="26" t="n">
        <f aca="false">IFERROR(E15/D15-1,"")</f>
        <v>0.274685382381413</v>
      </c>
      <c r="F55" s="26" t="n">
        <f aca="false">IFERROR(F15/E15-1,"")</f>
        <v>0.15872413138409</v>
      </c>
      <c r="G55" s="26" t="n">
        <f aca="false">IFERROR(G15/F15-1,"")</f>
        <v>0.337702769129936</v>
      </c>
      <c r="H55" s="26" t="n">
        <f aca="false">IFERROR(H15/G15-1,"")</f>
        <v>0.329740323370897</v>
      </c>
      <c r="I55" s="26" t="n">
        <f aca="false">IFERROR(I15/H15-1,"")</f>
        <v>0.188743551952837</v>
      </c>
      <c r="J55" s="26" t="n">
        <f aca="false">IFERROR(J15/I15-1,"")</f>
        <v>-0.104610616040294</v>
      </c>
      <c r="K55" s="26" t="n">
        <f aca="false">IFERROR(K15/J15-1,"")</f>
        <v>0.322977066205106</v>
      </c>
      <c r="L55" s="26" t="n">
        <f aca="false">IFERROR(L15/K15-1,"")</f>
        <v>-0.128278929809642</v>
      </c>
      <c r="M55" s="26" t="n">
        <f aca="false">IFERROR(M15/L15-1,"")</f>
        <v>0.14895692630947</v>
      </c>
      <c r="N55" s="26" t="n">
        <f aca="false">IFERROR(N15/M15-1,"")</f>
        <v>0.380445431389197</v>
      </c>
      <c r="O55" s="26" t="n">
        <f aca="false">IFERROR(O15/N15-1,"")</f>
        <v>1.02851532929599</v>
      </c>
      <c r="P55" s="26" t="n">
        <f aca="false">IFERROR(P15/O15-1,"")</f>
        <v>0.622931938882371</v>
      </c>
      <c r="Q55" s="26" t="n">
        <f aca="false">IFERROR(Q15/P15-1,"")</f>
        <v>0.413284217690829</v>
      </c>
      <c r="R55" s="26" t="n">
        <f aca="false">IFERROR(R15/Q15-1,"")</f>
        <v>0.298298985887353</v>
      </c>
      <c r="S55" s="26" t="n">
        <f aca="false">IFERROR(S15/R15-1,"")</f>
        <v>0.223068381553058</v>
      </c>
    </row>
    <row r="56" customFormat="false" ht="15" hidden="false" customHeight="true" outlineLevel="0" collapsed="false">
      <c r="A56" s="22" t="s">
        <v>48</v>
      </c>
      <c r="B56" s="25"/>
      <c r="C56" s="26" t="n">
        <f aca="false">IFERROR(C16/B16-1,"")</f>
        <v>0.229475766567755</v>
      </c>
      <c r="D56" s="26" t="n">
        <f aca="false">IFERROR(D16/C16-1,"")</f>
        <v>0.564762670957361</v>
      </c>
      <c r="E56" s="26" t="n">
        <f aca="false">IFERROR(E16/D16-1,"")</f>
        <v>0.204113110539846</v>
      </c>
      <c r="F56" s="26" t="n">
        <f aca="false">IFERROR(F16/E16-1,"")</f>
        <v>0.291631084543126</v>
      </c>
      <c r="G56" s="26" t="n">
        <f aca="false">IFERROR(G16/F16-1,"")</f>
        <v>0.426446280991736</v>
      </c>
      <c r="H56" s="26" t="n">
        <f aca="false">IFERROR(H16/G16-1,"")</f>
        <v>0.330475086906141</v>
      </c>
      <c r="I56" s="26" t="n">
        <f aca="false">IFERROR(I16/H16-1,"")</f>
        <v>0.195262149451315</v>
      </c>
      <c r="J56" s="26" t="n">
        <f aca="false">IFERROR(J16/I16-1,"")</f>
        <v>0.160886039055669</v>
      </c>
      <c r="K56" s="26" t="n">
        <f aca="false">IFERROR(K16/J16-1,"")</f>
        <v>0.0903841325633945</v>
      </c>
      <c r="L56" s="26" t="n">
        <f aca="false">IFERROR(L16/K16-1,"")</f>
        <v>0.28678332949574</v>
      </c>
      <c r="M56" s="26" t="n">
        <f aca="false">IFERROR(M16/L16-1,"")</f>
        <v>0.386597476961618</v>
      </c>
      <c r="N56" s="26" t="n">
        <f aca="false">IFERROR(N16/M16-1,"")</f>
        <v>0.201187249967738</v>
      </c>
      <c r="O56" s="26" t="n">
        <f aca="false">IFERROR(O16/N16-1,"")</f>
        <v>0.931456274172755</v>
      </c>
      <c r="P56" s="26" t="n">
        <f aca="false">IFERROR(P16/O16-1,"")</f>
        <v>0.574227270616106</v>
      </c>
      <c r="Q56" s="26" t="n">
        <f aca="false">IFERROR(Q16/P16-1,"")</f>
        <v>0.389360792468231</v>
      </c>
      <c r="R56" s="26" t="n">
        <f aca="false">IFERROR(R16/Q16-1,"")</f>
        <v>0.272487104512419</v>
      </c>
      <c r="S56" s="26" t="n">
        <f aca="false">IFERROR(S16/R16-1,"")</f>
        <v>0.208515995784582</v>
      </c>
    </row>
    <row r="57" customFormat="false" ht="15" hidden="false" customHeight="true" outlineLevel="0" collapsed="false">
      <c r="A57" s="22" t="s">
        <v>55</v>
      </c>
      <c r="B57" s="25"/>
      <c r="C57" s="26" t="n">
        <f aca="false">IFERROR(C17/B17-1,"")</f>
        <v>0.113553113553114</v>
      </c>
      <c r="D57" s="26" t="n">
        <f aca="false">IFERROR(D17/C17-1,"")</f>
        <v>0.171052631578947</v>
      </c>
      <c r="E57" s="26" t="n">
        <f aca="false">IFERROR(E17/D17-1,"")</f>
        <v>0.223314606741573</v>
      </c>
      <c r="F57" s="26" t="n">
        <f aca="false">IFERROR(F17/E17-1,"")</f>
        <v>0.148105625717566</v>
      </c>
      <c r="G57" s="26" t="n">
        <f aca="false">IFERROR(G17/F17-1,"")</f>
        <v>0.165</v>
      </c>
      <c r="H57" s="26" t="n">
        <f aca="false">IFERROR(H17/G17-1,"")</f>
        <v>0.055793991416309</v>
      </c>
      <c r="I57" s="26" t="n">
        <f aca="false">IFERROR(I17/H17-1,"")</f>
        <v>0.123577235772358</v>
      </c>
      <c r="J57" s="26" t="n">
        <f aca="false">IFERROR(J17/I17-1,"")</f>
        <v>0.112156295224313</v>
      </c>
      <c r="K57" s="26" t="n">
        <f aca="false">IFERROR(K17/J17-1,"")</f>
        <v>0.283018867924528</v>
      </c>
      <c r="L57" s="26" t="n">
        <f aca="false">IFERROR(L17/K17-1,"")</f>
        <v>0.280933062880325</v>
      </c>
      <c r="M57" s="26" t="n">
        <f aca="false">IFERROR(M17/L17-1,"")</f>
        <v>0.238717339667458</v>
      </c>
      <c r="N57" s="26" t="n">
        <f aca="false">IFERROR(N17/M17-1,"")</f>
        <v>0.235858101629914</v>
      </c>
      <c r="O57" s="26" t="n">
        <f aca="false">IFERROR(O17/N17-1,"")</f>
        <v>0.93988363072149</v>
      </c>
      <c r="P57" s="26" t="n">
        <f aca="false">IFERROR(P17/O17-1,"")</f>
        <v>1.24868526820529</v>
      </c>
      <c r="Q57" s="26" t="n">
        <f aca="false">IFERROR(Q17/P17-1,"")</f>
        <v>0.636054131408808</v>
      </c>
      <c r="R57" s="26" t="n">
        <f aca="false">IFERROR(R17/Q17-1,"")</f>
        <v>0.436569290935437</v>
      </c>
      <c r="S57" s="26" t="n">
        <f aca="false">IFERROR(S17/R17-1,"")</f>
        <v>0.216867849744403</v>
      </c>
    </row>
  </sheetData>
  <mergeCells count="8">
    <mergeCell ref="A1:S1"/>
    <mergeCell ref="A3:S3"/>
    <mergeCell ref="A11:S11"/>
    <mergeCell ref="A19:S19"/>
    <mergeCell ref="A27:S27"/>
    <mergeCell ref="A35:S35"/>
    <mergeCell ref="A43:S43"/>
    <mergeCell ref="A51:S51"/>
  </mergeCells>
  <conditionalFormatting sqref="B37:S41">
    <cfRule type="colorScale" priority="2">
      <colorScale>
        <cfvo type="num" val="0.05"/>
        <cfvo type="num" val="0.25"/>
        <cfvo type="num" val="0.6"/>
        <color rgb="FF63BE7B"/>
        <color rgb="FFFFEB84"/>
        <color rgb="FFF8696B"/>
      </colorScale>
    </cfRule>
  </conditionalFormatting>
  <conditionalFormatting sqref="B45:S49">
    <cfRule type="colorScale" priority="3">
      <colorScale>
        <cfvo type="num" val="0.05"/>
        <cfvo type="num" val="0.25"/>
        <cfvo type="num" val="0.6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0" min="2" style="1" width="10"/>
  </cols>
  <sheetData>
    <row r="1" customFormat="false" ht="25.5" hidden="false" customHeight="true" outlineLevel="0" collapsed="false">
      <c r="A1" s="20" t="s">
        <v>92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3" customFormat="false" ht="15" hidden="false" customHeight="true" outlineLevel="0" collapsed="false">
      <c r="A3" s="21" t="s">
        <v>93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customFormat="false" ht="15" hidden="false" customHeight="true" outlineLevel="0" collapsed="false">
      <c r="A4" s="4" t="s">
        <v>76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</row>
    <row r="5" customFormat="false" ht="15" hidden="false" customHeight="true" outlineLevel="0" collapsed="false">
      <c r="A5" s="22" t="s">
        <v>22</v>
      </c>
      <c r="B5" s="23" t="n">
        <f aca="false">'0. Database'!C13</f>
        <v>28833</v>
      </c>
      <c r="C5" s="23" t="n">
        <f aca="false">'0. Database'!D13</f>
        <v>32231</v>
      </c>
      <c r="D5" s="23" t="n">
        <f aca="false">'0. Database'!E13</f>
        <v>29080</v>
      </c>
      <c r="E5" s="23" t="n">
        <f aca="false">'0. Database'!F13</f>
        <v>33325</v>
      </c>
      <c r="F5" s="23" t="n">
        <f aca="false">'0. Database'!G13</f>
        <v>39507</v>
      </c>
      <c r="G5" s="23" t="n">
        <f aca="false">'0. Database'!H13</f>
        <v>43884</v>
      </c>
      <c r="H5" s="23" t="n">
        <f aca="false">'0. Database'!I13</f>
        <v>52185</v>
      </c>
      <c r="I5" s="23" t="n">
        <f aca="false">'0. Database'!J13</f>
        <v>60675</v>
      </c>
      <c r="J5" s="23" t="n">
        <f aca="false">'0. Database'!K13</f>
        <v>76740</v>
      </c>
      <c r="K5" s="23" t="n">
        <f aca="false">'0. Database'!L13</f>
        <v>89035</v>
      </c>
      <c r="L5" s="23" t="n">
        <f aca="false">'0. Database'!M13</f>
        <v>87582</v>
      </c>
      <c r="M5" s="23" t="n">
        <f aca="false">'0. Database'!N13</f>
        <v>118548</v>
      </c>
      <c r="N5" s="23" t="n">
        <f aca="false">'0. Database'!O13</f>
        <v>136162</v>
      </c>
      <c r="O5" s="23" t="n">
        <f aca="false">'0. Database'!P13</f>
        <v>174558.18</v>
      </c>
      <c r="P5" s="23" t="n">
        <f aca="false">'0. Database'!Q13</f>
        <v>232097.78</v>
      </c>
      <c r="Q5" s="23" t="n">
        <f aca="false">'0. Database'!R13</f>
        <v>294570.35</v>
      </c>
      <c r="R5" s="23" t="n">
        <f aca="false">'0. Database'!S13</f>
        <v>359672.36</v>
      </c>
      <c r="S5" s="23" t="n">
        <f aca="false">'0. Database'!T13</f>
        <v>438548.9</v>
      </c>
    </row>
    <row r="6" customFormat="false" ht="15" hidden="false" customHeight="true" outlineLevel="0" collapsed="false">
      <c r="A6" s="22" t="s">
        <v>38</v>
      </c>
      <c r="B6" s="23" t="n">
        <f aca="false">'0. Database'!C29</f>
        <v>5474</v>
      </c>
      <c r="C6" s="23" t="n">
        <f aca="false">'0. Database'!D29</f>
        <v>6841.4</v>
      </c>
      <c r="D6" s="23" t="n">
        <f aca="false">'0. Database'!E29</f>
        <v>11920.1</v>
      </c>
      <c r="E6" s="23" t="n">
        <f aca="false">'0. Database'!F29</f>
        <v>17271</v>
      </c>
      <c r="F6" s="23" t="n">
        <f aca="false">'0. Database'!G29</f>
        <v>18434</v>
      </c>
      <c r="G6" s="23" t="n">
        <f aca="false">'0. Database'!H29</f>
        <v>30724</v>
      </c>
      <c r="H6" s="23" t="n">
        <f aca="false">'0. Database'!I29</f>
        <v>38515</v>
      </c>
      <c r="I6" s="23" t="n">
        <f aca="false">'0. Database'!J29</f>
        <v>66064</v>
      </c>
      <c r="J6" s="23" t="n">
        <f aca="false">'0. Database'!K29</f>
        <v>46327</v>
      </c>
      <c r="K6" s="23" t="n">
        <f aca="false">'0. Database'!L29</f>
        <v>46752</v>
      </c>
      <c r="L6" s="23" t="n">
        <f aca="false">'0. Database'!M29</f>
        <v>84946</v>
      </c>
      <c r="M6" s="23" t="n">
        <f aca="false">'0. Database'!N29</f>
        <v>115877</v>
      </c>
      <c r="N6" s="23" t="n">
        <f aca="false">'0. Database'!O29</f>
        <v>139514</v>
      </c>
      <c r="O6" s="23" t="n">
        <f aca="false">'0. Database'!P29</f>
        <v>181004.31</v>
      </c>
      <c r="P6" s="23" t="n">
        <f aca="false">'0. Database'!Q29</f>
        <v>224443.7</v>
      </c>
      <c r="Q6" s="23" t="n">
        <f aca="false">'0. Database'!R29</f>
        <v>281471.71</v>
      </c>
      <c r="R6" s="23" t="n">
        <f aca="false">'0. Database'!S29</f>
        <v>342814.42</v>
      </c>
      <c r="S6" s="23" t="n">
        <f aca="false">'0. Database'!T29</f>
        <v>401080.41</v>
      </c>
    </row>
    <row r="7" customFormat="false" ht="15" hidden="false" customHeight="true" outlineLevel="0" collapsed="false">
      <c r="A7" s="22" t="s">
        <v>42</v>
      </c>
      <c r="B7" s="23" t="n">
        <f aca="false">'0. Database'!C44</f>
        <v>18584</v>
      </c>
      <c r="C7" s="23" t="n">
        <f aca="false">'0. Database'!D44</f>
        <v>22272</v>
      </c>
      <c r="D7" s="23" t="n">
        <f aca="false">'0. Database'!E44</f>
        <v>25829</v>
      </c>
      <c r="E7" s="23" t="n">
        <f aca="false">'0. Database'!F44</f>
        <v>36036</v>
      </c>
      <c r="F7" s="23" t="n">
        <f aca="false">'0. Database'!G44</f>
        <v>37091</v>
      </c>
      <c r="G7" s="23" t="n">
        <f aca="false">'0. Database'!H44</f>
        <v>47971</v>
      </c>
      <c r="H7" s="23" t="n">
        <f aca="false">'0. Database'!I44</f>
        <v>54520</v>
      </c>
      <c r="I7" s="23" t="n">
        <f aca="false">'0. Database'!J44</f>
        <v>65124</v>
      </c>
      <c r="J7" s="23" t="n">
        <f aca="false">'0. Database'!K44</f>
        <v>91652</v>
      </c>
      <c r="K7" s="23" t="n">
        <f aca="false">'0. Database'!L44</f>
        <v>91495</v>
      </c>
      <c r="L7" s="23" t="n">
        <f aca="false">'0. Database'!M44</f>
        <v>101746</v>
      </c>
      <c r="M7" s="23" t="n">
        <f aca="false">'0. Database'!N44</f>
        <v>125299</v>
      </c>
      <c r="N7" s="23" t="n">
        <f aca="false">'0. Database'!O44</f>
        <v>164713</v>
      </c>
      <c r="O7" s="23" t="n">
        <f aca="false">'0. Database'!P44</f>
        <v>211985.47</v>
      </c>
      <c r="P7" s="23" t="n">
        <f aca="false">'0. Database'!Q44</f>
        <v>282346.21</v>
      </c>
      <c r="Q7" s="23" t="n">
        <f aca="false">'0. Database'!R44</f>
        <v>352943.8</v>
      </c>
      <c r="R7" s="23" t="n">
        <f aca="false">'0. Database'!S44</f>
        <v>424226.82</v>
      </c>
      <c r="S7" s="23" t="n">
        <f aca="false">'0. Database'!T44</f>
        <v>490867.35</v>
      </c>
    </row>
    <row r="8" customFormat="false" ht="15" hidden="false" customHeight="true" outlineLevel="0" collapsed="false">
      <c r="A8" s="22" t="s">
        <v>48</v>
      </c>
      <c r="B8" s="23" t="n">
        <f aca="false">'0. Database'!C61</f>
        <v>4222</v>
      </c>
      <c r="C8" s="23" t="n">
        <f aca="false">'0. Database'!D61</f>
        <v>5507.8</v>
      </c>
      <c r="D8" s="23" t="n">
        <f aca="false">'0. Database'!E61</f>
        <v>8607</v>
      </c>
      <c r="E8" s="23" t="n">
        <f aca="false">'0. Database'!F61</f>
        <v>16061</v>
      </c>
      <c r="F8" s="23" t="n">
        <f aca="false">'0. Database'!G61</f>
        <v>24216</v>
      </c>
      <c r="G8" s="23" t="n">
        <f aca="false">'0. Database'!H61</f>
        <v>29339</v>
      </c>
      <c r="H8" s="23" t="n">
        <f aca="false">'0. Database'!I61</f>
        <v>36312.5</v>
      </c>
      <c r="I8" s="23" t="n">
        <f aca="false">'0. Database'!J61</f>
        <v>38747</v>
      </c>
      <c r="J8" s="23" t="n">
        <f aca="false">'0. Database'!K61</f>
        <v>57683</v>
      </c>
      <c r="K8" s="23" t="n">
        <f aca="false">'0. Database'!L61</f>
        <v>50475</v>
      </c>
      <c r="L8" s="23" t="n">
        <f aca="false">'0. Database'!M61</f>
        <v>71113</v>
      </c>
      <c r="M8" s="23" t="n">
        <f aca="false">'0. Database'!N61</f>
        <v>91328</v>
      </c>
      <c r="N8" s="23" t="n">
        <f aca="false">'0. Database'!O61</f>
        <v>115800</v>
      </c>
      <c r="O8" s="23" t="n">
        <f aca="false">'0. Database'!P61</f>
        <v>180250.64</v>
      </c>
      <c r="P8" s="23" t="n">
        <f aca="false">'0. Database'!Q61</f>
        <v>206102.96</v>
      </c>
      <c r="Q8" s="23" t="n">
        <f aca="false">'0. Database'!R61</f>
        <v>243250.01</v>
      </c>
      <c r="R8" s="23" t="n">
        <f aca="false">'0. Database'!S61</f>
        <v>279015.98</v>
      </c>
      <c r="S8" s="23" t="n">
        <f aca="false">'0. Database'!T61</f>
        <v>314478.51</v>
      </c>
    </row>
    <row r="9" customFormat="false" ht="15" hidden="false" customHeight="true" outlineLevel="0" collapsed="false">
      <c r="A9" s="22" t="s">
        <v>55</v>
      </c>
      <c r="B9" s="23" t="n">
        <f aca="false">'0. Database'!C79</f>
        <v>14225</v>
      </c>
      <c r="C9" s="23" t="n">
        <f aca="false">'0. Database'!D79</f>
        <v>14921</v>
      </c>
      <c r="D9" s="23" t="n">
        <f aca="false">'0. Database'!E79</f>
        <v>14336</v>
      </c>
      <c r="E9" s="23" t="n">
        <f aca="false">'0. Database'!F79</f>
        <v>13560</v>
      </c>
      <c r="F9" s="23" t="n">
        <f aca="false">'0. Database'!G79</f>
        <v>14125</v>
      </c>
      <c r="G9" s="23" t="n">
        <f aca="false">'0. Database'!H79</f>
        <v>15386</v>
      </c>
      <c r="H9" s="23" t="n">
        <f aca="false">'0. Database'!I79</f>
        <v>14551</v>
      </c>
      <c r="I9" s="23" t="n">
        <f aca="false">'0. Database'!J79</f>
        <v>13139</v>
      </c>
      <c r="J9" s="23" t="n">
        <f aca="false">'0. Database'!K79</f>
        <v>15888</v>
      </c>
      <c r="K9" s="23" t="n">
        <f aca="false">'0. Database'!L79</f>
        <v>9540</v>
      </c>
      <c r="L9" s="23" t="n">
        <f aca="false">'0. Database'!M79</f>
        <v>17166</v>
      </c>
      <c r="M9" s="23" t="n">
        <f aca="false">'0. Database'!N79</f>
        <v>18673</v>
      </c>
      <c r="N9" s="23" t="n">
        <f aca="false">'0. Database'!O79</f>
        <v>20821</v>
      </c>
      <c r="O9" s="23" t="n">
        <f aca="false">'0. Database'!P79</f>
        <v>25457.17</v>
      </c>
      <c r="P9" s="23" t="n">
        <f aca="false">'0. Database'!Q79</f>
        <v>33694.38</v>
      </c>
      <c r="Q9" s="23" t="n">
        <f aca="false">'0. Database'!R79</f>
        <v>50132.95</v>
      </c>
      <c r="R9" s="23" t="n">
        <f aca="false">'0. Database'!S79</f>
        <v>66529.01</v>
      </c>
      <c r="S9" s="23" t="n">
        <f aca="false">'0. Database'!T79</f>
        <v>84964.12</v>
      </c>
    </row>
    <row r="11" customFormat="false" ht="15" hidden="false" customHeight="true" outlineLevel="0" collapsed="false">
      <c r="A11" s="21" t="s">
        <v>94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customFormat="false" ht="15" hidden="false" customHeight="true" outlineLevel="0" collapsed="false">
      <c r="A12" s="4" t="s">
        <v>76</v>
      </c>
      <c r="B12" s="4" t="s">
        <v>3</v>
      </c>
      <c r="C12" s="4" t="s">
        <v>4</v>
      </c>
      <c r="D12" s="4" t="s">
        <v>5</v>
      </c>
      <c r="E12" s="4" t="s">
        <v>6</v>
      </c>
      <c r="F12" s="4" t="s">
        <v>7</v>
      </c>
      <c r="G12" s="4" t="s">
        <v>8</v>
      </c>
      <c r="H12" s="4" t="s">
        <v>9</v>
      </c>
      <c r="I12" s="4" t="s">
        <v>10</v>
      </c>
      <c r="J12" s="4" t="s">
        <v>11</v>
      </c>
      <c r="K12" s="4" t="s">
        <v>12</v>
      </c>
      <c r="L12" s="4" t="s">
        <v>13</v>
      </c>
      <c r="M12" s="4" t="s">
        <v>14</v>
      </c>
      <c r="N12" s="4" t="s">
        <v>15</v>
      </c>
      <c r="O12" s="4" t="s">
        <v>16</v>
      </c>
      <c r="P12" s="4" t="s">
        <v>17</v>
      </c>
      <c r="Q12" s="4" t="s">
        <v>18</v>
      </c>
      <c r="R12" s="4" t="s">
        <v>19</v>
      </c>
      <c r="S12" s="4" t="s">
        <v>20</v>
      </c>
    </row>
    <row r="13" customFormat="false" ht="15" hidden="false" customHeight="true" outlineLevel="0" collapsed="false">
      <c r="A13" s="22" t="s">
        <v>22</v>
      </c>
      <c r="B13" s="23" t="n">
        <f aca="false">'0. Database'!C14</f>
        <v>24576</v>
      </c>
      <c r="C13" s="23" t="n">
        <f aca="false">'0. Database'!D14</f>
        <v>26746</v>
      </c>
      <c r="D13" s="23" t="n">
        <f aca="false">'0. Database'!E14</f>
        <v>23136</v>
      </c>
      <c r="E13" s="23" t="n">
        <f aca="false">'0. Database'!F14</f>
        <v>24393</v>
      </c>
      <c r="F13" s="23" t="n">
        <f aca="false">'0. Database'!G14</f>
        <v>29307</v>
      </c>
      <c r="G13" s="23" t="n">
        <f aca="false">'0. Database'!H14</f>
        <v>30284</v>
      </c>
      <c r="H13" s="23" t="n">
        <f aca="false">'0. Database'!I14</f>
        <v>35285</v>
      </c>
      <c r="I13" s="23" t="n">
        <f aca="false">'0. Database'!J14</f>
        <v>41675</v>
      </c>
      <c r="J13" s="23" t="n">
        <f aca="false">'0. Database'!K14</f>
        <v>52540</v>
      </c>
      <c r="K13" s="23" t="n">
        <f aca="false">'0. Database'!L14</f>
        <v>59835</v>
      </c>
      <c r="L13" s="23" t="n">
        <f aca="false">'0. Database'!M14</f>
        <v>55682</v>
      </c>
      <c r="M13" s="23" t="n">
        <f aca="false">'0. Database'!N14</f>
        <v>62848</v>
      </c>
      <c r="N13" s="23" t="n">
        <f aca="false">'0. Database'!O14</f>
        <v>47962</v>
      </c>
      <c r="O13" s="23" t="n">
        <f aca="false">'0. Database'!P14</f>
        <v>28686.88</v>
      </c>
      <c r="P13" s="23" t="n">
        <f aca="false">'0. Database'!Q14</f>
        <v>-13165.67</v>
      </c>
      <c r="Q13" s="23" t="n">
        <f aca="false">'0. Database'!R14</f>
        <v>7810</v>
      </c>
      <c r="R13" s="23" t="n">
        <f aca="false">'0. Database'!S14</f>
        <v>59461.45</v>
      </c>
      <c r="S13" s="23" t="n">
        <f aca="false">'0. Database'!T14</f>
        <v>133932.86</v>
      </c>
    </row>
    <row r="14" customFormat="false" ht="15" hidden="false" customHeight="true" outlineLevel="0" collapsed="false">
      <c r="A14" s="22" t="s">
        <v>38</v>
      </c>
      <c r="B14" s="23" t="n">
        <f aca="false">'0. Database'!C30</f>
        <v>2031</v>
      </c>
      <c r="C14" s="23" t="n">
        <f aca="false">'0. Database'!D30</f>
        <v>1949.4</v>
      </c>
      <c r="D14" s="23" t="n">
        <f aca="false">'0. Database'!E30</f>
        <v>7332.1</v>
      </c>
      <c r="E14" s="23" t="n">
        <f aca="false">'0. Database'!F30</f>
        <v>10535</v>
      </c>
      <c r="F14" s="23" t="n">
        <f aca="false">'0. Database'!G30</f>
        <v>8377</v>
      </c>
      <c r="G14" s="23" t="n">
        <f aca="false">'0. Database'!H30</f>
        <v>19402</v>
      </c>
      <c r="H14" s="23" t="n">
        <f aca="false">'0. Database'!I30</f>
        <v>25825</v>
      </c>
      <c r="I14" s="23" t="n">
        <f aca="false">'0. Database'!J30</f>
        <v>31018</v>
      </c>
      <c r="J14" s="23" t="n">
        <f aca="false">'0. Database'!K30</f>
        <v>-9069</v>
      </c>
      <c r="K14" s="23" t="n">
        <f aca="false">'0. Database'!L30</f>
        <v>-11569</v>
      </c>
      <c r="L14" s="23" t="n">
        <f aca="false">'0. Database'!M30</f>
        <v>36813</v>
      </c>
      <c r="M14" s="23" t="n">
        <f aca="false">'0. Database'!N30</f>
        <v>38219</v>
      </c>
      <c r="N14" s="23" t="n">
        <f aca="false">'0. Database'!O30</f>
        <v>11194</v>
      </c>
      <c r="O14" s="23" t="n">
        <f aca="false">'0. Database'!P30</f>
        <v>-19100.67</v>
      </c>
      <c r="P14" s="23" t="n">
        <f aca="false">'0. Database'!Q30</f>
        <v>-45698.02</v>
      </c>
      <c r="Q14" s="23" t="n">
        <f aca="false">'0. Database'!R30</f>
        <v>-2177.1</v>
      </c>
      <c r="R14" s="23" t="n">
        <f aca="false">'0. Database'!S30</f>
        <v>44983.17</v>
      </c>
      <c r="S14" s="23" t="n">
        <f aca="false">'0. Database'!T30</f>
        <v>88357.6</v>
      </c>
    </row>
    <row r="15" customFormat="false" ht="15" hidden="false" customHeight="true" outlineLevel="0" collapsed="false">
      <c r="A15" s="22" t="s">
        <v>42</v>
      </c>
      <c r="B15" s="23" t="n">
        <f aca="false">'0. Database'!C45</f>
        <v>11226</v>
      </c>
      <c r="C15" s="23" t="n">
        <f aca="false">'0. Database'!D45</f>
        <v>11313</v>
      </c>
      <c r="D15" s="23" t="n">
        <f aca="false">'0. Database'!E45</f>
        <v>15914</v>
      </c>
      <c r="E15" s="23" t="n">
        <f aca="false">'0. Database'!F45</f>
        <v>25853</v>
      </c>
      <c r="F15" s="23" t="n">
        <f aca="false">'0. Database'!G45</f>
        <v>23907</v>
      </c>
      <c r="G15" s="23" t="n">
        <f aca="false">'0. Database'!H45</f>
        <v>22832</v>
      </c>
      <c r="H15" s="23" t="n">
        <f aca="false">'0. Database'!I45</f>
        <v>30972</v>
      </c>
      <c r="I15" s="23" t="n">
        <f aca="false">'0. Database'!J45</f>
        <v>42843</v>
      </c>
      <c r="J15" s="23" t="n">
        <f aca="false">'0. Database'!K45</f>
        <v>67012</v>
      </c>
      <c r="K15" s="23" t="n">
        <f aca="false">'0. Database'!L45</f>
        <v>60010</v>
      </c>
      <c r="L15" s="23" t="n">
        <f aca="false">'0. Database'!M45</f>
        <v>69495</v>
      </c>
      <c r="M15" s="23" t="n">
        <f aca="false">'0. Database'!N45</f>
        <v>72764</v>
      </c>
      <c r="N15" s="23" t="n">
        <f aca="false">'0. Database'!O45</f>
        <v>73266</v>
      </c>
      <c r="O15" s="23" t="n">
        <f aca="false">'0. Database'!P45</f>
        <v>26751.19</v>
      </c>
      <c r="P15" s="23" t="n">
        <f aca="false">'0. Database'!Q45</f>
        <v>23018.22</v>
      </c>
      <c r="Q15" s="23" t="n">
        <f aca="false">'0. Database'!R45</f>
        <v>67683.01</v>
      </c>
      <c r="R15" s="23" t="n">
        <f aca="false">'0. Database'!S45</f>
        <v>124702.99</v>
      </c>
      <c r="S15" s="23" t="n">
        <f aca="false">'0. Database'!T45</f>
        <v>176367.33</v>
      </c>
    </row>
    <row r="16" customFormat="false" ht="15" hidden="false" customHeight="true" outlineLevel="0" collapsed="false">
      <c r="A16" s="22" t="s">
        <v>48</v>
      </c>
      <c r="B16" s="23" t="n">
        <f aca="false">'0. Database'!C62</f>
        <v>2860</v>
      </c>
      <c r="C16" s="23" t="n">
        <f aca="false">'0. Database'!D62</f>
        <v>3676.8</v>
      </c>
      <c r="D16" s="23" t="n">
        <f aca="false">'0. Database'!E62</f>
        <v>6084</v>
      </c>
      <c r="E16" s="23" t="n">
        <f aca="false">'0. Database'!F62</f>
        <v>11570</v>
      </c>
      <c r="F16" s="23" t="n">
        <f aca="false">'0. Database'!G62</f>
        <v>17484</v>
      </c>
      <c r="G16" s="23" t="n">
        <f aca="false">'0. Database'!H62</f>
        <v>15359</v>
      </c>
      <c r="H16" s="23" t="n">
        <f aca="false">'0. Database'!I62</f>
        <v>21210.5</v>
      </c>
      <c r="I16" s="23" t="n">
        <f aca="false">'0. Database'!J62</f>
        <v>23632</v>
      </c>
      <c r="J16" s="23" t="n">
        <f aca="false">'0. Database'!K62</f>
        <v>39116</v>
      </c>
      <c r="K16" s="23" t="n">
        <f aca="false">'0. Database'!L62</f>
        <v>19289</v>
      </c>
      <c r="L16" s="23" t="n">
        <f aca="false">'0. Database'!M62</f>
        <v>44068</v>
      </c>
      <c r="M16" s="23" t="n">
        <f aca="false">'0. Database'!N62</f>
        <v>54072</v>
      </c>
      <c r="N16" s="23" t="n">
        <f aca="false">'0. Database'!O62</f>
        <v>46109</v>
      </c>
      <c r="O16" s="23" t="n">
        <f aca="false">'0. Database'!P62</f>
        <v>44666.93</v>
      </c>
      <c r="P16" s="23" t="n">
        <f aca="false">'0. Database'!Q62</f>
        <v>40388.52</v>
      </c>
      <c r="Q16" s="23" t="n">
        <f aca="false">'0. Database'!R62</f>
        <v>57649.84</v>
      </c>
      <c r="R16" s="23" t="n">
        <f aca="false">'0. Database'!S62</f>
        <v>82279.8</v>
      </c>
      <c r="S16" s="23" t="n">
        <f aca="false">'0. Database'!T62</f>
        <v>105938.16</v>
      </c>
    </row>
    <row r="17" customFormat="false" ht="15" hidden="false" customHeight="true" outlineLevel="0" collapsed="false">
      <c r="A17" s="22" t="s">
        <v>55</v>
      </c>
      <c r="B17" s="23" t="n">
        <f aca="false">'0. Database'!C80</f>
        <v>13575</v>
      </c>
      <c r="C17" s="23" t="n">
        <f aca="false">'0. Database'!D80</f>
        <v>14341</v>
      </c>
      <c r="D17" s="23" t="n">
        <f aca="false">'0. Database'!E80</f>
        <v>12945</v>
      </c>
      <c r="E17" s="23" t="n">
        <f aca="false">'0. Database'!F80</f>
        <v>12371</v>
      </c>
      <c r="F17" s="23" t="n">
        <f aca="false">'0. Database'!G80</f>
        <v>12104</v>
      </c>
      <c r="G17" s="23" t="n">
        <f aca="false">'0. Database'!H80</f>
        <v>13650</v>
      </c>
      <c r="H17" s="23" t="n">
        <f aca="false">'0. Database'!I80</f>
        <v>12891</v>
      </c>
      <c r="I17" s="23" t="n">
        <f aca="false">'0. Database'!J80</f>
        <v>11575</v>
      </c>
      <c r="J17" s="23" t="n">
        <f aca="false">'0. Database'!K80</f>
        <v>13753</v>
      </c>
      <c r="K17" s="23" t="n">
        <f aca="false">'0. Database'!L80</f>
        <v>5029</v>
      </c>
      <c r="L17" s="23" t="n">
        <f aca="false">'0. Database'!M80</f>
        <v>8471</v>
      </c>
      <c r="M17" s="23" t="n">
        <f aca="false">'0. Database'!N80</f>
        <v>11807</v>
      </c>
      <c r="N17" s="23" t="n">
        <f aca="false">'0. Database'!O80</f>
        <v>-394</v>
      </c>
      <c r="O17" s="23" t="n">
        <f aca="false">'0. Database'!P80</f>
        <v>-26424.83</v>
      </c>
      <c r="P17" s="23" t="n">
        <f aca="false">'0. Database'!Q80</f>
        <v>-18447.03</v>
      </c>
      <c r="Q17" s="23" t="n">
        <f aca="false">'0. Database'!R80</f>
        <v>-19736.54</v>
      </c>
      <c r="R17" s="23" t="n">
        <f aca="false">'0. Database'!S80</f>
        <v>-14519.6</v>
      </c>
      <c r="S17" s="23" t="n">
        <f aca="false">'0. Database'!T80</f>
        <v>18504.26</v>
      </c>
    </row>
    <row r="19" customFormat="false" ht="15" hidden="false" customHeight="true" outlineLevel="0" collapsed="false">
      <c r="A19" s="21" t="s">
        <v>95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customFormat="false" ht="15" hidden="false" customHeight="true" outlineLevel="0" collapsed="false">
      <c r="A20" s="4" t="s">
        <v>76</v>
      </c>
      <c r="B20" s="4" t="s">
        <v>3</v>
      </c>
      <c r="C20" s="4" t="s">
        <v>4</v>
      </c>
      <c r="D20" s="4" t="s">
        <v>5</v>
      </c>
      <c r="E20" s="4" t="s">
        <v>6</v>
      </c>
      <c r="F20" s="4" t="s">
        <v>7</v>
      </c>
      <c r="G20" s="4" t="s">
        <v>8</v>
      </c>
      <c r="H20" s="4" t="s">
        <v>9</v>
      </c>
      <c r="I20" s="4" t="s">
        <v>10</v>
      </c>
      <c r="J20" s="4" t="s">
        <v>11</v>
      </c>
      <c r="K20" s="4" t="s">
        <v>12</v>
      </c>
      <c r="L20" s="4" t="s">
        <v>13</v>
      </c>
      <c r="M20" s="4" t="s">
        <v>14</v>
      </c>
      <c r="N20" s="4" t="s">
        <v>15</v>
      </c>
      <c r="O20" s="4" t="s">
        <v>16</v>
      </c>
      <c r="P20" s="4" t="s">
        <v>17</v>
      </c>
      <c r="Q20" s="4" t="s">
        <v>18</v>
      </c>
      <c r="R20" s="4" t="s">
        <v>19</v>
      </c>
      <c r="S20" s="4" t="s">
        <v>20</v>
      </c>
    </row>
    <row r="21" customFormat="false" ht="15" hidden="false" customHeight="true" outlineLevel="0" collapsed="false">
      <c r="A21" s="22" t="s">
        <v>22</v>
      </c>
      <c r="B21" s="23" t="n">
        <f aca="false">'0. Database'!C15</f>
        <v>5360</v>
      </c>
      <c r="C21" s="23" t="n">
        <f aca="false">'0. Database'!D15</f>
        <v>7316</v>
      </c>
      <c r="D21" s="23" t="n">
        <f aca="false">'0. Database'!E15</f>
        <v>14443</v>
      </c>
      <c r="E21" s="23" t="n">
        <f aca="false">'0. Database'!F15</f>
        <v>15969</v>
      </c>
      <c r="F21" s="23" t="n">
        <f aca="false">'0. Database'!G15</f>
        <v>11788</v>
      </c>
      <c r="G21" s="23" t="n">
        <f aca="false">'0. Database'!H15</f>
        <v>10721</v>
      </c>
      <c r="H21" s="23" t="n">
        <f aca="false">'0. Database'!I15</f>
        <v>19543</v>
      </c>
      <c r="I21" s="23" t="n">
        <f aca="false">'0. Database'!J15</f>
        <v>22968</v>
      </c>
      <c r="J21" s="23" t="n">
        <f aca="false">'0. Database'!K15</f>
        <v>27385</v>
      </c>
      <c r="K21" s="23" t="n">
        <f aca="false">'0. Database'!L15</f>
        <v>32696</v>
      </c>
      <c r="L21" s="23" t="n">
        <f aca="false">'0. Database'!M15</f>
        <v>22245</v>
      </c>
      <c r="M21" s="23" t="n">
        <f aca="false">'0. Database'!N15</f>
        <v>17254</v>
      </c>
      <c r="N21" s="23" t="n">
        <f aca="false">'0. Database'!O15</f>
        <v>18420</v>
      </c>
      <c r="O21" s="23" t="n">
        <f aca="false">'0. Database'!P15</f>
        <v>22499.7</v>
      </c>
      <c r="P21" s="23" t="n">
        <f aca="false">'0. Database'!Q15</f>
        <v>19070.28</v>
      </c>
      <c r="Q21" s="23" t="n">
        <f aca="false">'0. Database'!R15</f>
        <v>19500.41</v>
      </c>
      <c r="R21" s="23" t="n">
        <f aca="false">'0. Database'!S15</f>
        <v>20126.95</v>
      </c>
      <c r="S21" s="23" t="n">
        <f aca="false">'0. Database'!T15</f>
        <v>21047.23</v>
      </c>
    </row>
    <row r="22" customFormat="false" ht="15" hidden="false" customHeight="true" outlineLevel="0" collapsed="false">
      <c r="A22" s="22" t="s">
        <v>38</v>
      </c>
      <c r="B22" s="23" t="n">
        <f aca="false">'0. Database'!C31</f>
        <v>0</v>
      </c>
      <c r="C22" s="23" t="n">
        <f aca="false">'0. Database'!D31</f>
        <v>0</v>
      </c>
      <c r="D22" s="23" t="n">
        <f aca="false">'0. Database'!E31</f>
        <v>0</v>
      </c>
      <c r="E22" s="23" t="n">
        <f aca="false">'0. Database'!F31</f>
        <v>0</v>
      </c>
      <c r="F22" s="23" t="n">
        <f aca="false">'0. Database'!G31</f>
        <v>0</v>
      </c>
      <c r="G22" s="23" t="n">
        <f aca="false">'0. Database'!H31</f>
        <v>0</v>
      </c>
      <c r="H22" s="23" t="n">
        <f aca="false">'0. Database'!I31</f>
        <v>0</v>
      </c>
      <c r="I22" s="23" t="n">
        <f aca="false">'0. Database'!J31</f>
        <v>0</v>
      </c>
      <c r="J22" s="23" t="n">
        <f aca="false">'0. Database'!K31</f>
        <v>0</v>
      </c>
      <c r="K22" s="23" t="n">
        <f aca="false">'0. Database'!L31</f>
        <v>6000</v>
      </c>
      <c r="L22" s="23" t="n">
        <f aca="false">'0. Database'!M31</f>
        <v>0</v>
      </c>
      <c r="M22" s="23" t="n">
        <f aca="false">'0. Database'!N31</f>
        <v>0</v>
      </c>
      <c r="N22" s="23" t="n">
        <f aca="false">'0. Database'!O31</f>
        <v>0</v>
      </c>
      <c r="O22" s="23" t="n">
        <f aca="false">'0. Database'!P31</f>
        <v>0</v>
      </c>
      <c r="P22" s="23" t="n">
        <f aca="false">'0. Database'!Q31</f>
        <v>0</v>
      </c>
      <c r="Q22" s="23" t="n">
        <f aca="false">'0. Database'!R31</f>
        <v>0</v>
      </c>
      <c r="R22" s="23" t="n">
        <f aca="false">'0. Database'!S31</f>
        <v>0</v>
      </c>
      <c r="S22" s="23" t="n">
        <f aca="false">'0. Database'!T31</f>
        <v>0</v>
      </c>
    </row>
    <row r="23" customFormat="false" ht="15" hidden="false" customHeight="true" outlineLevel="0" collapsed="false">
      <c r="A23" s="22" t="s">
        <v>42</v>
      </c>
      <c r="B23" s="23" t="n">
        <f aca="false">'0. Database'!C46</f>
        <v>0</v>
      </c>
      <c r="C23" s="23" t="n">
        <f aca="false">'0. Database'!D46</f>
        <v>0</v>
      </c>
      <c r="D23" s="23" t="n">
        <f aca="false">'0. Database'!E46</f>
        <v>1827</v>
      </c>
      <c r="E23" s="23" t="n">
        <f aca="false">'0. Database'!F46</f>
        <v>3693</v>
      </c>
      <c r="F23" s="23" t="n">
        <f aca="false">'0. Database'!G46</f>
        <v>4846</v>
      </c>
      <c r="G23" s="23" t="n">
        <f aca="false">'0. Database'!H46</f>
        <v>9075</v>
      </c>
      <c r="H23" s="23" t="n">
        <f aca="false">'0. Database'!I46</f>
        <v>18396</v>
      </c>
      <c r="I23" s="23" t="n">
        <f aca="false">'0. Database'!J46</f>
        <v>31149</v>
      </c>
      <c r="J23" s="23" t="n">
        <f aca="false">'0. Database'!K46</f>
        <v>50274</v>
      </c>
      <c r="K23" s="23" t="n">
        <f aca="false">'0. Database'!L46</f>
        <v>59296</v>
      </c>
      <c r="L23" s="23" t="n">
        <f aca="false">'0. Database'!M46</f>
        <v>61504</v>
      </c>
      <c r="M23" s="23" t="n">
        <f aca="false">'0. Database'!N46</f>
        <v>62222</v>
      </c>
      <c r="N23" s="23" t="n">
        <f aca="false">'0. Database'!O46</f>
        <v>45709</v>
      </c>
      <c r="O23" s="23" t="n">
        <f aca="false">'0. Database'!P46</f>
        <v>0</v>
      </c>
      <c r="P23" s="23" t="n">
        <f aca="false">'0. Database'!Q46</f>
        <v>20000</v>
      </c>
      <c r="Q23" s="23" t="n">
        <f aca="false">'0. Database'!R46</f>
        <v>20000</v>
      </c>
      <c r="R23" s="23" t="n">
        <f aca="false">'0. Database'!S46</f>
        <v>20000</v>
      </c>
      <c r="S23" s="23" t="n">
        <f aca="false">'0. Database'!T46</f>
        <v>15000</v>
      </c>
    </row>
    <row r="24" customFormat="false" ht="15" hidden="false" customHeight="true" outlineLevel="0" collapsed="false">
      <c r="A24" s="22" t="s">
        <v>48</v>
      </c>
      <c r="B24" s="23" t="n">
        <f aca="false">'0. Database'!C63</f>
        <v>0</v>
      </c>
      <c r="C24" s="23" t="n">
        <f aca="false">'0. Database'!D63</f>
        <v>0</v>
      </c>
      <c r="D24" s="23" t="n">
        <f aca="false">'0. Database'!E63</f>
        <v>0</v>
      </c>
      <c r="E24" s="23" t="n">
        <f aca="false">'0. Database'!F63</f>
        <v>0</v>
      </c>
      <c r="F24" s="23" t="n">
        <f aca="false">'0. Database'!G63</f>
        <v>1976</v>
      </c>
      <c r="G24" s="23" t="n">
        <f aca="false">'0. Database'!H63</f>
        <v>12879</v>
      </c>
      <c r="H24" s="23" t="n">
        <f aca="false">'0. Database'!I63</f>
        <v>4201</v>
      </c>
      <c r="I24" s="23" t="n">
        <f aca="false">'0. Database'!J63</f>
        <v>6272</v>
      </c>
      <c r="J24" s="23" t="n">
        <f aca="false">'0. Database'!K63</f>
        <v>44538</v>
      </c>
      <c r="K24" s="23" t="n">
        <f aca="false">'0. Database'!L63</f>
        <v>27956</v>
      </c>
      <c r="L24" s="23" t="n">
        <f aca="false">'0. Database'!M63</f>
        <v>19775</v>
      </c>
      <c r="M24" s="23" t="n">
        <f aca="false">'0. Database'!N63</f>
        <v>30125</v>
      </c>
      <c r="N24" s="23" t="n">
        <f aca="false">'0. Database'!O63</f>
        <v>26248</v>
      </c>
      <c r="O24" s="23" t="n">
        <f aca="false">'0. Database'!P63</f>
        <v>0</v>
      </c>
      <c r="P24" s="23" t="n">
        <f aca="false">'0. Database'!Q63</f>
        <v>6000</v>
      </c>
      <c r="Q24" s="23" t="n">
        <f aca="false">'0. Database'!R63</f>
        <v>6000</v>
      </c>
      <c r="R24" s="23" t="n">
        <f aca="false">'0. Database'!S63</f>
        <v>6000</v>
      </c>
      <c r="S24" s="23" t="n">
        <f aca="false">'0. Database'!T63</f>
        <v>6000</v>
      </c>
    </row>
    <row r="25" customFormat="false" ht="15" hidden="false" customHeight="true" outlineLevel="0" collapsed="false">
      <c r="A25" s="22" t="s">
        <v>55</v>
      </c>
      <c r="B25" s="23" t="n">
        <f aca="false">'0. Database'!C81</f>
        <v>11021</v>
      </c>
      <c r="C25" s="23" t="n">
        <f aca="false">'0. Database'!D81</f>
        <v>9813</v>
      </c>
      <c r="D25" s="23" t="n">
        <f aca="false">'0. Database'!E81</f>
        <v>8087</v>
      </c>
      <c r="E25" s="23" t="n">
        <f aca="false">'0. Database'!F81</f>
        <v>10440</v>
      </c>
      <c r="F25" s="23" t="n">
        <f aca="false">'0. Database'!G81</f>
        <v>3561</v>
      </c>
      <c r="G25" s="23" t="n">
        <f aca="false">'0. Database'!H81</f>
        <v>11347</v>
      </c>
      <c r="H25" s="23" t="n">
        <f aca="false">'0. Database'!I81</f>
        <v>36140</v>
      </c>
      <c r="I25" s="23" t="n">
        <f aca="false">'0. Database'!J81</f>
        <v>19240</v>
      </c>
      <c r="J25" s="23" t="n">
        <f aca="false">'0. Database'!K81</f>
        <v>20934</v>
      </c>
      <c r="K25" s="23" t="n">
        <f aca="false">'0. Database'!L81</f>
        <v>16248</v>
      </c>
      <c r="L25" s="23" t="n">
        <f aca="false">'0. Database'!M81</f>
        <v>1300</v>
      </c>
      <c r="M25" s="23" t="n">
        <f aca="false">'0. Database'!N81</f>
        <v>1202</v>
      </c>
      <c r="N25" s="23" t="n">
        <f aca="false">'0. Database'!O81</f>
        <v>600</v>
      </c>
      <c r="O25" s="23" t="n">
        <f aca="false">'0. Database'!P81</f>
        <v>95</v>
      </c>
      <c r="P25" s="23" t="n">
        <f aca="false">'0. Database'!Q81</f>
        <v>0</v>
      </c>
      <c r="Q25" s="23" t="n">
        <f aca="false">'0. Database'!R81</f>
        <v>0</v>
      </c>
      <c r="R25" s="23" t="n">
        <f aca="false">'0. Database'!S81</f>
        <v>0</v>
      </c>
      <c r="S25" s="23" t="n">
        <f aca="false">'0. Database'!T81</f>
        <v>0</v>
      </c>
    </row>
    <row r="27" customFormat="false" ht="15" hidden="false" customHeight="true" outlineLevel="0" collapsed="false">
      <c r="A27" s="21" t="s">
        <v>96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customFormat="false" ht="15" hidden="false" customHeight="true" outlineLevel="0" collapsed="false">
      <c r="A28" s="4" t="s">
        <v>76</v>
      </c>
      <c r="B28" s="4" t="s">
        <v>3</v>
      </c>
      <c r="C28" s="4" t="s">
        <v>4</v>
      </c>
      <c r="D28" s="4" t="s">
        <v>5</v>
      </c>
      <c r="E28" s="4" t="s">
        <v>6</v>
      </c>
      <c r="F28" s="4" t="s">
        <v>7</v>
      </c>
      <c r="G28" s="4" t="s">
        <v>8</v>
      </c>
      <c r="H28" s="4" t="s">
        <v>9</v>
      </c>
      <c r="I28" s="4" t="s">
        <v>10</v>
      </c>
      <c r="J28" s="4" t="s">
        <v>11</v>
      </c>
      <c r="K28" s="4" t="s">
        <v>12</v>
      </c>
      <c r="L28" s="4" t="s">
        <v>13</v>
      </c>
      <c r="M28" s="4" t="s">
        <v>14</v>
      </c>
      <c r="N28" s="4" t="s">
        <v>15</v>
      </c>
      <c r="O28" s="4" t="s">
        <v>16</v>
      </c>
      <c r="P28" s="4" t="s">
        <v>17</v>
      </c>
      <c r="Q28" s="4" t="s">
        <v>18</v>
      </c>
      <c r="R28" s="4" t="s">
        <v>19</v>
      </c>
      <c r="S28" s="4" t="s">
        <v>20</v>
      </c>
    </row>
    <row r="29" customFormat="false" ht="15" hidden="false" customHeight="true" outlineLevel="0" collapsed="false">
      <c r="A29" s="22" t="s">
        <v>22</v>
      </c>
      <c r="B29" s="23" t="n">
        <f aca="false">'0. Database'!C5</f>
        <v>77849</v>
      </c>
      <c r="C29" s="23" t="n">
        <f aca="false">'0. Database'!D5</f>
        <v>86833</v>
      </c>
      <c r="D29" s="23" t="n">
        <f aca="false">'0. Database'!E5</f>
        <v>93580</v>
      </c>
      <c r="E29" s="23" t="n">
        <f aca="false">'0. Database'!F5</f>
        <v>85320</v>
      </c>
      <c r="F29" s="23" t="n">
        <f aca="false">'0. Database'!G5</f>
        <v>96571</v>
      </c>
      <c r="G29" s="23" t="n">
        <f aca="false">'0. Database'!H5</f>
        <v>110360</v>
      </c>
      <c r="H29" s="23" t="n">
        <f aca="false">'0. Database'!I5</f>
        <v>125843</v>
      </c>
      <c r="I29" s="23" t="n">
        <f aca="false">'0. Database'!J5</f>
        <v>143015</v>
      </c>
      <c r="J29" s="23" t="n">
        <f aca="false">'0. Database'!K5</f>
        <v>168088</v>
      </c>
      <c r="K29" s="23" t="n">
        <f aca="false">'0. Database'!L5</f>
        <v>198270</v>
      </c>
      <c r="L29" s="23" t="n">
        <f aca="false">'0. Database'!M5</f>
        <v>211915</v>
      </c>
      <c r="M29" s="23" t="n">
        <f aca="false">'0. Database'!N5</f>
        <v>245122</v>
      </c>
      <c r="N29" s="23" t="n">
        <f aca="false">'0. Database'!O5</f>
        <v>281724</v>
      </c>
      <c r="O29" s="23" t="n">
        <f aca="false">'0. Database'!P5</f>
        <v>329440.24</v>
      </c>
      <c r="P29" s="23" t="n">
        <f aca="false">'0. Database'!Q5</f>
        <v>387103.71</v>
      </c>
      <c r="Q29" s="23" t="n">
        <f aca="false">'0. Database'!R5</f>
        <v>463474.17</v>
      </c>
      <c r="R29" s="23" t="n">
        <f aca="false">'0. Database'!S5</f>
        <v>553714.52</v>
      </c>
      <c r="S29" s="23" t="n">
        <f aca="false">'0. Database'!T5</f>
        <v>652772.62</v>
      </c>
    </row>
    <row r="30" customFormat="false" ht="15" hidden="false" customHeight="true" outlineLevel="0" collapsed="false">
      <c r="A30" s="22" t="s">
        <v>38</v>
      </c>
      <c r="B30" s="23" t="n">
        <f aca="false">'0. Database'!C21</f>
        <v>74453</v>
      </c>
      <c r="C30" s="23" t="n">
        <f aca="false">'0. Database'!D21</f>
        <v>88988.4</v>
      </c>
      <c r="D30" s="23" t="n">
        <f aca="false">'0. Database'!E21</f>
        <v>107006.6</v>
      </c>
      <c r="E30" s="23" t="n">
        <f aca="false">'0. Database'!F21</f>
        <v>135987</v>
      </c>
      <c r="F30" s="23" t="n">
        <f aca="false">'0. Database'!G21</f>
        <v>177866</v>
      </c>
      <c r="G30" s="23" t="n">
        <f aca="false">'0. Database'!H21</f>
        <v>232887</v>
      </c>
      <c r="H30" s="23" t="n">
        <f aca="false">'0. Database'!I21</f>
        <v>280522</v>
      </c>
      <c r="I30" s="23" t="n">
        <f aca="false">'0. Database'!J21</f>
        <v>386064</v>
      </c>
      <c r="J30" s="23" t="n">
        <f aca="false">'0. Database'!K21</f>
        <v>469822</v>
      </c>
      <c r="K30" s="23" t="n">
        <f aca="false">'0. Database'!L21</f>
        <v>513983</v>
      </c>
      <c r="L30" s="23" t="n">
        <f aca="false">'0. Database'!M21</f>
        <v>574785</v>
      </c>
      <c r="M30" s="23" t="n">
        <f aca="false">'0. Database'!N21</f>
        <v>637959</v>
      </c>
      <c r="N30" s="23" t="n">
        <f aca="false">'0. Database'!O21</f>
        <v>716924</v>
      </c>
      <c r="O30" s="23" t="n">
        <f aca="false">'0. Database'!P21</f>
        <v>827599.51</v>
      </c>
      <c r="P30" s="23" t="n">
        <f aca="false">'0. Database'!Q21</f>
        <v>946630.91</v>
      </c>
      <c r="Q30" s="23" t="n">
        <f aca="false">'0. Database'!R21</f>
        <v>1063340.59</v>
      </c>
      <c r="R30" s="23" t="n">
        <f aca="false">'0. Database'!S21</f>
        <v>1183117.72</v>
      </c>
      <c r="S30" s="23" t="n">
        <f aca="false">'0. Database'!T21</f>
        <v>1305415.48</v>
      </c>
    </row>
    <row r="31" customFormat="false" ht="15" hidden="false" customHeight="true" outlineLevel="0" collapsed="false">
      <c r="A31" s="22" t="s">
        <v>42</v>
      </c>
      <c r="B31" s="23" t="n">
        <f aca="false">'0. Database'!C36</f>
        <v>55519</v>
      </c>
      <c r="C31" s="23" t="n">
        <f aca="false">'0. Database'!D36</f>
        <v>66001</v>
      </c>
      <c r="D31" s="23" t="n">
        <f aca="false">'0. Database'!E36</f>
        <v>74989</v>
      </c>
      <c r="E31" s="23" t="n">
        <f aca="false">'0. Database'!F36</f>
        <v>90272</v>
      </c>
      <c r="F31" s="23" t="n">
        <f aca="false">'0. Database'!G36</f>
        <v>110855</v>
      </c>
      <c r="G31" s="23" t="n">
        <f aca="false">'0. Database'!H36</f>
        <v>136819</v>
      </c>
      <c r="H31" s="23" t="n">
        <f aca="false">'0. Database'!I36</f>
        <v>161857</v>
      </c>
      <c r="I31" s="23" t="n">
        <f aca="false">'0. Database'!J36</f>
        <v>182527</v>
      </c>
      <c r="J31" s="23" t="n">
        <f aca="false">'0. Database'!K36</f>
        <v>257637</v>
      </c>
      <c r="K31" s="23" t="n">
        <f aca="false">'0. Database'!L36</f>
        <v>282836</v>
      </c>
      <c r="L31" s="23" t="n">
        <f aca="false">'0. Database'!M36</f>
        <v>307394</v>
      </c>
      <c r="M31" s="23" t="n">
        <f aca="false">'0. Database'!N36</f>
        <v>350018</v>
      </c>
      <c r="N31" s="23" t="n">
        <f aca="false">'0. Database'!O36</f>
        <v>402836</v>
      </c>
      <c r="O31" s="23" t="n">
        <f aca="false">'0. Database'!P36</f>
        <v>488278.6</v>
      </c>
      <c r="P31" s="23" t="n">
        <f aca="false">'0. Database'!Q36</f>
        <v>591935.74</v>
      </c>
      <c r="Q31" s="23" t="n">
        <f aca="false">'0. Database'!R36</f>
        <v>701414.49</v>
      </c>
      <c r="R31" s="23" t="n">
        <f aca="false">'0. Database'!S36</f>
        <v>815276.88</v>
      </c>
      <c r="S31" s="23" t="n">
        <f aca="false">'0. Database'!T36</f>
        <v>921874.95</v>
      </c>
    </row>
    <row r="32" customFormat="false" ht="15" hidden="false" customHeight="true" outlineLevel="0" collapsed="false">
      <c r="A32" s="22" t="s">
        <v>48</v>
      </c>
      <c r="B32" s="23" t="n">
        <f aca="false">'0. Database'!C53</f>
        <v>7872</v>
      </c>
      <c r="C32" s="23" t="n">
        <f aca="false">'0. Database'!D53</f>
        <v>12466</v>
      </c>
      <c r="D32" s="23" t="n">
        <f aca="false">'0. Database'!E53</f>
        <v>17927</v>
      </c>
      <c r="E32" s="23" t="n">
        <f aca="false">'0. Database'!F53</f>
        <v>27638</v>
      </c>
      <c r="F32" s="23" t="n">
        <f aca="false">'0. Database'!G53</f>
        <v>40653</v>
      </c>
      <c r="G32" s="23" t="n">
        <f aca="false">'0. Database'!H53</f>
        <v>55838</v>
      </c>
      <c r="H32" s="23" t="n">
        <f aca="false">'0. Database'!I53</f>
        <v>70696.5</v>
      </c>
      <c r="I32" s="23" t="n">
        <f aca="false">'0. Database'!J53</f>
        <v>85966</v>
      </c>
      <c r="J32" s="23" t="n">
        <f aca="false">'0. Database'!K53</f>
        <v>117929</v>
      </c>
      <c r="K32" s="23" t="n">
        <f aca="false">'0. Database'!L53</f>
        <v>116609</v>
      </c>
      <c r="L32" s="23" t="n">
        <f aca="false">'0. Database'!M53</f>
        <v>134901</v>
      </c>
      <c r="M32" s="23" t="n">
        <f aca="false">'0. Database'!N53</f>
        <v>164500</v>
      </c>
      <c r="N32" s="23" t="n">
        <f aca="false">'0. Database'!O53</f>
        <v>200965</v>
      </c>
      <c r="O32" s="23" t="n">
        <f aca="false">'0. Database'!P53</f>
        <v>255175.56</v>
      </c>
      <c r="P32" s="23" t="n">
        <f aca="false">'0. Database'!Q53</f>
        <v>306410.52</v>
      </c>
      <c r="Q32" s="23" t="n">
        <f aca="false">'0. Database'!R53</f>
        <v>357336.07</v>
      </c>
      <c r="R32" s="23" t="n">
        <f aca="false">'0. Database'!S53</f>
        <v>407351.97</v>
      </c>
      <c r="S32" s="23" t="n">
        <f aca="false">'0. Database'!T53</f>
        <v>456192.68</v>
      </c>
    </row>
    <row r="33" customFormat="false" ht="15" hidden="false" customHeight="true" outlineLevel="0" collapsed="false">
      <c r="A33" s="22" t="s">
        <v>55</v>
      </c>
      <c r="B33" s="23" t="n">
        <f aca="false">'0. Database'!C71</f>
        <v>37253</v>
      </c>
      <c r="C33" s="23" t="n">
        <f aca="false">'0. Database'!D71</f>
        <v>38305</v>
      </c>
      <c r="D33" s="23" t="n">
        <f aca="false">'0. Database'!E71</f>
        <v>38253</v>
      </c>
      <c r="E33" s="23" t="n">
        <f aca="false">'0. Database'!F71</f>
        <v>37057</v>
      </c>
      <c r="F33" s="23" t="n">
        <f aca="false">'0. Database'!G71</f>
        <v>37899</v>
      </c>
      <c r="G33" s="23" t="n">
        <f aca="false">'0. Database'!H71</f>
        <v>39431</v>
      </c>
      <c r="H33" s="23" t="n">
        <f aca="false">'0. Database'!I71</f>
        <v>39525</v>
      </c>
      <c r="I33" s="23" t="n">
        <f aca="false">'0. Database'!J71</f>
        <v>39073</v>
      </c>
      <c r="J33" s="23" t="n">
        <f aca="false">'0. Database'!K71</f>
        <v>40481</v>
      </c>
      <c r="K33" s="23" t="n">
        <f aca="false">'0. Database'!L71</f>
        <v>42441</v>
      </c>
      <c r="L33" s="23" t="n">
        <f aca="false">'0. Database'!M71</f>
        <v>49955</v>
      </c>
      <c r="M33" s="23" t="n">
        <f aca="false">'0. Database'!N71</f>
        <v>52961</v>
      </c>
      <c r="N33" s="23" t="n">
        <f aca="false">'0. Database'!O71</f>
        <v>57399</v>
      </c>
      <c r="O33" s="23" t="n">
        <f aca="false">'0. Database'!P71</f>
        <v>67286.75</v>
      </c>
      <c r="P33" s="23" t="n">
        <f aca="false">'0. Database'!Q71</f>
        <v>88782.02</v>
      </c>
      <c r="Q33" s="23" t="n">
        <f aca="false">'0. Database'!R71</f>
        <v>125445.05</v>
      </c>
      <c r="R33" s="23" t="n">
        <f aca="false">'0. Database'!S71</f>
        <v>165192.96</v>
      </c>
      <c r="S33" s="23" t="n">
        <f aca="false">'0. Database'!T71</f>
        <v>185555.08</v>
      </c>
    </row>
    <row r="35" customFormat="false" ht="15" hidden="false" customHeight="true" outlineLevel="0" collapsed="false">
      <c r="A35" s="21" t="s">
        <v>97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customFormat="false" ht="15" hidden="false" customHeight="true" outlineLevel="0" collapsed="false">
      <c r="A36" s="4" t="s">
        <v>76</v>
      </c>
      <c r="B36" s="4" t="s">
        <v>3</v>
      </c>
      <c r="C36" s="4" t="s">
        <v>4</v>
      </c>
      <c r="D36" s="4" t="s">
        <v>5</v>
      </c>
      <c r="E36" s="4" t="s">
        <v>6</v>
      </c>
      <c r="F36" s="4" t="s">
        <v>7</v>
      </c>
      <c r="G36" s="4" t="s">
        <v>8</v>
      </c>
      <c r="H36" s="4" t="s">
        <v>9</v>
      </c>
      <c r="I36" s="4" t="s">
        <v>10</v>
      </c>
      <c r="J36" s="4" t="s">
        <v>11</v>
      </c>
      <c r="K36" s="4" t="s">
        <v>12</v>
      </c>
      <c r="L36" s="4" t="s">
        <v>13</v>
      </c>
      <c r="M36" s="4" t="s">
        <v>14</v>
      </c>
      <c r="N36" s="4" t="s">
        <v>15</v>
      </c>
      <c r="O36" s="4" t="s">
        <v>16</v>
      </c>
      <c r="P36" s="4" t="s">
        <v>17</v>
      </c>
      <c r="Q36" s="4" t="s">
        <v>18</v>
      </c>
      <c r="R36" s="4" t="s">
        <v>19</v>
      </c>
      <c r="S36" s="4" t="s">
        <v>20</v>
      </c>
    </row>
    <row r="37" customFormat="false" ht="15" hidden="false" customHeight="true" outlineLevel="0" collapsed="false">
      <c r="A37" s="22" t="s">
        <v>22</v>
      </c>
      <c r="B37" s="23" t="n">
        <f aca="false">'0. Database'!C7</f>
        <v>21863</v>
      </c>
      <c r="C37" s="23" t="n">
        <f aca="false">'0. Database'!D7</f>
        <v>22074</v>
      </c>
      <c r="D37" s="23" t="n">
        <f aca="false">'0. Database'!E7</f>
        <v>12193</v>
      </c>
      <c r="E37" s="23" t="n">
        <f aca="false">'0. Database'!F7</f>
        <v>16798</v>
      </c>
      <c r="F37" s="23" t="n">
        <f aca="false">'0. Database'!G7</f>
        <v>25489</v>
      </c>
      <c r="G37" s="23" t="n">
        <f aca="false">'0. Database'!H7</f>
        <v>16571</v>
      </c>
      <c r="H37" s="23" t="n">
        <f aca="false">'0. Database'!I7</f>
        <v>39240</v>
      </c>
      <c r="I37" s="23" t="n">
        <f aca="false">'0. Database'!J7</f>
        <v>44281</v>
      </c>
      <c r="J37" s="23" t="n">
        <f aca="false">'0. Database'!K7</f>
        <v>61271</v>
      </c>
      <c r="K37" s="23" t="n">
        <f aca="false">'0. Database'!L7</f>
        <v>72738</v>
      </c>
      <c r="L37" s="23" t="n">
        <f aca="false">'0. Database'!M7</f>
        <v>72361</v>
      </c>
      <c r="M37" s="23" t="n">
        <f aca="false">'0. Database'!N7</f>
        <v>88136</v>
      </c>
      <c r="N37" s="23" t="n">
        <f aca="false">'0. Database'!O7</f>
        <v>101832</v>
      </c>
      <c r="O37" s="23" t="n">
        <f aca="false">'0. Database'!P7</f>
        <v>129372.86</v>
      </c>
      <c r="P37" s="23" t="n">
        <f aca="false">'0. Database'!Q7</f>
        <v>144971.56</v>
      </c>
      <c r="Q37" s="23" t="n">
        <f aca="false">'0. Database'!R7</f>
        <v>175683.92</v>
      </c>
      <c r="R37" s="23" t="n">
        <f aca="false">'0. Database'!S7</f>
        <v>215472.22</v>
      </c>
      <c r="S37" s="23" t="n">
        <f aca="false">'0. Database'!T7</f>
        <v>258948.36</v>
      </c>
    </row>
    <row r="38" customFormat="false" ht="15" hidden="false" customHeight="true" outlineLevel="0" collapsed="false">
      <c r="A38" s="22" t="s">
        <v>38</v>
      </c>
      <c r="B38" s="23" t="n">
        <f aca="false">'0. Database'!C23</f>
        <v>273</v>
      </c>
      <c r="C38" s="23" t="n">
        <f aca="false">'0. Database'!D23</f>
        <v>-240.6</v>
      </c>
      <c r="D38" s="23" t="n">
        <f aca="false">'0. Database'!E23</f>
        <v>596.1</v>
      </c>
      <c r="E38" s="23" t="n">
        <f aca="false">'0. Database'!F23</f>
        <v>2371</v>
      </c>
      <c r="F38" s="23" t="n">
        <f aca="false">'0. Database'!G23</f>
        <v>3033</v>
      </c>
      <c r="G38" s="23" t="n">
        <f aca="false">'0. Database'!H23</f>
        <v>10073</v>
      </c>
      <c r="H38" s="23" t="n">
        <f aca="false">'0. Database'!I23</f>
        <v>11588</v>
      </c>
      <c r="I38" s="23" t="n">
        <f aca="false">'0. Database'!J23</f>
        <v>21331</v>
      </c>
      <c r="J38" s="23" t="n">
        <f aca="false">'0. Database'!K23</f>
        <v>33364</v>
      </c>
      <c r="K38" s="23" t="n">
        <f aca="false">'0. Database'!L23</f>
        <v>-2722</v>
      </c>
      <c r="L38" s="23" t="n">
        <f aca="false">'0. Database'!M23</f>
        <v>30425</v>
      </c>
      <c r="M38" s="23" t="n">
        <f aca="false">'0. Database'!N23</f>
        <v>59248</v>
      </c>
      <c r="N38" s="23" t="n">
        <f aca="false">'0. Database'!O23</f>
        <v>77670</v>
      </c>
      <c r="O38" s="23" t="n">
        <f aca="false">'0. Database'!P23</f>
        <v>98333.72</v>
      </c>
      <c r="P38" s="23" t="n">
        <f aca="false">'0. Database'!Q23</f>
        <v>116218.4</v>
      </c>
      <c r="Q38" s="23" t="n">
        <f aca="false">'0. Database'!R23</f>
        <v>145016.4</v>
      </c>
      <c r="R38" s="23" t="n">
        <f aca="false">'0. Database'!S23</f>
        <v>177176.2</v>
      </c>
      <c r="S38" s="23" t="n">
        <f aca="false">'0. Database'!T23</f>
        <v>211925.99</v>
      </c>
    </row>
    <row r="39" customFormat="false" ht="15" hidden="false" customHeight="true" outlineLevel="0" collapsed="false">
      <c r="A39" s="22" t="s">
        <v>42</v>
      </c>
      <c r="B39" s="23" t="n">
        <f aca="false">'0. Database'!C38</f>
        <v>12720</v>
      </c>
      <c r="C39" s="23" t="n">
        <f aca="false">'0. Database'!D38</f>
        <v>14136</v>
      </c>
      <c r="D39" s="23" t="n">
        <f aca="false">'0. Database'!E38</f>
        <v>16348</v>
      </c>
      <c r="E39" s="23" t="n">
        <f aca="false">'0. Database'!F38</f>
        <v>19478</v>
      </c>
      <c r="F39" s="23" t="n">
        <f aca="false">'0. Database'!G38</f>
        <v>12662</v>
      </c>
      <c r="G39" s="23" t="n">
        <f aca="false">'0. Database'!H38</f>
        <v>30736</v>
      </c>
      <c r="H39" s="23" t="n">
        <f aca="false">'0. Database'!I38</f>
        <v>34343</v>
      </c>
      <c r="I39" s="23" t="n">
        <f aca="false">'0. Database'!J38</f>
        <v>40269</v>
      </c>
      <c r="J39" s="23" t="n">
        <f aca="false">'0. Database'!K38</f>
        <v>76033</v>
      </c>
      <c r="K39" s="23" t="n">
        <f aca="false">'0. Database'!L38</f>
        <v>59972</v>
      </c>
      <c r="L39" s="23" t="n">
        <f aca="false">'0. Database'!M38</f>
        <v>73795</v>
      </c>
      <c r="M39" s="23" t="n">
        <f aca="false">'0. Database'!N38</f>
        <v>100118</v>
      </c>
      <c r="N39" s="23" t="n">
        <f aca="false">'0. Database'!O38</f>
        <v>132170</v>
      </c>
      <c r="O39" s="23" t="n">
        <f aca="false">'0. Database'!P38</f>
        <v>168543.28</v>
      </c>
      <c r="P39" s="23" t="n">
        <f aca="false">'0. Database'!Q38</f>
        <v>174626.97</v>
      </c>
      <c r="Q39" s="23" t="n">
        <f aca="false">'0. Database'!R38</f>
        <v>210753.44</v>
      </c>
      <c r="R39" s="23" t="n">
        <f aca="false">'0. Database'!S38</f>
        <v>249488.6</v>
      </c>
      <c r="S39" s="23" t="n">
        <f aca="false">'0. Database'!T38</f>
        <v>285975.76</v>
      </c>
    </row>
    <row r="40" customFormat="false" ht="15" hidden="false" customHeight="true" outlineLevel="0" collapsed="false">
      <c r="A40" s="22" t="s">
        <v>48</v>
      </c>
      <c r="B40" s="23" t="n">
        <f aca="false">'0. Database'!C55</f>
        <v>1491</v>
      </c>
      <c r="C40" s="23" t="n">
        <f aca="false">'0. Database'!D55</f>
        <v>2924.8</v>
      </c>
      <c r="D40" s="23" t="n">
        <f aca="false">'0. Database'!E55</f>
        <v>3669</v>
      </c>
      <c r="E40" s="23" t="n">
        <f aca="false">'0. Database'!F55</f>
        <v>10187.2</v>
      </c>
      <c r="F40" s="23" t="n">
        <f aca="false">'0. Database'!G55</f>
        <v>15919</v>
      </c>
      <c r="G40" s="23" t="n">
        <f aca="false">'0. Database'!H55</f>
        <v>22112</v>
      </c>
      <c r="H40" s="23" t="n">
        <f aca="false">'0. Database'!I55</f>
        <v>18484.5</v>
      </c>
      <c r="I40" s="23" t="n">
        <f aca="false">'0. Database'!J55</f>
        <v>29145</v>
      </c>
      <c r="J40" s="23" t="n">
        <f aca="false">'0. Database'!K55</f>
        <v>39370</v>
      </c>
      <c r="K40" s="23" t="n">
        <f aca="false">'0. Database'!L55</f>
        <v>23199</v>
      </c>
      <c r="L40" s="23" t="n">
        <f aca="false">'0. Database'!M55</f>
        <v>39097</v>
      </c>
      <c r="M40" s="23" t="n">
        <f aca="false">'0. Database'!N55</f>
        <v>62360</v>
      </c>
      <c r="N40" s="23" t="n">
        <f aca="false">'0. Database'!O55</f>
        <v>60458</v>
      </c>
      <c r="O40" s="23" t="n">
        <f aca="false">'0. Database'!P55</f>
        <v>85782.86</v>
      </c>
      <c r="P40" s="23" t="n">
        <f aca="false">'0. Database'!Q55</f>
        <v>91160.94</v>
      </c>
      <c r="Q40" s="23" t="n">
        <f aca="false">'0. Database'!R55</f>
        <v>103452.71</v>
      </c>
      <c r="R40" s="23" t="n">
        <f aca="false">'0. Database'!S55</f>
        <v>115846.5</v>
      </c>
      <c r="S40" s="23" t="n">
        <f aca="false">'0. Database'!T55</f>
        <v>127804.37</v>
      </c>
    </row>
    <row r="41" customFormat="false" ht="15" hidden="false" customHeight="true" outlineLevel="0" collapsed="false">
      <c r="A41" s="22" t="s">
        <v>55</v>
      </c>
      <c r="B41" s="23" t="n">
        <f aca="false">'0. Database'!C73</f>
        <v>10926</v>
      </c>
      <c r="C41" s="23" t="n">
        <f aca="false">'0. Database'!D73</f>
        <v>10955</v>
      </c>
      <c r="D41" s="23" t="n">
        <f aca="false">'0. Database'!E73</f>
        <v>9938</v>
      </c>
      <c r="E41" s="23" t="n">
        <f aca="false">'0. Database'!F73</f>
        <v>8900</v>
      </c>
      <c r="F41" s="23" t="n">
        <f aca="false">'0. Database'!G73</f>
        <v>9334</v>
      </c>
      <c r="G41" s="23" t="n">
        <f aca="false">'0. Database'!H73</f>
        <v>3587</v>
      </c>
      <c r="H41" s="23" t="n">
        <f aca="false">'0. Database'!I73</f>
        <v>11083</v>
      </c>
      <c r="I41" s="23" t="n">
        <f aca="false">'0. Database'!J73</f>
        <v>10135</v>
      </c>
      <c r="J41" s="23" t="n">
        <f aca="false">'0. Database'!K73</f>
        <v>13747</v>
      </c>
      <c r="K41" s="23" t="n">
        <f aca="false">'0. Database'!L73</f>
        <v>6718</v>
      </c>
      <c r="L41" s="23" t="n">
        <f aca="false">'0. Database'!M73</f>
        <v>8504</v>
      </c>
      <c r="M41" s="23" t="n">
        <f aca="false">'0. Database'!N73</f>
        <v>10467</v>
      </c>
      <c r="N41" s="23" t="n">
        <f aca="false">'0. Database'!O73</f>
        <v>12443</v>
      </c>
      <c r="O41" s="23" t="n">
        <f aca="false">'0. Database'!P73</f>
        <v>15820.55</v>
      </c>
      <c r="P41" s="23" t="n">
        <f aca="false">'0. Database'!Q73</f>
        <v>13363.1</v>
      </c>
      <c r="Q41" s="23" t="n">
        <f aca="false">'0. Database'!R73</f>
        <v>26776.66</v>
      </c>
      <c r="R41" s="23" t="n">
        <f aca="false">'0. Database'!S73</f>
        <v>39834.82</v>
      </c>
      <c r="S41" s="23" t="n">
        <f aca="false">'0. Database'!T73</f>
        <v>44104.48</v>
      </c>
    </row>
    <row r="43" customFormat="false" ht="15" hidden="false" customHeight="true" outlineLevel="0" collapsed="false">
      <c r="A43" s="21" t="s">
        <v>98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 customFormat="false" ht="15" hidden="false" customHeight="true" outlineLevel="0" collapsed="false">
      <c r="A44" s="4" t="s">
        <v>76</v>
      </c>
      <c r="B44" s="4" t="s">
        <v>3</v>
      </c>
      <c r="C44" s="4" t="s">
        <v>4</v>
      </c>
      <c r="D44" s="4" t="s">
        <v>5</v>
      </c>
      <c r="E44" s="4" t="s">
        <v>6</v>
      </c>
      <c r="F44" s="4" t="s">
        <v>7</v>
      </c>
      <c r="G44" s="4" t="s">
        <v>8</v>
      </c>
      <c r="H44" s="4" t="s">
        <v>9</v>
      </c>
      <c r="I44" s="4" t="s">
        <v>10</v>
      </c>
      <c r="J44" s="4" t="s">
        <v>11</v>
      </c>
      <c r="K44" s="4" t="s">
        <v>12</v>
      </c>
      <c r="L44" s="4" t="s">
        <v>13</v>
      </c>
      <c r="M44" s="4" t="s">
        <v>14</v>
      </c>
      <c r="N44" s="4" t="s">
        <v>15</v>
      </c>
      <c r="O44" s="4" t="s">
        <v>16</v>
      </c>
      <c r="P44" s="4" t="s">
        <v>17</v>
      </c>
      <c r="Q44" s="4" t="s">
        <v>18</v>
      </c>
      <c r="R44" s="4" t="s">
        <v>19</v>
      </c>
      <c r="S44" s="4" t="s">
        <v>20</v>
      </c>
    </row>
    <row r="45" customFormat="false" ht="15" hidden="false" customHeight="true" outlineLevel="0" collapsed="false">
      <c r="A45" s="22" t="s">
        <v>22</v>
      </c>
      <c r="B45" s="23" t="n">
        <f aca="false">'0. Database'!C12</f>
        <v>4257</v>
      </c>
      <c r="C45" s="23" t="n">
        <f aca="false">'0. Database'!D12</f>
        <v>5485</v>
      </c>
      <c r="D45" s="23" t="n">
        <f aca="false">'0. Database'!E12</f>
        <v>5944</v>
      </c>
      <c r="E45" s="23" t="n">
        <f aca="false">'0. Database'!F12</f>
        <v>8932</v>
      </c>
      <c r="F45" s="23" t="n">
        <f aca="false">'0. Database'!G12</f>
        <v>10200</v>
      </c>
      <c r="G45" s="23" t="n">
        <f aca="false">'0. Database'!H12</f>
        <v>13600</v>
      </c>
      <c r="H45" s="23" t="n">
        <f aca="false">'0. Database'!I12</f>
        <v>16900</v>
      </c>
      <c r="I45" s="23" t="n">
        <f aca="false">'0. Database'!J12</f>
        <v>19000</v>
      </c>
      <c r="J45" s="23" t="n">
        <f aca="false">'0. Database'!K12</f>
        <v>24200</v>
      </c>
      <c r="K45" s="23" t="n">
        <f aca="false">'0. Database'!L12</f>
        <v>29200</v>
      </c>
      <c r="L45" s="23" t="n">
        <f aca="false">'0. Database'!M12</f>
        <v>31900</v>
      </c>
      <c r="M45" s="23" t="n">
        <f aca="false">'0. Database'!N12</f>
        <v>55700</v>
      </c>
      <c r="N45" s="23" t="n">
        <f aca="false">'0. Database'!O12</f>
        <v>88200</v>
      </c>
      <c r="O45" s="23" t="n">
        <f aca="false">'0. Database'!P12</f>
        <v>145871.3</v>
      </c>
      <c r="P45" s="23" t="n">
        <f aca="false">'0. Database'!Q12</f>
        <v>245263.45</v>
      </c>
      <c r="Q45" s="23" t="n">
        <f aca="false">'0. Database'!R12</f>
        <v>286760.35</v>
      </c>
      <c r="R45" s="23" t="n">
        <f aca="false">'0. Database'!S12</f>
        <v>300210.91</v>
      </c>
      <c r="S45" s="23" t="n">
        <f aca="false">'0. Database'!T12</f>
        <v>304616.04</v>
      </c>
    </row>
    <row r="46" customFormat="false" ht="15" hidden="false" customHeight="true" outlineLevel="0" collapsed="false">
      <c r="A46" s="22" t="s">
        <v>38</v>
      </c>
      <c r="B46" s="23" t="n">
        <f aca="false">'0. Database'!C28</f>
        <v>3443</v>
      </c>
      <c r="C46" s="23" t="n">
        <f aca="false">'0. Database'!D28</f>
        <v>4892</v>
      </c>
      <c r="D46" s="23" t="n">
        <f aca="false">'0. Database'!E28</f>
        <v>4588</v>
      </c>
      <c r="E46" s="23" t="n">
        <f aca="false">'0. Database'!F28</f>
        <v>6736</v>
      </c>
      <c r="F46" s="23" t="n">
        <f aca="false">'0. Database'!G28</f>
        <v>10057</v>
      </c>
      <c r="G46" s="23" t="n">
        <f aca="false">'0. Database'!H28</f>
        <v>11322</v>
      </c>
      <c r="H46" s="23" t="n">
        <f aca="false">'0. Database'!I28</f>
        <v>12690</v>
      </c>
      <c r="I46" s="23" t="n">
        <f aca="false">'0. Database'!J28</f>
        <v>35046</v>
      </c>
      <c r="J46" s="23" t="n">
        <f aca="false">'0. Database'!K28</f>
        <v>55396</v>
      </c>
      <c r="K46" s="23" t="n">
        <f aca="false">'0. Database'!L28</f>
        <v>58321</v>
      </c>
      <c r="L46" s="23" t="n">
        <f aca="false">'0. Database'!M28</f>
        <v>48133</v>
      </c>
      <c r="M46" s="23" t="n">
        <f aca="false">'0. Database'!N28</f>
        <v>77658</v>
      </c>
      <c r="N46" s="23" t="n">
        <f aca="false">'0. Database'!O28</f>
        <v>128320</v>
      </c>
      <c r="O46" s="23" t="n">
        <f aca="false">'0. Database'!P28</f>
        <v>200104.98</v>
      </c>
      <c r="P46" s="23" t="n">
        <f aca="false">'0. Database'!Q28</f>
        <v>270141.72</v>
      </c>
      <c r="Q46" s="23" t="n">
        <f aca="false">'0. Database'!R28</f>
        <v>283648.81</v>
      </c>
      <c r="R46" s="23" t="n">
        <f aca="false">'0. Database'!S28</f>
        <v>297831.25</v>
      </c>
      <c r="S46" s="23" t="n">
        <f aca="false">'0. Database'!T28</f>
        <v>312722.81</v>
      </c>
    </row>
    <row r="47" customFormat="false" ht="15" hidden="false" customHeight="true" outlineLevel="0" collapsed="false">
      <c r="A47" s="22" t="s">
        <v>42</v>
      </c>
      <c r="B47" s="23" t="n">
        <f aca="false">'0. Database'!C43</f>
        <v>7358</v>
      </c>
      <c r="C47" s="23" t="n">
        <f aca="false">'0. Database'!D43</f>
        <v>10959</v>
      </c>
      <c r="D47" s="23" t="n">
        <f aca="false">'0. Database'!E43</f>
        <v>9915</v>
      </c>
      <c r="E47" s="23" t="n">
        <f aca="false">'0. Database'!F43</f>
        <v>10183</v>
      </c>
      <c r="F47" s="23" t="n">
        <f aca="false">'0. Database'!G43</f>
        <v>13184</v>
      </c>
      <c r="G47" s="23" t="n">
        <f aca="false">'0. Database'!H43</f>
        <v>25139</v>
      </c>
      <c r="H47" s="23" t="n">
        <f aca="false">'0. Database'!I43</f>
        <v>23548</v>
      </c>
      <c r="I47" s="23" t="n">
        <f aca="false">'0. Database'!J43</f>
        <v>22281</v>
      </c>
      <c r="J47" s="23" t="n">
        <f aca="false">'0. Database'!K43</f>
        <v>24640</v>
      </c>
      <c r="K47" s="23" t="n">
        <f aca="false">'0. Database'!L43</f>
        <v>31485</v>
      </c>
      <c r="L47" s="23" t="n">
        <f aca="false">'0. Database'!M43</f>
        <v>32251</v>
      </c>
      <c r="M47" s="23" t="n">
        <f aca="false">'0. Database'!N43</f>
        <v>52535</v>
      </c>
      <c r="N47" s="23" t="n">
        <f aca="false">'0. Database'!O43</f>
        <v>91447</v>
      </c>
      <c r="O47" s="23" t="n">
        <f aca="false">'0. Database'!P43</f>
        <v>185234.28</v>
      </c>
      <c r="P47" s="23" t="n">
        <f aca="false">'0. Database'!Q43</f>
        <v>259327.99</v>
      </c>
      <c r="Q47" s="23" t="n">
        <f aca="false">'0. Database'!R43</f>
        <v>285260.79</v>
      </c>
      <c r="R47" s="23" t="n">
        <f aca="false">'0. Database'!S43</f>
        <v>299523.83</v>
      </c>
      <c r="S47" s="23" t="n">
        <f aca="false">'0. Database'!T43</f>
        <v>314500.02</v>
      </c>
    </row>
    <row r="48" customFormat="false" ht="15" hidden="false" customHeight="true" outlineLevel="0" collapsed="false">
      <c r="A48" s="22" t="s">
        <v>48</v>
      </c>
      <c r="B48" s="23" t="n">
        <f aca="false">'0. Database'!C60</f>
        <v>1362</v>
      </c>
      <c r="C48" s="23" t="n">
        <f aca="false">'0. Database'!D60</f>
        <v>1831</v>
      </c>
      <c r="D48" s="23" t="n">
        <f aca="false">'0. Database'!E60</f>
        <v>2523</v>
      </c>
      <c r="E48" s="23" t="n">
        <f aca="false">'0. Database'!F60</f>
        <v>4491</v>
      </c>
      <c r="F48" s="23" t="n">
        <f aca="false">'0. Database'!G60</f>
        <v>6732</v>
      </c>
      <c r="G48" s="23" t="n">
        <f aca="false">'0. Database'!H60</f>
        <v>13980</v>
      </c>
      <c r="H48" s="23" t="n">
        <f aca="false">'0. Database'!I60</f>
        <v>15102</v>
      </c>
      <c r="I48" s="23" t="n">
        <f aca="false">'0. Database'!J60</f>
        <v>15115</v>
      </c>
      <c r="J48" s="23" t="n">
        <f aca="false">'0. Database'!K60</f>
        <v>18567</v>
      </c>
      <c r="K48" s="23" t="n">
        <f aca="false">'0. Database'!L60</f>
        <v>31186</v>
      </c>
      <c r="L48" s="23" t="n">
        <f aca="false">'0. Database'!M60</f>
        <v>27045</v>
      </c>
      <c r="M48" s="23" t="n">
        <f aca="false">'0. Database'!N60</f>
        <v>37256</v>
      </c>
      <c r="N48" s="23" t="n">
        <f aca="false">'0. Database'!O60</f>
        <v>69691</v>
      </c>
      <c r="O48" s="23" t="n">
        <f aca="false">'0. Database'!P60</f>
        <v>135583.71</v>
      </c>
      <c r="P48" s="23" t="n">
        <f aca="false">'0. Database'!Q60</f>
        <v>165714.44</v>
      </c>
      <c r="Q48" s="23" t="n">
        <f aca="false">'0. Database'!R60</f>
        <v>185600.17</v>
      </c>
      <c r="R48" s="23" t="n">
        <f aca="false">'0. Database'!S60</f>
        <v>196736.18</v>
      </c>
      <c r="S48" s="23" t="n">
        <f aca="false">'0. Database'!T60</f>
        <v>208540.35</v>
      </c>
    </row>
    <row r="49" customFormat="false" ht="15" hidden="false" customHeight="true" outlineLevel="0" collapsed="false">
      <c r="A49" s="22" t="s">
        <v>55</v>
      </c>
      <c r="B49" s="23" t="n">
        <f aca="false">'0. Database'!C78</f>
        <v>650</v>
      </c>
      <c r="C49" s="23" t="n">
        <f aca="false">'0. Database'!D78</f>
        <v>580</v>
      </c>
      <c r="D49" s="23" t="n">
        <f aca="false">'0. Database'!E78</f>
        <v>1391</v>
      </c>
      <c r="E49" s="23" t="n">
        <f aca="false">'0. Database'!F78</f>
        <v>1189</v>
      </c>
      <c r="F49" s="23" t="n">
        <f aca="false">'0. Database'!G78</f>
        <v>2021</v>
      </c>
      <c r="G49" s="23" t="n">
        <f aca="false">'0. Database'!H78</f>
        <v>1736</v>
      </c>
      <c r="H49" s="23" t="n">
        <f aca="false">'0. Database'!I78</f>
        <v>1660</v>
      </c>
      <c r="I49" s="23" t="n">
        <f aca="false">'0. Database'!J78</f>
        <v>1564</v>
      </c>
      <c r="J49" s="23" t="n">
        <f aca="false">'0. Database'!K78</f>
        <v>2135</v>
      </c>
      <c r="K49" s="23" t="n">
        <f aca="false">'0. Database'!L78</f>
        <v>4511</v>
      </c>
      <c r="L49" s="23" t="n">
        <f aca="false">'0. Database'!M78</f>
        <v>8695</v>
      </c>
      <c r="M49" s="23" t="n">
        <f aca="false">'0. Database'!N78</f>
        <v>6866</v>
      </c>
      <c r="N49" s="23" t="n">
        <f aca="false">'0. Database'!O78</f>
        <v>21215</v>
      </c>
      <c r="O49" s="23" t="n">
        <f aca="false">'0. Database'!P78</f>
        <v>51882</v>
      </c>
      <c r="P49" s="23" t="n">
        <f aca="false">'0. Database'!Q78</f>
        <v>52141.41</v>
      </c>
      <c r="Q49" s="23" t="n">
        <f aca="false">'0. Database'!R78</f>
        <v>69869.49</v>
      </c>
      <c r="R49" s="23" t="n">
        <f aca="false">'0. Database'!S78</f>
        <v>81048.61</v>
      </c>
      <c r="S49" s="23" t="n">
        <f aca="false">'0. Database'!T78</f>
        <v>66459.86</v>
      </c>
    </row>
    <row r="51" customFormat="false" ht="15" hidden="false" customHeight="true" outlineLevel="0" collapsed="false">
      <c r="A51" s="21" t="s">
        <v>99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customFormat="false" ht="15" hidden="false" customHeight="true" outlineLevel="0" collapsed="false">
      <c r="A52" s="4" t="s">
        <v>76</v>
      </c>
      <c r="B52" s="4" t="s">
        <v>3</v>
      </c>
      <c r="C52" s="4" t="s">
        <v>4</v>
      </c>
      <c r="D52" s="4" t="s">
        <v>5</v>
      </c>
      <c r="E52" s="4" t="s">
        <v>6</v>
      </c>
      <c r="F52" s="4" t="s">
        <v>7</v>
      </c>
      <c r="G52" s="4" t="s">
        <v>8</v>
      </c>
      <c r="H52" s="4" t="s">
        <v>9</v>
      </c>
      <c r="I52" s="4" t="s">
        <v>10</v>
      </c>
      <c r="J52" s="4" t="s">
        <v>11</v>
      </c>
      <c r="K52" s="4" t="s">
        <v>12</v>
      </c>
      <c r="L52" s="4" t="s">
        <v>13</v>
      </c>
      <c r="M52" s="4" t="s">
        <v>14</v>
      </c>
      <c r="N52" s="4" t="s">
        <v>15</v>
      </c>
      <c r="O52" s="4" t="s">
        <v>16</v>
      </c>
      <c r="P52" s="4" t="s">
        <v>17</v>
      </c>
      <c r="Q52" s="4" t="s">
        <v>18</v>
      </c>
      <c r="R52" s="4" t="s">
        <v>19</v>
      </c>
      <c r="S52" s="4" t="s">
        <v>20</v>
      </c>
    </row>
    <row r="53" customFormat="false" ht="15" hidden="false" customHeight="true" outlineLevel="0" collapsed="false">
      <c r="A53" s="22" t="s">
        <v>22</v>
      </c>
      <c r="B53" s="26" t="n">
        <f aca="false">IFERROR(B13/B29,"")</f>
        <v>0.315688062788218</v>
      </c>
      <c r="C53" s="26" t="n">
        <f aca="false">IFERROR(C13/C29,"")</f>
        <v>0.308016537491507</v>
      </c>
      <c r="D53" s="26" t="n">
        <f aca="false">IFERROR(D13/D29,"")</f>
        <v>0.247232314597136</v>
      </c>
      <c r="E53" s="26" t="n">
        <f aca="false">IFERROR(E13/E29,"")</f>
        <v>0.285900140646976</v>
      </c>
      <c r="F53" s="26" t="n">
        <f aca="false">IFERROR(F13/F29,"")</f>
        <v>0.303476198858871</v>
      </c>
      <c r="G53" s="26" t="n">
        <f aca="false">IFERROR(G13/G29,"")</f>
        <v>0.274411018484958</v>
      </c>
      <c r="H53" s="26" t="n">
        <f aca="false">IFERROR(H13/H29,"")</f>
        <v>0.280389056204954</v>
      </c>
      <c r="I53" s="26" t="n">
        <f aca="false">IFERROR(I13/I29,"")</f>
        <v>0.291402999685348</v>
      </c>
      <c r="J53" s="26" t="n">
        <f aca="false">IFERROR(J13/J29,"")</f>
        <v>0.312574365808386</v>
      </c>
      <c r="K53" s="26" t="n">
        <f aca="false">IFERROR(K13/K29,"")</f>
        <v>0.301785444091391</v>
      </c>
      <c r="L53" s="26" t="n">
        <f aca="false">IFERROR(L13/L29,"")</f>
        <v>0.262756293797041</v>
      </c>
      <c r="M53" s="26" t="n">
        <f aca="false">IFERROR(M13/M29,"")</f>
        <v>0.256394774846811</v>
      </c>
      <c r="N53" s="26" t="n">
        <f aca="false">IFERROR(N13/N29,"")</f>
        <v>0.170244636594681</v>
      </c>
      <c r="O53" s="26" t="n">
        <f aca="false">IFERROR(O13/O29,"")</f>
        <v>0.0870776441882145</v>
      </c>
      <c r="P53" s="26" t="n">
        <f aca="false">IFERROR(P13/P29,"")</f>
        <v>-0.0340107047798638</v>
      </c>
      <c r="Q53" s="26" t="n">
        <f aca="false">IFERROR(Q13/Q29,"")</f>
        <v>0.0168509930121888</v>
      </c>
      <c r="R53" s="26" t="n">
        <f aca="false">IFERROR(R13/R29,"")</f>
        <v>0.107386474170842</v>
      </c>
      <c r="S53" s="26" t="n">
        <f aca="false">IFERROR(S13/S29,"")</f>
        <v>0.205175364126026</v>
      </c>
    </row>
    <row r="54" customFormat="false" ht="15" hidden="false" customHeight="true" outlineLevel="0" collapsed="false">
      <c r="A54" s="22" t="s">
        <v>38</v>
      </c>
      <c r="B54" s="26" t="n">
        <f aca="false">IFERROR(B14/B30,"")</f>
        <v>0.0272789545082132</v>
      </c>
      <c r="C54" s="26" t="n">
        <f aca="false">IFERROR(C14/C30,"")</f>
        <v>0.0219062259800154</v>
      </c>
      <c r="D54" s="26" t="n">
        <f aca="false">IFERROR(D14/D30,"")</f>
        <v>0.0685200725936531</v>
      </c>
      <c r="E54" s="26" t="n">
        <f aca="false">IFERROR(E14/E30,"")</f>
        <v>0.0774706405759374</v>
      </c>
      <c r="F54" s="26" t="n">
        <f aca="false">IFERROR(F14/F30,"")</f>
        <v>0.0470972529882046</v>
      </c>
      <c r="G54" s="26" t="n">
        <f aca="false">IFERROR(G14/G30,"")</f>
        <v>0.0833107902115618</v>
      </c>
      <c r="H54" s="26" t="n">
        <f aca="false">IFERROR(H14/H30,"")</f>
        <v>0.0920605157527752</v>
      </c>
      <c r="I54" s="26" t="n">
        <f aca="false">IFERROR(I14/I30,"")</f>
        <v>0.0803441916366198</v>
      </c>
      <c r="J54" s="26" t="n">
        <f aca="false">IFERROR(J14/J30,"")</f>
        <v>-0.0193030551996288</v>
      </c>
      <c r="K54" s="26" t="n">
        <f aca="false">IFERROR(K14/K30,"")</f>
        <v>-0.0225085265465978</v>
      </c>
      <c r="L54" s="26" t="n">
        <f aca="false">IFERROR(L14/L30,"")</f>
        <v>0.0640465565385318</v>
      </c>
      <c r="M54" s="26" t="n">
        <f aca="false">IFERROR(M14/M30,"")</f>
        <v>0.0599082386172152</v>
      </c>
      <c r="N54" s="26" t="n">
        <f aca="false">IFERROR(N14/N30,"")</f>
        <v>0.0156139283940836</v>
      </c>
      <c r="O54" s="26" t="n">
        <f aca="false">IFERROR(O14/O30,"")</f>
        <v>-0.023079605254962</v>
      </c>
      <c r="P54" s="26" t="n">
        <f aca="false">IFERROR(P14/P30,"")</f>
        <v>-0.0482743797157437</v>
      </c>
      <c r="Q54" s="26" t="n">
        <f aca="false">IFERROR(Q14/Q30,"")</f>
        <v>-0.00204741549459708</v>
      </c>
      <c r="R54" s="26" t="n">
        <f aca="false">IFERROR(R14/R30,"")</f>
        <v>0.0380208742034563</v>
      </c>
      <c r="S54" s="26" t="n">
        <f aca="false">IFERROR(S14/S30,"")</f>
        <v>0.0676854238008576</v>
      </c>
    </row>
    <row r="55" customFormat="false" ht="15" hidden="false" customHeight="true" outlineLevel="0" collapsed="false">
      <c r="A55" s="22" t="s">
        <v>42</v>
      </c>
      <c r="B55" s="26" t="n">
        <f aca="false">IFERROR(B15/B31,"")</f>
        <v>0.202201048289775</v>
      </c>
      <c r="C55" s="26" t="n">
        <f aca="false">IFERROR(C15/C31,"")</f>
        <v>0.171406493841002</v>
      </c>
      <c r="D55" s="26" t="n">
        <f aca="false">IFERROR(D15/D31,"")</f>
        <v>0.212217791942818</v>
      </c>
      <c r="E55" s="26" t="n">
        <f aca="false">IFERROR(E15/E31,"")</f>
        <v>0.286390021269054</v>
      </c>
      <c r="F55" s="26" t="n">
        <f aca="false">IFERROR(F15/F31,"")</f>
        <v>0.215660096522484</v>
      </c>
      <c r="G55" s="26" t="n">
        <f aca="false">IFERROR(G15/G31,"")</f>
        <v>0.16687740737763</v>
      </c>
      <c r="H55" s="26" t="n">
        <f aca="false">IFERROR(H15/H31,"")</f>
        <v>0.191354096517296</v>
      </c>
      <c r="I55" s="26" t="n">
        <f aca="false">IFERROR(I15/I31,"")</f>
        <v>0.234721438472116</v>
      </c>
      <c r="J55" s="26" t="n">
        <f aca="false">IFERROR(J15/J31,"")</f>
        <v>0.260102392125355</v>
      </c>
      <c r="K55" s="26" t="n">
        <f aca="false">IFERROR(K15/K31,"")</f>
        <v>0.212172425009546</v>
      </c>
      <c r="L55" s="26" t="n">
        <f aca="false">IFERROR(L15/L31,"")</f>
        <v>0.226077932555613</v>
      </c>
      <c r="M55" s="26" t="n">
        <f aca="false">IFERROR(M15/M31,"")</f>
        <v>0.20788645155392</v>
      </c>
      <c r="N55" s="26" t="n">
        <f aca="false">IFERROR(N15/N31,"")</f>
        <v>0.181875502685957</v>
      </c>
      <c r="O55" s="26" t="n">
        <f aca="false">IFERROR(O15/O31,"")</f>
        <v>0.0547867344585653</v>
      </c>
      <c r="P55" s="26" t="n">
        <f aca="false">IFERROR(P15/P31,"")</f>
        <v>0.038886349386506</v>
      </c>
      <c r="Q55" s="26" t="n">
        <f aca="false">IFERROR(Q15/Q31,"")</f>
        <v>0.0964950267850896</v>
      </c>
      <c r="R55" s="26" t="n">
        <f aca="false">IFERROR(R15/R31,"")</f>
        <v>0.152957839304851</v>
      </c>
      <c r="S55" s="26" t="n">
        <f aca="false">IFERROR(S15/S31,"")</f>
        <v>0.191313724274643</v>
      </c>
    </row>
    <row r="56" customFormat="false" ht="15" hidden="false" customHeight="true" outlineLevel="0" collapsed="false">
      <c r="A56" s="22" t="s">
        <v>48</v>
      </c>
      <c r="B56" s="26" t="n">
        <f aca="false">IFERROR(B16/B32,"")</f>
        <v>0.363313008130081</v>
      </c>
      <c r="C56" s="26" t="n">
        <f aca="false">IFERROR(C16/C32,"")</f>
        <v>0.294946253810364</v>
      </c>
      <c r="D56" s="26" t="n">
        <f aca="false">IFERROR(D16/D32,"")</f>
        <v>0.339376359680928</v>
      </c>
      <c r="E56" s="26" t="n">
        <f aca="false">IFERROR(E16/E32,"")</f>
        <v>0.41862652869238</v>
      </c>
      <c r="F56" s="26" t="n">
        <f aca="false">IFERROR(F16/F32,"")</f>
        <v>0.430078960962291</v>
      </c>
      <c r="G56" s="26" t="n">
        <f aca="false">IFERROR(G16/G32,"")</f>
        <v>0.275063576775673</v>
      </c>
      <c r="H56" s="26" t="n">
        <f aca="false">IFERROR(H16/H32,"")</f>
        <v>0.300021924706315</v>
      </c>
      <c r="I56" s="26" t="n">
        <f aca="false">IFERROR(I16/I32,"")</f>
        <v>0.274899378824186</v>
      </c>
      <c r="J56" s="26" t="n">
        <f aca="false">IFERROR(J16/J32,"")</f>
        <v>0.331691102273402</v>
      </c>
      <c r="K56" s="26" t="n">
        <f aca="false">IFERROR(K16/K32,"")</f>
        <v>0.165416048503975</v>
      </c>
      <c r="L56" s="26" t="n">
        <f aca="false">IFERROR(L16/L32,"")</f>
        <v>0.326669187033454</v>
      </c>
      <c r="M56" s="26" t="n">
        <f aca="false">IFERROR(M16/M32,"")</f>
        <v>0.328705167173252</v>
      </c>
      <c r="N56" s="26" t="n">
        <f aca="false">IFERROR(N16/N32,"")</f>
        <v>0.22943796183415</v>
      </c>
      <c r="O56" s="26" t="n">
        <f aca="false">IFERROR(O16/O32,"")</f>
        <v>0.175043918782818</v>
      </c>
      <c r="P56" s="26" t="n">
        <f aca="false">IFERROR(P16/P32,"")</f>
        <v>0.131811792884918</v>
      </c>
      <c r="Q56" s="26" t="n">
        <f aca="false">IFERROR(Q16/Q32,"")</f>
        <v>0.161332271886239</v>
      </c>
      <c r="R56" s="26" t="n">
        <f aca="false">IFERROR(R16/R32,"")</f>
        <v>0.201986994195707</v>
      </c>
      <c r="S56" s="26" t="n">
        <f aca="false">IFERROR(S16/S32,"")</f>
        <v>0.232222402165681</v>
      </c>
    </row>
    <row r="57" customFormat="false" ht="15" hidden="false" customHeight="true" outlineLevel="0" collapsed="false">
      <c r="A57" s="22" t="s">
        <v>55</v>
      </c>
      <c r="B57" s="26" t="n">
        <f aca="false">IFERROR(B17/B33,"")</f>
        <v>0.364400182535635</v>
      </c>
      <c r="C57" s="26" t="n">
        <f aca="false">IFERROR(C17/C33,"")</f>
        <v>0.374389766349041</v>
      </c>
      <c r="D57" s="26" t="n">
        <f aca="false">IFERROR(D17/D33,"")</f>
        <v>0.338404830993648</v>
      </c>
      <c r="E57" s="26" t="n">
        <f aca="false">IFERROR(E17/E33,"")</f>
        <v>0.333837061823677</v>
      </c>
      <c r="F57" s="26" t="n">
        <f aca="false">IFERROR(F17/F33,"")</f>
        <v>0.319375181403203</v>
      </c>
      <c r="G57" s="26" t="n">
        <f aca="false">IFERROR(G17/G33,"")</f>
        <v>0.346174329842002</v>
      </c>
      <c r="H57" s="26" t="n">
        <f aca="false">IFERROR(H17/H33,"")</f>
        <v>0.326148007590133</v>
      </c>
      <c r="I57" s="26" t="n">
        <f aca="false">IFERROR(I17/I33,"")</f>
        <v>0.296240370588386</v>
      </c>
      <c r="J57" s="26" t="n">
        <f aca="false">IFERROR(J17/J33,"")</f>
        <v>0.339739630937971</v>
      </c>
      <c r="K57" s="26" t="n">
        <f aca="false">IFERROR(K17/K33,"")</f>
        <v>0.118493909191584</v>
      </c>
      <c r="L57" s="26" t="n">
        <f aca="false">IFERROR(L17/L33,"")</f>
        <v>0.169572615353818</v>
      </c>
      <c r="M57" s="26" t="n">
        <f aca="false">IFERROR(M17/M33,"")</f>
        <v>0.222937633352845</v>
      </c>
      <c r="N57" s="26" t="n">
        <f aca="false">IFERROR(N17/N33,"")</f>
        <v>-0.00686423108416523</v>
      </c>
      <c r="O57" s="26" t="n">
        <f aca="false">IFERROR(O17/O33,"")</f>
        <v>-0.392719666204713</v>
      </c>
      <c r="P57" s="26" t="n">
        <f aca="false">IFERROR(P17/P33,"")</f>
        <v>-0.207778894870831</v>
      </c>
      <c r="Q57" s="26" t="n">
        <f aca="false">IFERROR(Q17/Q33,"")</f>
        <v>-0.157332154596774</v>
      </c>
      <c r="R57" s="26" t="n">
        <f aca="false">IFERROR(R17/R33,"")</f>
        <v>-0.0878947867996312</v>
      </c>
      <c r="S57" s="26" t="n">
        <f aca="false">IFERROR(S17/S33,"")</f>
        <v>0.0997238124658188</v>
      </c>
    </row>
    <row r="59" customFormat="false" ht="15" hidden="false" customHeight="true" outlineLevel="0" collapsed="false">
      <c r="A59" s="21" t="s">
        <v>100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 customFormat="false" ht="15" hidden="false" customHeight="true" outlineLevel="0" collapsed="false">
      <c r="A60" s="4" t="s">
        <v>76</v>
      </c>
      <c r="B60" s="4" t="s">
        <v>3</v>
      </c>
      <c r="C60" s="4" t="s">
        <v>4</v>
      </c>
      <c r="D60" s="4" t="s">
        <v>5</v>
      </c>
      <c r="E60" s="4" t="s">
        <v>6</v>
      </c>
      <c r="F60" s="4" t="s">
        <v>7</v>
      </c>
      <c r="G60" s="4" t="s">
        <v>8</v>
      </c>
      <c r="H60" s="4" t="s">
        <v>9</v>
      </c>
      <c r="I60" s="4" t="s">
        <v>10</v>
      </c>
      <c r="J60" s="4" t="s">
        <v>11</v>
      </c>
      <c r="K60" s="4" t="s">
        <v>12</v>
      </c>
      <c r="L60" s="4" t="s">
        <v>13</v>
      </c>
      <c r="M60" s="4" t="s">
        <v>14</v>
      </c>
      <c r="N60" s="4" t="s">
        <v>15</v>
      </c>
      <c r="O60" s="4" t="s">
        <v>16</v>
      </c>
      <c r="P60" s="4" t="s">
        <v>17</v>
      </c>
      <c r="Q60" s="4" t="s">
        <v>18</v>
      </c>
      <c r="R60" s="4" t="s">
        <v>19</v>
      </c>
      <c r="S60" s="4" t="s">
        <v>20</v>
      </c>
    </row>
    <row r="61" customFormat="false" ht="15" hidden="false" customHeight="true" outlineLevel="0" collapsed="false">
      <c r="A61" s="22" t="s">
        <v>22</v>
      </c>
      <c r="B61" s="26" t="n">
        <f aca="false">IFERROR(B13/B37,"")</f>
        <v>1.12409092988154</v>
      </c>
      <c r="C61" s="26" t="n">
        <f aca="false">IFERROR(C13/C37,"")</f>
        <v>1.21165171695207</v>
      </c>
      <c r="D61" s="26" t="n">
        <f aca="false">IFERROR(D13/D37,"")</f>
        <v>1.89748216189617</v>
      </c>
      <c r="E61" s="26" t="n">
        <f aca="false">IFERROR(E13/E37,"")</f>
        <v>1.45213715918562</v>
      </c>
      <c r="F61" s="26" t="n">
        <f aca="false">IFERROR(F13/F37,"")</f>
        <v>1.14979010553572</v>
      </c>
      <c r="G61" s="26" t="n">
        <f aca="false">IFERROR(G13/G37,"")</f>
        <v>1.82753002232816</v>
      </c>
      <c r="H61" s="26" t="n">
        <f aca="false">IFERROR(H13/H37,"")</f>
        <v>0.89920998980632</v>
      </c>
      <c r="I61" s="26" t="n">
        <f aca="false">IFERROR(I13/I37,"")</f>
        <v>0.941148573880445</v>
      </c>
      <c r="J61" s="26" t="n">
        <f aca="false">IFERROR(J13/J37,"")</f>
        <v>0.857501917709846</v>
      </c>
      <c r="K61" s="26" t="n">
        <f aca="false">IFERROR(K13/K37,"")</f>
        <v>0.822609915037532</v>
      </c>
      <c r="L61" s="26" t="n">
        <f aca="false">IFERROR(L13/L37,"")</f>
        <v>0.76950290902558</v>
      </c>
      <c r="M61" s="26" t="n">
        <f aca="false">IFERROR(M13/M37,"")</f>
        <v>0.713079785785604</v>
      </c>
      <c r="N61" s="26" t="n">
        <f aca="false">IFERROR(N13/N37,"")</f>
        <v>0.470991436876424</v>
      </c>
      <c r="O61" s="26" t="n">
        <f aca="false">IFERROR(O13/O37,"")</f>
        <v>0.221738005946533</v>
      </c>
      <c r="P61" s="26" t="n">
        <f aca="false">IFERROR(P13/P37,"")</f>
        <v>-0.0908155365093678</v>
      </c>
      <c r="Q61" s="26" t="n">
        <f aca="false">IFERROR(Q13/Q37,"")</f>
        <v>0.0444548368456259</v>
      </c>
      <c r="R61" s="26" t="n">
        <f aca="false">IFERROR(R13/R37,"")</f>
        <v>0.275958775567449</v>
      </c>
      <c r="S61" s="26" t="n">
        <f aca="false">IFERROR(S13/S37,"")</f>
        <v>0.517218413740871</v>
      </c>
    </row>
    <row r="62" customFormat="false" ht="15" hidden="false" customHeight="true" outlineLevel="0" collapsed="false">
      <c r="A62" s="22" t="s">
        <v>38</v>
      </c>
      <c r="B62" s="26" t="n">
        <f aca="false">IFERROR(B14/B38,"")</f>
        <v>7.43956043956044</v>
      </c>
      <c r="C62" s="26" t="n">
        <f aca="false">IFERROR(C14/C38,"")</f>
        <v>-8.10224438902743</v>
      </c>
      <c r="D62" s="26" t="n">
        <f aca="false">IFERROR(D14/D38,"")</f>
        <v>12.3001174299614</v>
      </c>
      <c r="E62" s="26" t="n">
        <f aca="false">IFERROR(E14/E38,"")</f>
        <v>4.44327288064108</v>
      </c>
      <c r="F62" s="26" t="n">
        <f aca="false">IFERROR(F14/F38,"")</f>
        <v>2.76195186284207</v>
      </c>
      <c r="G62" s="26" t="n">
        <f aca="false">IFERROR(G14/G38,"")</f>
        <v>1.92613918395711</v>
      </c>
      <c r="H62" s="26" t="n">
        <f aca="false">IFERROR(H14/H38,"")</f>
        <v>2.22859855022437</v>
      </c>
      <c r="I62" s="26" t="n">
        <f aca="false">IFERROR(I14/I38,"")</f>
        <v>1.4541277952276</v>
      </c>
      <c r="J62" s="26" t="n">
        <f aca="false">IFERROR(J14/J38,"")</f>
        <v>-0.271819925668385</v>
      </c>
      <c r="K62" s="26" t="n">
        <f aca="false">IFERROR(K14/K38,"")</f>
        <v>4.25018368846436</v>
      </c>
      <c r="L62" s="26" t="n">
        <f aca="false">IFERROR(L14/L38,"")</f>
        <v>1.20995891536565</v>
      </c>
      <c r="M62" s="26" t="n">
        <f aca="false">IFERROR(M14/M38,"")</f>
        <v>0.645068187955712</v>
      </c>
      <c r="N62" s="26" t="n">
        <f aca="false">IFERROR(N14/N38,"")</f>
        <v>0.144122569846788</v>
      </c>
      <c r="O62" s="26" t="n">
        <f aca="false">IFERROR(O14/O38,"")</f>
        <v>-0.194243337890604</v>
      </c>
      <c r="P62" s="26" t="n">
        <f aca="false">IFERROR(P14/P38,"")</f>
        <v>-0.393208132275096</v>
      </c>
      <c r="Q62" s="26" t="n">
        <f aca="false">IFERROR(Q14/Q38,"")</f>
        <v>-0.015012784760896</v>
      </c>
      <c r="R62" s="26" t="n">
        <f aca="false">IFERROR(R14/R38,"")</f>
        <v>0.253889461451369</v>
      </c>
      <c r="S62" s="26" t="n">
        <f aca="false">IFERROR(S14/S38,"")</f>
        <v>0.416926682753729</v>
      </c>
    </row>
    <row r="63" customFormat="false" ht="15" hidden="false" customHeight="true" outlineLevel="0" collapsed="false">
      <c r="A63" s="22" t="s">
        <v>42</v>
      </c>
      <c r="B63" s="26" t="n">
        <f aca="false">IFERROR(B15/B39,"")</f>
        <v>0.882547169811321</v>
      </c>
      <c r="C63" s="26" t="n">
        <f aca="false">IFERROR(C15/C39,"")</f>
        <v>0.800297113752122</v>
      </c>
      <c r="D63" s="26" t="n">
        <f aca="false">IFERROR(D15/D39,"")</f>
        <v>0.973452410080744</v>
      </c>
      <c r="E63" s="26" t="n">
        <f aca="false">IFERROR(E15/E39,"")</f>
        <v>1.32729232980799</v>
      </c>
      <c r="F63" s="26" t="n">
        <f aca="false">IFERROR(F15/F39,"")</f>
        <v>1.88809034907598</v>
      </c>
      <c r="G63" s="26" t="n">
        <f aca="false">IFERROR(G15/G39,"")</f>
        <v>0.742842269651223</v>
      </c>
      <c r="H63" s="26" t="n">
        <f aca="false">IFERROR(H15/H39,"")</f>
        <v>0.901843170369508</v>
      </c>
      <c r="I63" s="26" t="n">
        <f aca="false">IFERROR(I15/I39,"")</f>
        <v>1.06392013707815</v>
      </c>
      <c r="J63" s="26" t="n">
        <f aca="false">IFERROR(J15/J39,"")</f>
        <v>0.881354148856418</v>
      </c>
      <c r="K63" s="26" t="n">
        <f aca="false">IFERROR(K15/K39,"")</f>
        <v>1.00063362902688</v>
      </c>
      <c r="L63" s="26" t="n">
        <f aca="false">IFERROR(L15/L39,"")</f>
        <v>0.941730469544007</v>
      </c>
      <c r="M63" s="26" t="n">
        <f aca="false">IFERROR(M15/M39,"")</f>
        <v>0.726782396771809</v>
      </c>
      <c r="N63" s="26" t="n">
        <f aca="false">IFERROR(N15/N39,"")</f>
        <v>0.554331542710146</v>
      </c>
      <c r="O63" s="26" t="n">
        <f aca="false">IFERROR(O15/O39,"")</f>
        <v>0.158720003550423</v>
      </c>
      <c r="P63" s="26" t="n">
        <f aca="false">IFERROR(P15/P39,"")</f>
        <v>0.131813659711326</v>
      </c>
      <c r="Q63" s="26" t="n">
        <f aca="false">IFERROR(Q15/Q39,"")</f>
        <v>0.321147830374679</v>
      </c>
      <c r="R63" s="26" t="n">
        <f aca="false">IFERROR(R15/R39,"")</f>
        <v>0.499834421292195</v>
      </c>
      <c r="S63" s="26" t="n">
        <f aca="false">IFERROR(S15/S39,"")</f>
        <v>0.616721256375016</v>
      </c>
    </row>
    <row r="64" customFormat="false" ht="15" hidden="false" customHeight="true" outlineLevel="0" collapsed="false">
      <c r="A64" s="22" t="s">
        <v>48</v>
      </c>
      <c r="B64" s="26" t="n">
        <f aca="false">IFERROR(B16/B40,"")</f>
        <v>1.91817572099262</v>
      </c>
      <c r="C64" s="26" t="n">
        <f aca="false">IFERROR(C16/C40,"")</f>
        <v>1.25711159737418</v>
      </c>
      <c r="D64" s="26" t="n">
        <f aca="false">IFERROR(D16/D40,"")</f>
        <v>1.65821749795585</v>
      </c>
      <c r="E64" s="26" t="n">
        <f aca="false">IFERROR(E16/E40,"")</f>
        <v>1.13573896654625</v>
      </c>
      <c r="F64" s="26" t="n">
        <f aca="false">IFERROR(F16/F40,"")</f>
        <v>1.09831019536403</v>
      </c>
      <c r="G64" s="26" t="n">
        <f aca="false">IFERROR(G16/G40,"")</f>
        <v>0.6946002170767</v>
      </c>
      <c r="H64" s="26" t="n">
        <f aca="false">IFERROR(H16/H40,"")</f>
        <v>1.14747491141226</v>
      </c>
      <c r="I64" s="26" t="n">
        <f aca="false">IFERROR(I16/I40,"")</f>
        <v>0.810842340024018</v>
      </c>
      <c r="J64" s="26" t="n">
        <f aca="false">IFERROR(J16/J40,"")</f>
        <v>0.993548387096774</v>
      </c>
      <c r="K64" s="26" t="n">
        <f aca="false">IFERROR(K16/K40,"")</f>
        <v>0.831458252510884</v>
      </c>
      <c r="L64" s="26" t="n">
        <f aca="false">IFERROR(L16/L40,"")</f>
        <v>1.12714530526639</v>
      </c>
      <c r="M64" s="26" t="n">
        <f aca="false">IFERROR(M16/M40,"")</f>
        <v>0.867094291212316</v>
      </c>
      <c r="N64" s="26" t="n">
        <f aca="false">IFERROR(N16/N40,"")</f>
        <v>0.762661682490324</v>
      </c>
      <c r="O64" s="26" t="n">
        <f aca="false">IFERROR(O16/O40,"")</f>
        <v>0.520697607890434</v>
      </c>
      <c r="P64" s="26" t="n">
        <f aca="false">IFERROR(P16/P40,"")</f>
        <v>0.443046331027302</v>
      </c>
      <c r="Q64" s="26" t="n">
        <f aca="false">IFERROR(Q16/Q40,"")</f>
        <v>0.557257900735515</v>
      </c>
      <c r="R64" s="26" t="n">
        <f aca="false">IFERROR(R16/R40,"")</f>
        <v>0.710248475353161</v>
      </c>
      <c r="S64" s="26" t="n">
        <f aca="false">IFERROR(S16/S40,"")</f>
        <v>0.828908745452131</v>
      </c>
    </row>
    <row r="65" customFormat="false" ht="15" hidden="false" customHeight="true" outlineLevel="0" collapsed="false">
      <c r="A65" s="22" t="s">
        <v>55</v>
      </c>
      <c r="B65" s="26" t="n">
        <f aca="false">IFERROR(B17/B41,"")</f>
        <v>1.24244920373421</v>
      </c>
      <c r="C65" s="26" t="n">
        <f aca="false">IFERROR(C17/C41,"")</f>
        <v>1.30908261068005</v>
      </c>
      <c r="D65" s="26" t="n">
        <f aca="false">IFERROR(D17/D41,"")</f>
        <v>1.30257597102033</v>
      </c>
      <c r="E65" s="26" t="n">
        <f aca="false">IFERROR(E17/E41,"")</f>
        <v>1.39</v>
      </c>
      <c r="F65" s="26" t="n">
        <f aca="false">IFERROR(F17/F41,"")</f>
        <v>1.29676451682023</v>
      </c>
      <c r="G65" s="26" t="n">
        <f aca="false">IFERROR(G17/G41,"")</f>
        <v>3.80540841929189</v>
      </c>
      <c r="H65" s="26" t="n">
        <f aca="false">IFERROR(H17/H41,"")</f>
        <v>1.16313272579626</v>
      </c>
      <c r="I65" s="26" t="n">
        <f aca="false">IFERROR(I17/I41,"")</f>
        <v>1.14208189442526</v>
      </c>
      <c r="J65" s="26" t="n">
        <f aca="false">IFERROR(J17/J41,"")</f>
        <v>1.00043645886375</v>
      </c>
      <c r="K65" s="26" t="n">
        <f aca="false">IFERROR(K17/K41,"")</f>
        <v>0.748585888657338</v>
      </c>
      <c r="L65" s="26" t="n">
        <f aca="false">IFERROR(L17/L41,"")</f>
        <v>0.996119473189087</v>
      </c>
      <c r="M65" s="26" t="n">
        <f aca="false">IFERROR(M17/M41,"")</f>
        <v>1.12802140059234</v>
      </c>
      <c r="N65" s="26" t="n">
        <f aca="false">IFERROR(N17/N41,"")</f>
        <v>-0.0316643896166519</v>
      </c>
      <c r="O65" s="26" t="n">
        <f aca="false">IFERROR(O17/O41,"")</f>
        <v>-1.670285167077</v>
      </c>
      <c r="P65" s="26" t="n">
        <f aca="false">IFERROR(P17/P41,"")</f>
        <v>-1.38044540563193</v>
      </c>
      <c r="Q65" s="26" t="n">
        <f aca="false">IFERROR(Q17/Q41,"")</f>
        <v>-0.737079979355155</v>
      </c>
      <c r="R65" s="26" t="n">
        <f aca="false">IFERROR(R17/R41,"")</f>
        <v>-0.364495182857611</v>
      </c>
      <c r="S65" s="26" t="n">
        <f aca="false">IFERROR(S17/S41,"")</f>
        <v>0.419555110954715</v>
      </c>
    </row>
    <row r="67" customFormat="false" ht="15" hidden="false" customHeight="true" outlineLevel="0" collapsed="false">
      <c r="A67" s="21" t="s">
        <v>101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customFormat="false" ht="15" hidden="false" customHeight="true" outlineLevel="0" collapsed="false">
      <c r="A68" s="4" t="s">
        <v>76</v>
      </c>
      <c r="B68" s="4" t="s">
        <v>3</v>
      </c>
      <c r="C68" s="4" t="s">
        <v>4</v>
      </c>
      <c r="D68" s="4" t="s">
        <v>5</v>
      </c>
      <c r="E68" s="4" t="s">
        <v>6</v>
      </c>
      <c r="F68" s="4" t="s">
        <v>7</v>
      </c>
      <c r="G68" s="4" t="s">
        <v>8</v>
      </c>
      <c r="H68" s="4" t="s">
        <v>9</v>
      </c>
      <c r="I68" s="4" t="s">
        <v>10</v>
      </c>
      <c r="J68" s="4" t="s">
        <v>11</v>
      </c>
      <c r="K68" s="4" t="s">
        <v>12</v>
      </c>
      <c r="L68" s="4" t="s">
        <v>13</v>
      </c>
      <c r="M68" s="4" t="s">
        <v>14</v>
      </c>
      <c r="N68" s="4" t="s">
        <v>15</v>
      </c>
      <c r="O68" s="4" t="s">
        <v>16</v>
      </c>
      <c r="P68" s="4" t="s">
        <v>17</v>
      </c>
      <c r="Q68" s="4" t="s">
        <v>18</v>
      </c>
      <c r="R68" s="4" t="s">
        <v>19</v>
      </c>
      <c r="S68" s="4" t="s">
        <v>20</v>
      </c>
    </row>
    <row r="69" customFormat="false" ht="15" hidden="false" customHeight="true" outlineLevel="0" collapsed="false">
      <c r="A69" s="22" t="s">
        <v>22</v>
      </c>
      <c r="B69" s="27" t="n">
        <f aca="false">IFERROR(B45/B5,"")</f>
        <v>0.147643325356363</v>
      </c>
      <c r="C69" s="27" t="n">
        <f aca="false">IFERROR(C45/C5,"")</f>
        <v>0.170177779156712</v>
      </c>
      <c r="D69" s="27" t="n">
        <f aca="false">IFERROR(D45/D5,"")</f>
        <v>0.204401650618982</v>
      </c>
      <c r="E69" s="27" t="n">
        <f aca="false">IFERROR(E45/E5,"")</f>
        <v>0.268027006751688</v>
      </c>
      <c r="F69" s="27" t="n">
        <f aca="false">IFERROR(F45/F5,"")</f>
        <v>0.2581820943124</v>
      </c>
      <c r="G69" s="27" t="n">
        <f aca="false">IFERROR(G45/G5,"")</f>
        <v>0.309907939112205</v>
      </c>
      <c r="H69" s="27" t="n">
        <f aca="false">IFERROR(H45/H5,"")</f>
        <v>0.323847848998754</v>
      </c>
      <c r="I69" s="27" t="n">
        <f aca="false">IFERROR(I45/I5,"")</f>
        <v>0.313143798928719</v>
      </c>
      <c r="J69" s="27" t="n">
        <f aca="false">IFERROR(J45/J5,"")</f>
        <v>0.315350534271566</v>
      </c>
      <c r="K69" s="27" t="n">
        <f aca="false">IFERROR(K45/K5,"")</f>
        <v>0.327960914247206</v>
      </c>
      <c r="L69" s="27" t="n">
        <f aca="false">IFERROR(L45/L5,"")</f>
        <v>0.364230092941472</v>
      </c>
      <c r="M69" s="27" t="n">
        <f aca="false">IFERROR(M45/M5,"")</f>
        <v>0.469851874346256</v>
      </c>
      <c r="N69" s="27" t="n">
        <f aca="false">IFERROR(N45/N5,"")</f>
        <v>0.647757817893392</v>
      </c>
      <c r="O69" s="27" t="n">
        <f aca="false">IFERROR(O45/O5,"")</f>
        <v>0.835660064741738</v>
      </c>
      <c r="P69" s="27" t="n">
        <f aca="false">IFERROR(P45/P5,"")</f>
        <v>1.05672467009379</v>
      </c>
      <c r="Q69" s="27" t="n">
        <f aca="false">IFERROR(Q45/Q5,"")</f>
        <v>0.973486808838704</v>
      </c>
      <c r="R69" s="27" t="n">
        <f aca="false">IFERROR(R45/R5,"")</f>
        <v>0.83467884493543</v>
      </c>
      <c r="S69" s="27" t="n">
        <f aca="false">IFERROR(S45/S5,"")</f>
        <v>0.694599940850382</v>
      </c>
    </row>
    <row r="70" customFormat="false" ht="15" hidden="false" customHeight="true" outlineLevel="0" collapsed="false">
      <c r="A70" s="22" t="s">
        <v>38</v>
      </c>
      <c r="B70" s="27" t="n">
        <f aca="false">IFERROR(B46/B6,"")</f>
        <v>0.62897332846182</v>
      </c>
      <c r="C70" s="27" t="n">
        <f aca="false">IFERROR(C46/C6,"")</f>
        <v>0.715058321396206</v>
      </c>
      <c r="D70" s="27" t="n">
        <f aca="false">IFERROR(D46/D6,"")</f>
        <v>0.384896099864934</v>
      </c>
      <c r="E70" s="27" t="n">
        <f aca="false">IFERROR(E46/E6,"")</f>
        <v>0.390017949163337</v>
      </c>
      <c r="F70" s="27" t="n">
        <f aca="false">IFERROR(F46/F6,"")</f>
        <v>0.545567972225236</v>
      </c>
      <c r="G70" s="27" t="n">
        <f aca="false">IFERROR(G46/G6,"")</f>
        <v>0.368506704856139</v>
      </c>
      <c r="H70" s="27" t="n">
        <f aca="false">IFERROR(H46/H6,"")</f>
        <v>0.329482019992211</v>
      </c>
      <c r="I70" s="27" t="n">
        <f aca="false">IFERROR(I46/I6,"")</f>
        <v>0.53048558973117</v>
      </c>
      <c r="J70" s="27" t="n">
        <f aca="false">IFERROR(J46/J6,"")</f>
        <v>1.19576057158892</v>
      </c>
      <c r="K70" s="27" t="n">
        <f aca="false">IFERROR(K46/K6,"")</f>
        <v>1.24745465434634</v>
      </c>
      <c r="L70" s="27" t="n">
        <f aca="false">IFERROR(L46/L6,"")</f>
        <v>0.566630565300308</v>
      </c>
      <c r="M70" s="27" t="n">
        <f aca="false">IFERROR(M46/M6,"")</f>
        <v>0.67017613503974</v>
      </c>
      <c r="N70" s="27" t="n">
        <f aca="false">IFERROR(N46/N6,"")</f>
        <v>0.919764324727268</v>
      </c>
      <c r="O70" s="27" t="n">
        <f aca="false">IFERROR(O46/O6,"")</f>
        <v>1.10552605073327</v>
      </c>
      <c r="P70" s="27" t="n">
        <f aca="false">IFERROR(P46/P6,"")</f>
        <v>1.20360571492985</v>
      </c>
      <c r="Q70" s="27" t="n">
        <f aca="false">IFERROR(Q46/Q6,"")</f>
        <v>1.00773470271666</v>
      </c>
      <c r="R70" s="27" t="n">
        <f aca="false">IFERROR(R46/R6,"")</f>
        <v>0.86878273673552</v>
      </c>
      <c r="S70" s="27" t="n">
        <f aca="false">IFERROR(S46/S6,"")</f>
        <v>0.779701033017295</v>
      </c>
    </row>
    <row r="71" customFormat="false" ht="15" hidden="false" customHeight="true" outlineLevel="0" collapsed="false">
      <c r="A71" s="22" t="s">
        <v>42</v>
      </c>
      <c r="B71" s="27" t="n">
        <f aca="false">IFERROR(B47/B7,"")</f>
        <v>0.395931984502798</v>
      </c>
      <c r="C71" s="27" t="n">
        <f aca="false">IFERROR(C47/C7,"")</f>
        <v>0.492052801724138</v>
      </c>
      <c r="D71" s="27" t="n">
        <f aca="false">IFERROR(D47/D7,"")</f>
        <v>0.383870842851059</v>
      </c>
      <c r="E71" s="27" t="n">
        <f aca="false">IFERROR(E47/E7,"")</f>
        <v>0.282578532578533</v>
      </c>
      <c r="F71" s="27" t="n">
        <f aca="false">IFERROR(F47/F7,"")</f>
        <v>0.355450109190909</v>
      </c>
      <c r="G71" s="27" t="n">
        <f aca="false">IFERROR(G47/G7,"")</f>
        <v>0.524045777657335</v>
      </c>
      <c r="H71" s="27" t="n">
        <f aca="false">IFERROR(H47/H7,"")</f>
        <v>0.431914893617021</v>
      </c>
      <c r="I71" s="27" t="n">
        <f aca="false">IFERROR(I47/I7,"")</f>
        <v>0.342131932927953</v>
      </c>
      <c r="J71" s="27" t="n">
        <f aca="false">IFERROR(J47/J7,"")</f>
        <v>0.268843014882381</v>
      </c>
      <c r="K71" s="27" t="n">
        <f aca="false">IFERROR(K47/K7,"")</f>
        <v>0.344117164872397</v>
      </c>
      <c r="L71" s="27" t="n">
        <f aca="false">IFERROR(L47/L7,"")</f>
        <v>0.316975605920626</v>
      </c>
      <c r="M71" s="27" t="n">
        <f aca="false">IFERROR(M47/M7,"")</f>
        <v>0.419277089202627</v>
      </c>
      <c r="N71" s="27" t="n">
        <f aca="false">IFERROR(N47/N7,"")</f>
        <v>0.55518993643489</v>
      </c>
      <c r="O71" s="27" t="n">
        <f aca="false">IFERROR(O47/O7,"")</f>
        <v>0.873806492492151</v>
      </c>
      <c r="P71" s="27" t="n">
        <f aca="false">IFERROR(P47/P7,"")</f>
        <v>0.918475193982593</v>
      </c>
      <c r="Q71" s="27" t="n">
        <f aca="false">IFERROR(Q47/Q7,"")</f>
        <v>0.808232897135465</v>
      </c>
      <c r="R71" s="27" t="n">
        <f aca="false">IFERROR(R47/R7,"")</f>
        <v>0.706046425824751</v>
      </c>
      <c r="S71" s="27" t="n">
        <f aca="false">IFERROR(S47/S7,"")</f>
        <v>0.64070266641283</v>
      </c>
    </row>
    <row r="72" customFormat="false" ht="15" hidden="false" customHeight="true" outlineLevel="0" collapsed="false">
      <c r="A72" s="22" t="s">
        <v>48</v>
      </c>
      <c r="B72" s="27" t="n">
        <f aca="false">IFERROR(B48/B8,"")</f>
        <v>0.322595926101374</v>
      </c>
      <c r="C72" s="27" t="n">
        <f aca="false">IFERROR(C48/C8,"")</f>
        <v>0.332437633901013</v>
      </c>
      <c r="D72" s="27" t="n">
        <f aca="false">IFERROR(D48/D8,"")</f>
        <v>0.293133495991635</v>
      </c>
      <c r="E72" s="27" t="n">
        <f aca="false">IFERROR(E48/E8,"")</f>
        <v>0.279621443247618</v>
      </c>
      <c r="F72" s="27" t="n">
        <f aca="false">IFERROR(F48/F8,"")</f>
        <v>0.277998017839445</v>
      </c>
      <c r="G72" s="27" t="n">
        <f aca="false">IFERROR(G48/G8,"")</f>
        <v>0.476498858175125</v>
      </c>
      <c r="H72" s="27" t="n">
        <f aca="false">IFERROR(H48/H8,"")</f>
        <v>0.415889845094664</v>
      </c>
      <c r="I72" s="27" t="n">
        <f aca="false">IFERROR(I48/I8,"")</f>
        <v>0.390094717010349</v>
      </c>
      <c r="J72" s="27" t="n">
        <f aca="false">IFERROR(J48/J8,"")</f>
        <v>0.321879929962034</v>
      </c>
      <c r="K72" s="27" t="n">
        <f aca="false">IFERROR(K48/K8,"")</f>
        <v>0.617850421000495</v>
      </c>
      <c r="L72" s="27" t="n">
        <f aca="false">IFERROR(L48/L8,"")</f>
        <v>0.380310210510033</v>
      </c>
      <c r="M72" s="27" t="n">
        <f aca="false">IFERROR(M48/M8,"")</f>
        <v>0.407936229852838</v>
      </c>
      <c r="N72" s="27" t="n">
        <f aca="false">IFERROR(N48/N8,"")</f>
        <v>0.601822107081175</v>
      </c>
      <c r="O72" s="27" t="n">
        <f aca="false">IFERROR(O48/O8,"")</f>
        <v>0.752195442967637</v>
      </c>
      <c r="P72" s="27" t="n">
        <f aca="false">IFERROR(P48/P8,"")</f>
        <v>0.804037166666602</v>
      </c>
      <c r="Q72" s="27" t="n">
        <f aca="false">IFERROR(Q48/Q8,"")</f>
        <v>0.763001695251729</v>
      </c>
      <c r="R72" s="27" t="n">
        <f aca="false">IFERROR(R48/R8,"")</f>
        <v>0.705107212855694</v>
      </c>
      <c r="S72" s="27" t="n">
        <f aca="false">IFERROR(S48/S8,"")</f>
        <v>0.663130685781995</v>
      </c>
    </row>
    <row r="73" customFormat="false" ht="15" hidden="false" customHeight="true" outlineLevel="0" collapsed="false">
      <c r="A73" s="22" t="s">
        <v>55</v>
      </c>
      <c r="B73" s="27" t="n">
        <f aca="false">IFERROR(B49/B9,"")</f>
        <v>0.0456942003514939</v>
      </c>
      <c r="C73" s="27" t="n">
        <f aca="false">IFERROR(C49/C9,"")</f>
        <v>0.0388713893170699</v>
      </c>
      <c r="D73" s="27" t="n">
        <f aca="false">IFERROR(D49/D9,"")</f>
        <v>0.0970284598214286</v>
      </c>
      <c r="E73" s="27" t="n">
        <f aca="false">IFERROR(E49/E9,"")</f>
        <v>0.0876843657817109</v>
      </c>
      <c r="F73" s="27" t="n">
        <f aca="false">IFERROR(F49/F9,"")</f>
        <v>0.143079646017699</v>
      </c>
      <c r="G73" s="27" t="n">
        <f aca="false">IFERROR(G49/G9,"")</f>
        <v>0.112829845313922</v>
      </c>
      <c r="H73" s="27" t="n">
        <f aca="false">IFERROR(H49/H9,"")</f>
        <v>0.114081506425675</v>
      </c>
      <c r="I73" s="27" t="n">
        <f aca="false">IFERROR(I49/I9,"")</f>
        <v>0.119034934165462</v>
      </c>
      <c r="J73" s="27" t="n">
        <f aca="false">IFERROR(J49/J9,"")</f>
        <v>0.134378147029204</v>
      </c>
      <c r="K73" s="27" t="n">
        <f aca="false">IFERROR(K49/K9,"")</f>
        <v>0.472851153039832</v>
      </c>
      <c r="L73" s="27" t="n">
        <f aca="false">IFERROR(L49/L9,"")</f>
        <v>0.506524525224281</v>
      </c>
      <c r="M73" s="27" t="n">
        <f aca="false">IFERROR(M49/M9,"")</f>
        <v>0.367696674342634</v>
      </c>
      <c r="N73" s="27" t="n">
        <f aca="false">IFERROR(N49/N9,"")</f>
        <v>1.0189232025359</v>
      </c>
      <c r="O73" s="27" t="n">
        <f aca="false">IFERROR(O49/O9,"")</f>
        <v>2.03801129504969</v>
      </c>
      <c r="P73" s="27" t="n">
        <f aca="false">IFERROR(P49/P9,"")</f>
        <v>1.54748091521494</v>
      </c>
      <c r="Q73" s="27" t="n">
        <f aca="false">IFERROR(Q49/Q9,"")</f>
        <v>1.39368399425926</v>
      </c>
      <c r="R73" s="27" t="n">
        <f aca="false">IFERROR(R49/R9,"")</f>
        <v>1.21824464244996</v>
      </c>
      <c r="S73" s="27" t="n">
        <f aca="false">IFERROR(S49/S9,"")</f>
        <v>0.782210890903125</v>
      </c>
    </row>
  </sheetData>
  <mergeCells count="10">
    <mergeCell ref="A1:S1"/>
    <mergeCell ref="A3:S3"/>
    <mergeCell ref="A11:S11"/>
    <mergeCell ref="A19:S19"/>
    <mergeCell ref="A27:S27"/>
    <mergeCell ref="A35:S35"/>
    <mergeCell ref="A43:S43"/>
    <mergeCell ref="A51:S51"/>
    <mergeCell ref="A59:S59"/>
    <mergeCell ref="A67:S67"/>
  </mergeCells>
  <conditionalFormatting sqref="B53:S57">
    <cfRule type="colorScale" priority="2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conditionalFormatting sqref="B61:S65">
    <cfRule type="colorScale" priority="3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conditionalFormatting sqref="B69:S73">
    <cfRule type="colorScale" priority="4">
      <colorScale>
        <cfvo type="num" val="0.05"/>
        <cfvo type="num" val="0.25"/>
        <cfvo type="num" val="0.6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0" min="2" style="1" width="10"/>
  </cols>
  <sheetData>
    <row r="1" customFormat="false" ht="25.5" hidden="false" customHeight="true" outlineLevel="0" collapsed="false">
      <c r="A1" s="20" t="s">
        <v>102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3" customFormat="false" ht="15" hidden="false" customHeight="true" outlineLevel="0" collapsed="false">
      <c r="A3" s="21" t="s">
        <v>103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customFormat="false" ht="15" hidden="false" customHeight="true" outlineLevel="0" collapsed="false">
      <c r="A4" s="4" t="s">
        <v>76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</row>
    <row r="5" customFormat="false" ht="15" hidden="false" customHeight="true" outlineLevel="0" collapsed="false">
      <c r="A5" s="22" t="s">
        <v>22</v>
      </c>
      <c r="B5" s="23" t="n">
        <f aca="false">'0. Database'!C6</f>
        <v>26764</v>
      </c>
      <c r="C5" s="23" t="n">
        <f aca="false">'0. Database'!D6</f>
        <v>27759</v>
      </c>
      <c r="D5" s="23" t="n">
        <f aca="false">'0. Database'!E6</f>
        <v>18161</v>
      </c>
      <c r="E5" s="23" t="n">
        <f aca="false">'0. Database'!F6</f>
        <v>20182</v>
      </c>
      <c r="F5" s="23" t="n">
        <f aca="false">'0. Database'!G6</f>
        <v>29025</v>
      </c>
      <c r="G5" s="23" t="n">
        <f aca="false">'0. Database'!H6</f>
        <v>35058</v>
      </c>
      <c r="H5" s="23" t="n">
        <f aca="false">'0. Database'!I6</f>
        <v>42959</v>
      </c>
      <c r="I5" s="23" t="n">
        <f aca="false">'0. Database'!J6</f>
        <v>52959</v>
      </c>
      <c r="J5" s="23" t="n">
        <f aca="false">'0. Database'!K6</f>
        <v>69916</v>
      </c>
      <c r="K5" s="23" t="n">
        <f aca="false">'0. Database'!L6</f>
        <v>83383</v>
      </c>
      <c r="L5" s="23" t="n">
        <f aca="false">'0. Database'!M6</f>
        <v>88523</v>
      </c>
      <c r="M5" s="23" t="n">
        <f aca="false">'0. Database'!N6</f>
        <v>109433</v>
      </c>
      <c r="N5" s="23" t="n">
        <f aca="false">'0. Database'!O6</f>
        <v>128528</v>
      </c>
      <c r="O5" s="23" t="n">
        <f aca="false">'0. Database'!P6</f>
        <v>153454.1</v>
      </c>
      <c r="P5" s="23" t="n">
        <f aca="false">'0. Database'!Q6</f>
        <v>179274.53</v>
      </c>
      <c r="Q5" s="23" t="n">
        <f aca="false">'0. Database'!R6</f>
        <v>217551.82</v>
      </c>
      <c r="R5" s="23" t="n">
        <f aca="false">'0. Database'!S6</f>
        <v>266239.28</v>
      </c>
      <c r="S5" s="23" t="n">
        <f aca="false">'0. Database'!T6</f>
        <v>318436.19</v>
      </c>
    </row>
    <row r="6" customFormat="false" ht="15" hidden="false" customHeight="true" outlineLevel="0" collapsed="false">
      <c r="A6" s="22" t="s">
        <v>38</v>
      </c>
      <c r="B6" s="23" t="n">
        <f aca="false">'0. Database'!C22</f>
        <v>745</v>
      </c>
      <c r="C6" s="23" t="n">
        <f aca="false">'0. Database'!D22</f>
        <v>178.4</v>
      </c>
      <c r="D6" s="23" t="n">
        <f aca="false">'0. Database'!E22</f>
        <v>2232.6</v>
      </c>
      <c r="E6" s="23" t="n">
        <f aca="false">'0. Database'!F22</f>
        <v>4186</v>
      </c>
      <c r="F6" s="23" t="n">
        <f aca="false">'0. Database'!G22</f>
        <v>4107</v>
      </c>
      <c r="G6" s="23" t="n">
        <f aca="false">'0. Database'!H22</f>
        <v>12420</v>
      </c>
      <c r="H6" s="23" t="n">
        <f aca="false">'0. Database'!I22</f>
        <v>14540</v>
      </c>
      <c r="I6" s="23" t="n">
        <f aca="false">'0. Database'!J22</f>
        <v>22899</v>
      </c>
      <c r="J6" s="23" t="n">
        <f aca="false">'0. Database'!K22</f>
        <v>24879</v>
      </c>
      <c r="K6" s="23" t="n">
        <f aca="false">'0. Database'!L22</f>
        <v>12248</v>
      </c>
      <c r="L6" s="23" t="n">
        <f aca="false">'0. Database'!M22</f>
        <v>36852</v>
      </c>
      <c r="M6" s="23" t="n">
        <f aca="false">'0. Database'!N22</f>
        <v>68593</v>
      </c>
      <c r="N6" s="23" t="n">
        <f aca="false">'0. Database'!O22</f>
        <v>79975</v>
      </c>
      <c r="O6" s="23" t="n">
        <f aca="false">'0. Database'!P22</f>
        <v>109001.86</v>
      </c>
      <c r="P6" s="23" t="n">
        <f aca="false">'0. Database'!Q22</f>
        <v>146127.4</v>
      </c>
      <c r="Q6" s="23" t="n">
        <f aca="false">'0. Database'!R22</f>
        <v>183469.22</v>
      </c>
      <c r="R6" s="23" t="n">
        <f aca="false">'0. Database'!S22</f>
        <v>223208.87</v>
      </c>
      <c r="S6" s="23" t="n">
        <f aca="false">'0. Database'!T22</f>
        <v>264582.39</v>
      </c>
    </row>
    <row r="7" customFormat="false" ht="15" hidden="false" customHeight="true" outlineLevel="0" collapsed="false">
      <c r="A7" s="22" t="s">
        <v>42</v>
      </c>
      <c r="B7" s="23" t="n">
        <f aca="false">'0. Database'!C37</f>
        <v>15403</v>
      </c>
      <c r="C7" s="23" t="n">
        <f aca="false">'0. Database'!D37</f>
        <v>16496</v>
      </c>
      <c r="D7" s="23" t="n">
        <f aca="false">'0. Database'!E37</f>
        <v>19360</v>
      </c>
      <c r="E7" s="23" t="n">
        <f aca="false">'0. Database'!F37</f>
        <v>23716</v>
      </c>
      <c r="F7" s="23" t="n">
        <f aca="false">'0. Database'!G37</f>
        <v>26146</v>
      </c>
      <c r="G7" s="23" t="n">
        <f aca="false">'0. Database'!H37</f>
        <v>26953</v>
      </c>
      <c r="H7" s="23" t="n">
        <f aca="false">'0. Database'!I37</f>
        <v>34231</v>
      </c>
      <c r="I7" s="23" t="n">
        <f aca="false">'0. Database'!J37</f>
        <v>41224</v>
      </c>
      <c r="J7" s="23" t="n">
        <f aca="false">'0. Database'!K37</f>
        <v>78714</v>
      </c>
      <c r="K7" s="23" t="n">
        <f aca="false">'0. Database'!L37</f>
        <v>74842</v>
      </c>
      <c r="L7" s="23" t="n">
        <f aca="false">'0. Database'!M37</f>
        <v>84293</v>
      </c>
      <c r="M7" s="23" t="n">
        <f aca="false">'0. Database'!N37</f>
        <v>112390</v>
      </c>
      <c r="N7" s="23" t="n">
        <f aca="false">'0. Database'!O37</f>
        <v>129039</v>
      </c>
      <c r="O7" s="23" t="n">
        <f aca="false">'0. Database'!P37</f>
        <v>167318.21</v>
      </c>
      <c r="P7" s="23" t="n">
        <f aca="false">'0. Database'!Q37</f>
        <v>210287.33</v>
      </c>
      <c r="Q7" s="23" t="n">
        <f aca="false">'0. Database'!R37</f>
        <v>253779.42</v>
      </c>
      <c r="R7" s="23" t="n">
        <f aca="false">'0. Database'!S37</f>
        <v>298519.7</v>
      </c>
      <c r="S7" s="23" t="n">
        <f aca="false">'0. Database'!T37</f>
        <v>338347.07</v>
      </c>
    </row>
    <row r="8" customFormat="false" ht="15" hidden="false" customHeight="true" outlineLevel="0" collapsed="false">
      <c r="A8" s="22" t="s">
        <v>48</v>
      </c>
      <c r="B8" s="23" t="n">
        <f aca="false">'0. Database'!C54</f>
        <v>2804</v>
      </c>
      <c r="C8" s="23" t="n">
        <f aca="false">'0. Database'!D54</f>
        <v>4994.8</v>
      </c>
      <c r="D8" s="23" t="n">
        <f aca="false">'0. Database'!E54</f>
        <v>6225</v>
      </c>
      <c r="E8" s="23" t="n">
        <f aca="false">'0. Database'!F54</f>
        <v>12427</v>
      </c>
      <c r="F8" s="23" t="n">
        <f aca="false">'0. Database'!G54</f>
        <v>20202</v>
      </c>
      <c r="G8" s="23" t="n">
        <f aca="false">'0. Database'!H54</f>
        <v>24913</v>
      </c>
      <c r="H8" s="23" t="n">
        <f aca="false">'0. Database'!I54</f>
        <v>23985.5</v>
      </c>
      <c r="I8" s="23" t="n">
        <f aca="false">'0. Database'!J54</f>
        <v>32671</v>
      </c>
      <c r="J8" s="23" t="n">
        <f aca="false">'0. Database'!K54</f>
        <v>46753</v>
      </c>
      <c r="K8" s="23" t="n">
        <f aca="false">'0. Database'!L54</f>
        <v>28945</v>
      </c>
      <c r="L8" s="23" t="n">
        <f aca="false">'0. Database'!M54</f>
        <v>46751</v>
      </c>
      <c r="M8" s="23" t="n">
        <f aca="false">'0. Database'!N54</f>
        <v>69380</v>
      </c>
      <c r="N8" s="23" t="n">
        <f aca="false">'0. Database'!O54</f>
        <v>83276</v>
      </c>
      <c r="O8" s="23" t="n">
        <f aca="false">'0. Database'!P54</f>
        <v>90489.79</v>
      </c>
      <c r="P8" s="23" t="n">
        <f aca="false">'0. Database'!Q54</f>
        <v>104437.61</v>
      </c>
      <c r="Q8" s="23" t="n">
        <f aca="false">'0. Database'!R54</f>
        <v>118413.08</v>
      </c>
      <c r="R8" s="23" t="n">
        <f aca="false">'0. Database'!S54</f>
        <v>131523.75</v>
      </c>
      <c r="S8" s="23" t="n">
        <f aca="false">'0. Database'!T54</f>
        <v>142814.67</v>
      </c>
    </row>
    <row r="9" customFormat="false" ht="15" hidden="false" customHeight="true" outlineLevel="0" collapsed="false">
      <c r="A9" s="22" t="s">
        <v>55</v>
      </c>
      <c r="B9" s="23" t="n">
        <f aca="false">'0. Database'!C72</f>
        <v>14684</v>
      </c>
      <c r="C9" s="23" t="n">
        <f aca="false">'0. Database'!D72</f>
        <v>14758</v>
      </c>
      <c r="D9" s="23" t="n">
        <f aca="false">'0. Database'!E72</f>
        <v>13870</v>
      </c>
      <c r="E9" s="23" t="n">
        <f aca="false">'0. Database'!F72</f>
        <v>12604</v>
      </c>
      <c r="F9" s="23" t="n">
        <f aca="false">'0. Database'!G72</f>
        <v>12710</v>
      </c>
      <c r="G9" s="23" t="n">
        <f aca="false">'0. Database'!H72</f>
        <v>13264</v>
      </c>
      <c r="H9" s="23" t="n">
        <f aca="false">'0. Database'!I72</f>
        <v>13535</v>
      </c>
      <c r="I9" s="23" t="n">
        <f aca="false">'0. Database'!J72</f>
        <v>13897</v>
      </c>
      <c r="J9" s="23" t="n">
        <f aca="false">'0. Database'!K72</f>
        <v>15214</v>
      </c>
      <c r="K9" s="23" t="n">
        <f aca="false">'0. Database'!L72</f>
        <v>10927</v>
      </c>
      <c r="L9" s="23" t="n">
        <f aca="false">'0. Database'!M72</f>
        <v>13094</v>
      </c>
      <c r="M9" s="23" t="n">
        <f aca="false">'0. Database'!N72</f>
        <v>15354</v>
      </c>
      <c r="N9" s="23" t="n">
        <f aca="false">'0. Database'!O72</f>
        <v>17678</v>
      </c>
      <c r="O9" s="23" t="n">
        <f aca="false">'0. Database'!P72</f>
        <v>19462.44</v>
      </c>
      <c r="P9" s="23" t="n">
        <f aca="false">'0. Database'!Q72</f>
        <v>21128.19</v>
      </c>
      <c r="Q9" s="23" t="n">
        <f aca="false">'0. Database'!R72</f>
        <v>36930.86</v>
      </c>
      <c r="R9" s="23" t="n">
        <f aca="false">'0. Database'!S72</f>
        <v>53057.71</v>
      </c>
      <c r="S9" s="23" t="n">
        <f aca="false">'0. Database'!T72</f>
        <v>57952.82</v>
      </c>
    </row>
    <row r="11" customFormat="false" ht="15" hidden="false" customHeight="true" outlineLevel="0" collapsed="false">
      <c r="A11" s="21" t="s">
        <v>104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customFormat="false" ht="15" hidden="false" customHeight="true" outlineLevel="0" collapsed="false">
      <c r="A12" s="4" t="s">
        <v>76</v>
      </c>
      <c r="B12" s="4" t="s">
        <v>3</v>
      </c>
      <c r="C12" s="4" t="s">
        <v>4</v>
      </c>
      <c r="D12" s="4" t="s">
        <v>5</v>
      </c>
      <c r="E12" s="4" t="s">
        <v>6</v>
      </c>
      <c r="F12" s="4" t="s">
        <v>7</v>
      </c>
      <c r="G12" s="4" t="s">
        <v>8</v>
      </c>
      <c r="H12" s="4" t="s">
        <v>9</v>
      </c>
      <c r="I12" s="4" t="s">
        <v>10</v>
      </c>
      <c r="J12" s="4" t="s">
        <v>11</v>
      </c>
      <c r="K12" s="4" t="s">
        <v>12</v>
      </c>
      <c r="L12" s="4" t="s">
        <v>13</v>
      </c>
      <c r="M12" s="4" t="s">
        <v>14</v>
      </c>
      <c r="N12" s="4" t="s">
        <v>15</v>
      </c>
      <c r="O12" s="4" t="s">
        <v>16</v>
      </c>
      <c r="P12" s="4" t="s">
        <v>17</v>
      </c>
      <c r="Q12" s="4" t="s">
        <v>18</v>
      </c>
      <c r="R12" s="4" t="s">
        <v>19</v>
      </c>
      <c r="S12" s="4" t="s">
        <v>20</v>
      </c>
    </row>
    <row r="13" customFormat="false" ht="15" hidden="false" customHeight="true" outlineLevel="0" collapsed="false">
      <c r="A13" s="22" t="s">
        <v>22</v>
      </c>
      <c r="B13" s="23" t="n">
        <f aca="false">'0. Database'!C7</f>
        <v>21863</v>
      </c>
      <c r="C13" s="23" t="n">
        <f aca="false">'0. Database'!D7</f>
        <v>22074</v>
      </c>
      <c r="D13" s="23" t="n">
        <f aca="false">'0. Database'!E7</f>
        <v>12193</v>
      </c>
      <c r="E13" s="23" t="n">
        <f aca="false">'0. Database'!F7</f>
        <v>16798</v>
      </c>
      <c r="F13" s="23" t="n">
        <f aca="false">'0. Database'!G7</f>
        <v>25489</v>
      </c>
      <c r="G13" s="23" t="n">
        <f aca="false">'0. Database'!H7</f>
        <v>16571</v>
      </c>
      <c r="H13" s="23" t="n">
        <f aca="false">'0. Database'!I7</f>
        <v>39240</v>
      </c>
      <c r="I13" s="23" t="n">
        <f aca="false">'0. Database'!J7</f>
        <v>44281</v>
      </c>
      <c r="J13" s="23" t="n">
        <f aca="false">'0. Database'!K7</f>
        <v>61271</v>
      </c>
      <c r="K13" s="23" t="n">
        <f aca="false">'0. Database'!L7</f>
        <v>72738</v>
      </c>
      <c r="L13" s="23" t="n">
        <f aca="false">'0. Database'!M7</f>
        <v>72361</v>
      </c>
      <c r="M13" s="23" t="n">
        <f aca="false">'0. Database'!N7</f>
        <v>88136</v>
      </c>
      <c r="N13" s="23" t="n">
        <f aca="false">'0. Database'!O7</f>
        <v>101832</v>
      </c>
      <c r="O13" s="23" t="n">
        <f aca="false">'0. Database'!P7</f>
        <v>129372.86</v>
      </c>
      <c r="P13" s="23" t="n">
        <f aca="false">'0. Database'!Q7</f>
        <v>144971.56</v>
      </c>
      <c r="Q13" s="23" t="n">
        <f aca="false">'0. Database'!R7</f>
        <v>175683.92</v>
      </c>
      <c r="R13" s="23" t="n">
        <f aca="false">'0. Database'!S7</f>
        <v>215472.22</v>
      </c>
      <c r="S13" s="23" t="n">
        <f aca="false">'0. Database'!T7</f>
        <v>258948.36</v>
      </c>
    </row>
    <row r="14" customFormat="false" ht="15" hidden="false" customHeight="true" outlineLevel="0" collapsed="false">
      <c r="A14" s="22" t="s">
        <v>38</v>
      </c>
      <c r="B14" s="23" t="n">
        <f aca="false">'0. Database'!C23</f>
        <v>273</v>
      </c>
      <c r="C14" s="23" t="n">
        <f aca="false">'0. Database'!D23</f>
        <v>-240.6</v>
      </c>
      <c r="D14" s="23" t="n">
        <f aca="false">'0. Database'!E23</f>
        <v>596.1</v>
      </c>
      <c r="E14" s="23" t="n">
        <f aca="false">'0. Database'!F23</f>
        <v>2371</v>
      </c>
      <c r="F14" s="23" t="n">
        <f aca="false">'0. Database'!G23</f>
        <v>3033</v>
      </c>
      <c r="G14" s="23" t="n">
        <f aca="false">'0. Database'!H23</f>
        <v>10073</v>
      </c>
      <c r="H14" s="23" t="n">
        <f aca="false">'0. Database'!I23</f>
        <v>11588</v>
      </c>
      <c r="I14" s="23" t="n">
        <f aca="false">'0. Database'!J23</f>
        <v>21331</v>
      </c>
      <c r="J14" s="23" t="n">
        <f aca="false">'0. Database'!K23</f>
        <v>33364</v>
      </c>
      <c r="K14" s="23" t="n">
        <f aca="false">'0. Database'!L23</f>
        <v>-2722</v>
      </c>
      <c r="L14" s="23" t="n">
        <f aca="false">'0. Database'!M23</f>
        <v>30425</v>
      </c>
      <c r="M14" s="23" t="n">
        <f aca="false">'0. Database'!N23</f>
        <v>59248</v>
      </c>
      <c r="N14" s="23" t="n">
        <f aca="false">'0. Database'!O23</f>
        <v>77670</v>
      </c>
      <c r="O14" s="23" t="n">
        <f aca="false">'0. Database'!P23</f>
        <v>98333.72</v>
      </c>
      <c r="P14" s="23" t="n">
        <f aca="false">'0. Database'!Q23</f>
        <v>116218.4</v>
      </c>
      <c r="Q14" s="23" t="n">
        <f aca="false">'0. Database'!R23</f>
        <v>145016.4</v>
      </c>
      <c r="R14" s="23" t="n">
        <f aca="false">'0. Database'!S23</f>
        <v>177176.2</v>
      </c>
      <c r="S14" s="23" t="n">
        <f aca="false">'0. Database'!T23</f>
        <v>211925.99</v>
      </c>
    </row>
    <row r="15" customFormat="false" ht="15" hidden="false" customHeight="true" outlineLevel="0" collapsed="false">
      <c r="A15" s="22" t="s">
        <v>42</v>
      </c>
      <c r="B15" s="23" t="n">
        <f aca="false">'0. Database'!C38</f>
        <v>12720</v>
      </c>
      <c r="C15" s="23" t="n">
        <f aca="false">'0. Database'!D38</f>
        <v>14136</v>
      </c>
      <c r="D15" s="23" t="n">
        <f aca="false">'0. Database'!E38</f>
        <v>16348</v>
      </c>
      <c r="E15" s="23" t="n">
        <f aca="false">'0. Database'!F38</f>
        <v>19478</v>
      </c>
      <c r="F15" s="23" t="n">
        <f aca="false">'0. Database'!G38</f>
        <v>12662</v>
      </c>
      <c r="G15" s="23" t="n">
        <f aca="false">'0. Database'!H38</f>
        <v>30736</v>
      </c>
      <c r="H15" s="23" t="n">
        <f aca="false">'0. Database'!I38</f>
        <v>34343</v>
      </c>
      <c r="I15" s="23" t="n">
        <f aca="false">'0. Database'!J38</f>
        <v>40269</v>
      </c>
      <c r="J15" s="23" t="n">
        <f aca="false">'0. Database'!K38</f>
        <v>76033</v>
      </c>
      <c r="K15" s="23" t="n">
        <f aca="false">'0. Database'!L38</f>
        <v>59972</v>
      </c>
      <c r="L15" s="23" t="n">
        <f aca="false">'0. Database'!M38</f>
        <v>73795</v>
      </c>
      <c r="M15" s="23" t="n">
        <f aca="false">'0. Database'!N38</f>
        <v>100118</v>
      </c>
      <c r="N15" s="23" t="n">
        <f aca="false">'0. Database'!O38</f>
        <v>132170</v>
      </c>
      <c r="O15" s="23" t="n">
        <f aca="false">'0. Database'!P38</f>
        <v>168543.28</v>
      </c>
      <c r="P15" s="23" t="n">
        <f aca="false">'0. Database'!Q38</f>
        <v>174626.97</v>
      </c>
      <c r="Q15" s="23" t="n">
        <f aca="false">'0. Database'!R38</f>
        <v>210753.44</v>
      </c>
      <c r="R15" s="23" t="n">
        <f aca="false">'0. Database'!S38</f>
        <v>249488.6</v>
      </c>
      <c r="S15" s="23" t="n">
        <f aca="false">'0. Database'!T38</f>
        <v>285975.76</v>
      </c>
    </row>
    <row r="16" customFormat="false" ht="15" hidden="false" customHeight="true" outlineLevel="0" collapsed="false">
      <c r="A16" s="22" t="s">
        <v>48</v>
      </c>
      <c r="B16" s="23" t="n">
        <f aca="false">'0. Database'!C55</f>
        <v>1491</v>
      </c>
      <c r="C16" s="23" t="n">
        <f aca="false">'0. Database'!D55</f>
        <v>2924.8</v>
      </c>
      <c r="D16" s="23" t="n">
        <f aca="false">'0. Database'!E55</f>
        <v>3669</v>
      </c>
      <c r="E16" s="23" t="n">
        <f aca="false">'0. Database'!F55</f>
        <v>10187.2</v>
      </c>
      <c r="F16" s="23" t="n">
        <f aca="false">'0. Database'!G55</f>
        <v>15919</v>
      </c>
      <c r="G16" s="23" t="n">
        <f aca="false">'0. Database'!H55</f>
        <v>22112</v>
      </c>
      <c r="H16" s="23" t="n">
        <f aca="false">'0. Database'!I55</f>
        <v>18484.5</v>
      </c>
      <c r="I16" s="23" t="n">
        <f aca="false">'0. Database'!J55</f>
        <v>29145</v>
      </c>
      <c r="J16" s="23" t="n">
        <f aca="false">'0. Database'!K55</f>
        <v>39370</v>
      </c>
      <c r="K16" s="23" t="n">
        <f aca="false">'0. Database'!L55</f>
        <v>23199</v>
      </c>
      <c r="L16" s="23" t="n">
        <f aca="false">'0. Database'!M55</f>
        <v>39097</v>
      </c>
      <c r="M16" s="23" t="n">
        <f aca="false">'0. Database'!N55</f>
        <v>62360</v>
      </c>
      <c r="N16" s="23" t="n">
        <f aca="false">'0. Database'!O55</f>
        <v>60458</v>
      </c>
      <c r="O16" s="23" t="n">
        <f aca="false">'0. Database'!P55</f>
        <v>85782.86</v>
      </c>
      <c r="P16" s="23" t="n">
        <f aca="false">'0. Database'!Q55</f>
        <v>91160.94</v>
      </c>
      <c r="Q16" s="23" t="n">
        <f aca="false">'0. Database'!R55</f>
        <v>103452.71</v>
      </c>
      <c r="R16" s="23" t="n">
        <f aca="false">'0. Database'!S55</f>
        <v>115846.5</v>
      </c>
      <c r="S16" s="23" t="n">
        <f aca="false">'0. Database'!T55</f>
        <v>127804.37</v>
      </c>
    </row>
    <row r="17" customFormat="false" ht="15" hidden="false" customHeight="true" outlineLevel="0" collapsed="false">
      <c r="A17" s="22" t="s">
        <v>55</v>
      </c>
      <c r="B17" s="23" t="n">
        <f aca="false">'0. Database'!C73</f>
        <v>10926</v>
      </c>
      <c r="C17" s="23" t="n">
        <f aca="false">'0. Database'!D73</f>
        <v>10955</v>
      </c>
      <c r="D17" s="23" t="n">
        <f aca="false">'0. Database'!E73</f>
        <v>9938</v>
      </c>
      <c r="E17" s="23" t="n">
        <f aca="false">'0. Database'!F73</f>
        <v>8900</v>
      </c>
      <c r="F17" s="23" t="n">
        <f aca="false">'0. Database'!G73</f>
        <v>9334</v>
      </c>
      <c r="G17" s="23" t="n">
        <f aca="false">'0. Database'!H73</f>
        <v>3587</v>
      </c>
      <c r="H17" s="23" t="n">
        <f aca="false">'0. Database'!I73</f>
        <v>11083</v>
      </c>
      <c r="I17" s="23" t="n">
        <f aca="false">'0. Database'!J73</f>
        <v>10135</v>
      </c>
      <c r="J17" s="23" t="n">
        <f aca="false">'0. Database'!K73</f>
        <v>13747</v>
      </c>
      <c r="K17" s="23" t="n">
        <f aca="false">'0. Database'!L73</f>
        <v>6718</v>
      </c>
      <c r="L17" s="23" t="n">
        <f aca="false">'0. Database'!M73</f>
        <v>8504</v>
      </c>
      <c r="M17" s="23" t="n">
        <f aca="false">'0. Database'!N73</f>
        <v>10467</v>
      </c>
      <c r="N17" s="23" t="n">
        <f aca="false">'0. Database'!O73</f>
        <v>12443</v>
      </c>
      <c r="O17" s="23" t="n">
        <f aca="false">'0. Database'!P73</f>
        <v>15820.55</v>
      </c>
      <c r="P17" s="23" t="n">
        <f aca="false">'0. Database'!Q73</f>
        <v>13363.1</v>
      </c>
      <c r="Q17" s="23" t="n">
        <f aca="false">'0. Database'!R73</f>
        <v>26776.66</v>
      </c>
      <c r="R17" s="23" t="n">
        <f aca="false">'0. Database'!S73</f>
        <v>39834.82</v>
      </c>
      <c r="S17" s="23" t="n">
        <f aca="false">'0. Database'!T73</f>
        <v>44104.48</v>
      </c>
    </row>
    <row r="19" customFormat="false" ht="15" hidden="false" customHeight="true" outlineLevel="0" collapsed="false">
      <c r="A19" s="21" t="s">
        <v>105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customFormat="false" ht="15" hidden="false" customHeight="true" outlineLevel="0" collapsed="false">
      <c r="A20" s="4" t="s">
        <v>76</v>
      </c>
      <c r="B20" s="4" t="s">
        <v>3</v>
      </c>
      <c r="C20" s="4" t="s">
        <v>4</v>
      </c>
      <c r="D20" s="4" t="s">
        <v>5</v>
      </c>
      <c r="E20" s="4" t="s">
        <v>6</v>
      </c>
      <c r="F20" s="4" t="s">
        <v>7</v>
      </c>
      <c r="G20" s="4" t="s">
        <v>8</v>
      </c>
      <c r="H20" s="4" t="s">
        <v>9</v>
      </c>
      <c r="I20" s="4" t="s">
        <v>10</v>
      </c>
      <c r="J20" s="4" t="s">
        <v>11</v>
      </c>
      <c r="K20" s="4" t="s">
        <v>12</v>
      </c>
      <c r="L20" s="4" t="s">
        <v>13</v>
      </c>
      <c r="M20" s="4" t="s">
        <v>14</v>
      </c>
      <c r="N20" s="4" t="s">
        <v>15</v>
      </c>
      <c r="O20" s="4" t="s">
        <v>16</v>
      </c>
      <c r="P20" s="4" t="s">
        <v>17</v>
      </c>
      <c r="Q20" s="4" t="s">
        <v>18</v>
      </c>
      <c r="R20" s="4" t="s">
        <v>19</v>
      </c>
      <c r="S20" s="4" t="s">
        <v>20</v>
      </c>
    </row>
    <row r="21" customFormat="false" ht="15" hidden="false" customHeight="true" outlineLevel="0" collapsed="false">
      <c r="A21" s="22" t="s">
        <v>22</v>
      </c>
      <c r="B21" s="23" t="n">
        <f aca="false">'0. Database'!C8</f>
        <v>2.63</v>
      </c>
      <c r="C21" s="23" t="n">
        <f aca="false">'0. Database'!D8</f>
        <v>2.66</v>
      </c>
      <c r="D21" s="23" t="n">
        <f aca="false">'0. Database'!E8</f>
        <v>2.59</v>
      </c>
      <c r="E21" s="23" t="n">
        <f aca="false">'0. Database'!F8</f>
        <v>2.79</v>
      </c>
      <c r="F21" s="23" t="n">
        <f aca="false">'0. Database'!G8</f>
        <v>3.29</v>
      </c>
      <c r="G21" s="23" t="n">
        <f aca="false">'0. Database'!H8</f>
        <v>3.88</v>
      </c>
      <c r="H21" s="23" t="n">
        <f aca="false">'0. Database'!I8</f>
        <v>4.75</v>
      </c>
      <c r="I21" s="23" t="n">
        <f aca="false">'0. Database'!J8</f>
        <v>5.76</v>
      </c>
      <c r="J21" s="23" t="n">
        <f aca="false">'0. Database'!K8</f>
        <v>7.97</v>
      </c>
      <c r="K21" s="23" t="n">
        <f aca="false">'0. Database'!L8</f>
        <v>9.21</v>
      </c>
      <c r="L21" s="23" t="n">
        <f aca="false">'0. Database'!M8</f>
        <v>9.81</v>
      </c>
      <c r="M21" s="23" t="n">
        <f aca="false">'0. Database'!N8</f>
        <v>11.8</v>
      </c>
      <c r="N21" s="23" t="n">
        <f aca="false">'0. Database'!O8</f>
        <v>13.91</v>
      </c>
      <c r="O21" s="23" t="n">
        <f aca="false">'0. Database'!P8</f>
        <v>16.75</v>
      </c>
      <c r="P21" s="23" t="n">
        <f aca="false">'0. Database'!Q8</f>
        <v>19.47</v>
      </c>
      <c r="Q21" s="23" t="n">
        <f aca="false">'0. Database'!R8</f>
        <v>23.61</v>
      </c>
      <c r="R21" s="23" t="n">
        <f aca="false">'0. Database'!S8</f>
        <v>28.97</v>
      </c>
      <c r="S21" s="23" t="n">
        <f aca="false">'0. Database'!T8</f>
        <v>34.82</v>
      </c>
    </row>
    <row r="22" customFormat="false" ht="15" hidden="false" customHeight="true" outlineLevel="0" collapsed="false">
      <c r="A22" s="22" t="s">
        <v>38</v>
      </c>
      <c r="B22" s="23" t="n">
        <f aca="false">'0. Database'!C24</f>
        <v>0.03</v>
      </c>
      <c r="C22" s="23" t="n">
        <f aca="false">'0. Database'!D24</f>
        <v>-0.03</v>
      </c>
      <c r="D22" s="23" t="n">
        <f aca="false">'0. Database'!E24</f>
        <v>0.06</v>
      </c>
      <c r="E22" s="23" t="n">
        <f aca="false">'0. Database'!F24</f>
        <v>0.24</v>
      </c>
      <c r="F22" s="23" t="n">
        <f aca="false">'0. Database'!G24</f>
        <v>0.31</v>
      </c>
      <c r="G22" s="23" t="n">
        <f aca="false">'0. Database'!H24</f>
        <v>1.01</v>
      </c>
      <c r="H22" s="23" t="n">
        <f aca="false">'0. Database'!I24</f>
        <v>1.15</v>
      </c>
      <c r="I22" s="23" t="n">
        <f aca="false">'0. Database'!J24</f>
        <v>2.08</v>
      </c>
      <c r="J22" s="23" t="n">
        <f aca="false">'0. Database'!K24</f>
        <v>3.25</v>
      </c>
      <c r="K22" s="23" t="n">
        <f aca="false">'0. Database'!L24</f>
        <v>-0.26</v>
      </c>
      <c r="L22" s="23" t="n">
        <f aca="false">'0. Database'!M24</f>
        <v>2.88</v>
      </c>
      <c r="M22" s="23" t="n">
        <f aca="false">'0. Database'!N24</f>
        <v>5.53</v>
      </c>
      <c r="N22" s="23" t="n">
        <f aca="false">'0. Database'!O24</f>
        <v>7.17</v>
      </c>
      <c r="O22" s="23" t="n">
        <f aca="false">'0. Database'!P24</f>
        <v>9.02</v>
      </c>
      <c r="P22" s="23" t="n">
        <f aca="false">'0. Database'!Q24</f>
        <v>10.58</v>
      </c>
      <c r="Q22" s="23" t="n">
        <f aca="false">'0. Database'!R24</f>
        <v>13.11</v>
      </c>
      <c r="R22" s="23" t="n">
        <f aca="false">'0. Database'!S24</f>
        <v>15.92</v>
      </c>
      <c r="S22" s="23" t="n">
        <f aca="false">'0. Database'!T24</f>
        <v>18.92</v>
      </c>
    </row>
    <row r="23" customFormat="false" ht="15" hidden="false" customHeight="true" outlineLevel="0" collapsed="false">
      <c r="A23" s="22" t="s">
        <v>42</v>
      </c>
      <c r="B23" s="23" t="n">
        <f aca="false">'0. Database'!C39</f>
        <v>0.94</v>
      </c>
      <c r="C23" s="23" t="n">
        <f aca="false">'0. Database'!D39</f>
        <v>1.03</v>
      </c>
      <c r="D23" s="23" t="n">
        <f aca="false">'0. Database'!E39</f>
        <v>1.18</v>
      </c>
      <c r="E23" s="23" t="n">
        <f aca="false">'0. Database'!F39</f>
        <v>1.39</v>
      </c>
      <c r="F23" s="23" t="n">
        <f aca="false">'0. Database'!G39</f>
        <v>0.9</v>
      </c>
      <c r="G23" s="23" t="n">
        <f aca="false">'0. Database'!H39</f>
        <v>2.19</v>
      </c>
      <c r="H23" s="23" t="n">
        <f aca="false">'0. Database'!I39</f>
        <v>2.46</v>
      </c>
      <c r="I23" s="23" t="n">
        <f aca="false">'0. Database'!J39</f>
        <v>2.93</v>
      </c>
      <c r="J23" s="23" t="n">
        <f aca="false">'0. Database'!K39</f>
        <v>5.61</v>
      </c>
      <c r="K23" s="23" t="n">
        <f aca="false">'0. Database'!L39</f>
        <v>4.56</v>
      </c>
      <c r="L23" s="23" t="n">
        <f aca="false">'0. Database'!M39</f>
        <v>5.8</v>
      </c>
      <c r="M23" s="23" t="n">
        <f aca="false">'0. Database'!N39</f>
        <v>8.04</v>
      </c>
      <c r="N23" s="23" t="n">
        <f aca="false">'0. Database'!O39</f>
        <v>10.81</v>
      </c>
      <c r="O23" s="23" t="n">
        <f aca="false">'0. Database'!P39</f>
        <v>13.73</v>
      </c>
      <c r="P23" s="23" t="n">
        <f aca="false">'0. Database'!Q39</f>
        <v>14.16</v>
      </c>
      <c r="Q23" s="23" t="n">
        <f aca="false">'0. Database'!R39</f>
        <v>17.04</v>
      </c>
      <c r="R23" s="23" t="n">
        <f aca="false">'0. Database'!S39</f>
        <v>20.12</v>
      </c>
      <c r="S23" s="23" t="n">
        <f aca="false">'0. Database'!T39</f>
        <v>22.99</v>
      </c>
    </row>
    <row r="24" customFormat="false" ht="15" hidden="false" customHeight="true" outlineLevel="0" collapsed="false">
      <c r="A24" s="22" t="s">
        <v>48</v>
      </c>
      <c r="B24" s="23" t="n">
        <f aca="false">'0. Database'!C56</f>
        <v>0.59</v>
      </c>
      <c r="C24" s="23" t="n">
        <f aca="false">'0. Database'!D56</f>
        <v>1.1</v>
      </c>
      <c r="D24" s="23" t="n">
        <f aca="false">'0. Database'!E56</f>
        <v>1.28</v>
      </c>
      <c r="E24" s="23" t="n">
        <f aca="false">'0. Database'!F56</f>
        <v>3.48</v>
      </c>
      <c r="F24" s="23" t="n">
        <f aca="false">'0. Database'!G56</f>
        <v>5.39</v>
      </c>
      <c r="G24" s="23" t="n">
        <f aca="false">'0. Database'!H56</f>
        <v>7.66</v>
      </c>
      <c r="H24" s="23" t="n">
        <f aca="false">'0. Database'!I56</f>
        <v>6.44</v>
      </c>
      <c r="I24" s="23" t="n">
        <f aca="false">'0. Database'!J56</f>
        <v>10.08</v>
      </c>
      <c r="J24" s="23" t="n">
        <f aca="false">'0. Database'!K56</f>
        <v>14.07</v>
      </c>
      <c r="K24" s="23" t="n">
        <f aca="false">'0. Database'!L56</f>
        <v>8.79</v>
      </c>
      <c r="L24" s="23" t="n">
        <f aca="false">'0. Database'!M56</f>
        <v>14.87</v>
      </c>
      <c r="M24" s="23" t="n">
        <f aca="false">'0. Database'!N56</f>
        <v>23.99</v>
      </c>
      <c r="N24" s="23" t="n">
        <f aca="false">'0. Database'!O56</f>
        <v>23.49</v>
      </c>
      <c r="O24" s="23" t="n">
        <f aca="false">'0. Database'!P56</f>
        <v>33.28</v>
      </c>
      <c r="P24" s="23" t="n">
        <f aca="false">'0. Database'!Q56</f>
        <v>34.94</v>
      </c>
      <c r="Q24" s="23" t="n">
        <f aca="false">'0. Database'!R56</f>
        <v>39.24</v>
      </c>
      <c r="R24" s="23" t="n">
        <f aca="false">'0. Database'!S56</f>
        <v>43.51</v>
      </c>
      <c r="S24" s="23" t="n">
        <f aca="false">'0. Database'!T56</f>
        <v>47.52</v>
      </c>
    </row>
    <row r="25" customFormat="false" ht="15" hidden="false" customHeight="true" outlineLevel="0" collapsed="false">
      <c r="A25" s="22" t="s">
        <v>55</v>
      </c>
      <c r="B25" s="23" t="n">
        <f aca="false">'0. Database'!C74</f>
        <v>2.26</v>
      </c>
      <c r="C25" s="23" t="n">
        <f aca="false">'0. Database'!D74</f>
        <v>2.38</v>
      </c>
      <c r="D25" s="23" t="n">
        <f aca="false">'0. Database'!E74</f>
        <v>2.21</v>
      </c>
      <c r="E25" s="23" t="n">
        <f aca="false">'0. Database'!F74</f>
        <v>2.07</v>
      </c>
      <c r="F25" s="23" t="n">
        <f aca="false">'0. Database'!G74</f>
        <v>2.21</v>
      </c>
      <c r="G25" s="23" t="n">
        <f aca="false">'0. Database'!H74</f>
        <v>0.85</v>
      </c>
      <c r="H25" s="23" t="n">
        <f aca="false">'0. Database'!I74</f>
        <v>2.97</v>
      </c>
      <c r="I25" s="23" t="n">
        <f aca="false">'0. Database'!J74</f>
        <v>3.08</v>
      </c>
      <c r="J25" s="23" t="n">
        <f aca="false">'0. Database'!K74</f>
        <v>4.55</v>
      </c>
      <c r="K25" s="23" t="n">
        <f aca="false">'0. Database'!L74</f>
        <v>2.41</v>
      </c>
      <c r="L25" s="23" t="n">
        <f aca="false">'0. Database'!M74</f>
        <v>3.07</v>
      </c>
      <c r="M25" s="23" t="n">
        <f aca="false">'0. Database'!N74</f>
        <v>3.71</v>
      </c>
      <c r="N25" s="23" t="n">
        <f aca="false">'0. Database'!O74</f>
        <v>4.34</v>
      </c>
      <c r="O25" s="23" t="n">
        <f aca="false">'0. Database'!P74</f>
        <v>5.43</v>
      </c>
      <c r="P25" s="23" t="n">
        <f aca="false">'0. Database'!Q74</f>
        <v>4.54</v>
      </c>
      <c r="Q25" s="23" t="n">
        <f aca="false">'0. Database'!R74</f>
        <v>8.98</v>
      </c>
      <c r="R25" s="23" t="n">
        <f aca="false">'0. Database'!S74</f>
        <v>13.15</v>
      </c>
      <c r="S25" s="23" t="n">
        <f aca="false">'0. Database'!T74</f>
        <v>14.32</v>
      </c>
    </row>
    <row r="27" customFormat="false" ht="15" hidden="false" customHeight="true" outlineLevel="0" collapsed="false">
      <c r="A27" s="21" t="s">
        <v>106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customFormat="false" ht="15" hidden="false" customHeight="true" outlineLevel="0" collapsed="false">
      <c r="A28" s="4" t="s">
        <v>76</v>
      </c>
      <c r="B28" s="4" t="s">
        <v>3</v>
      </c>
      <c r="C28" s="4" t="s">
        <v>4</v>
      </c>
      <c r="D28" s="4" t="s">
        <v>5</v>
      </c>
      <c r="E28" s="4" t="s">
        <v>6</v>
      </c>
      <c r="F28" s="4" t="s">
        <v>7</v>
      </c>
      <c r="G28" s="4" t="s">
        <v>8</v>
      </c>
      <c r="H28" s="4" t="s">
        <v>9</v>
      </c>
      <c r="I28" s="4" t="s">
        <v>10</v>
      </c>
      <c r="J28" s="4" t="s">
        <v>11</v>
      </c>
      <c r="K28" s="4" t="s">
        <v>12</v>
      </c>
      <c r="L28" s="4" t="s">
        <v>13</v>
      </c>
      <c r="M28" s="4" t="s">
        <v>14</v>
      </c>
      <c r="N28" s="4" t="s">
        <v>15</v>
      </c>
      <c r="O28" s="4" t="s">
        <v>16</v>
      </c>
      <c r="P28" s="4" t="s">
        <v>17</v>
      </c>
      <c r="Q28" s="4" t="s">
        <v>18</v>
      </c>
      <c r="R28" s="4" t="s">
        <v>19</v>
      </c>
      <c r="S28" s="4" t="s">
        <v>20</v>
      </c>
    </row>
    <row r="29" customFormat="false" ht="15" hidden="false" customHeight="true" outlineLevel="0" collapsed="false">
      <c r="A29" s="22" t="s">
        <v>22</v>
      </c>
      <c r="B29" s="23" t="n">
        <f aca="false">'0. Database'!C9</f>
        <v>8452.25</v>
      </c>
      <c r="C29" s="23" t="n">
        <f aca="false">'0. Database'!D9</f>
        <v>8385.25</v>
      </c>
      <c r="D29" s="23" t="n">
        <f aca="false">'0. Database'!E9</f>
        <v>8254</v>
      </c>
      <c r="E29" s="23" t="n">
        <f aca="false">'0. Database'!F9</f>
        <v>8012.25</v>
      </c>
      <c r="F29" s="23" t="n">
        <f aca="false">'0. Database'!G9</f>
        <v>7831.25</v>
      </c>
      <c r="G29" s="23" t="n">
        <f aca="false">'0. Database'!H9</f>
        <v>7792.25</v>
      </c>
      <c r="H29" s="23" t="n">
        <f aca="false">'0. Database'!I9</f>
        <v>7752</v>
      </c>
      <c r="I29" s="23" t="n">
        <f aca="false">'0. Database'!J9</f>
        <v>7681.5</v>
      </c>
      <c r="J29" s="23" t="n">
        <f aca="false">'0. Database'!K9</f>
        <v>7607.75</v>
      </c>
      <c r="K29" s="23" t="n">
        <f aca="false">'0. Database'!L9</f>
        <v>7540.5</v>
      </c>
      <c r="L29" s="23" t="n">
        <f aca="false">'0. Database'!M9</f>
        <v>7472.25</v>
      </c>
      <c r="M29" s="23" t="n">
        <f aca="false">'0. Database'!N9</f>
        <v>7468.5</v>
      </c>
      <c r="N29" s="23" t="n">
        <f aca="false">'0. Database'!O9</f>
        <v>7467.75</v>
      </c>
      <c r="O29" s="23" t="n">
        <f aca="false">'0. Database'!P9</f>
        <v>7453.97</v>
      </c>
      <c r="P29" s="23" t="n">
        <f aca="false">'0. Database'!Q9</f>
        <v>7446.49</v>
      </c>
      <c r="Q29" s="23" t="n">
        <f aca="false">'0. Database'!R9</f>
        <v>7440.67</v>
      </c>
      <c r="R29" s="23" t="n">
        <f aca="false">'0. Database'!S9</f>
        <v>7436.61</v>
      </c>
      <c r="S29" s="23" t="n">
        <f aca="false">'0. Database'!T9</f>
        <v>7436.22</v>
      </c>
    </row>
    <row r="30" customFormat="false" ht="15" hidden="false" customHeight="true" outlineLevel="0" collapsed="false">
      <c r="A30" s="22" t="s">
        <v>38</v>
      </c>
      <c r="B30" s="23" t="n">
        <f aca="false">'0. Database'!C25</f>
        <v>9340</v>
      </c>
      <c r="C30" s="23" t="n">
        <f aca="false">'0. Database'!D25</f>
        <v>9440</v>
      </c>
      <c r="D30" s="23" t="n">
        <f aca="false">'0. Database'!E25</f>
        <v>9620</v>
      </c>
      <c r="E30" s="23" t="n">
        <f aca="false">'0. Database'!F25</f>
        <v>9720</v>
      </c>
      <c r="F30" s="23" t="n">
        <f aca="false">'0. Database'!G25</f>
        <v>9910</v>
      </c>
      <c r="G30" s="23" t="n">
        <f aca="false">'0. Database'!H25</f>
        <v>10020</v>
      </c>
      <c r="H30" s="23" t="n">
        <f aca="false">'0. Database'!I25</f>
        <v>10100</v>
      </c>
      <c r="I30" s="23" t="n">
        <f aca="false">'0. Database'!J25</f>
        <v>10254</v>
      </c>
      <c r="J30" s="23" t="n">
        <f aca="false">'0. Database'!K25</f>
        <v>10274.5</v>
      </c>
      <c r="K30" s="23" t="n">
        <f aca="false">'0. Database'!L25</f>
        <v>10296.5</v>
      </c>
      <c r="L30" s="23" t="n">
        <f aca="false">'0. Database'!M25</f>
        <v>10568.69</v>
      </c>
      <c r="M30" s="23" t="n">
        <f aca="false">'0. Database'!N25</f>
        <v>10721</v>
      </c>
      <c r="N30" s="23" t="n">
        <f aca="false">'0. Database'!O25</f>
        <v>10827</v>
      </c>
      <c r="O30" s="23" t="n">
        <f aca="false">'0. Database'!P25</f>
        <v>10907.55</v>
      </c>
      <c r="P30" s="23" t="n">
        <f aca="false">'0. Database'!Q25</f>
        <v>10986.16</v>
      </c>
      <c r="Q30" s="23" t="n">
        <f aca="false">'0. Database'!R25</f>
        <v>11059.39</v>
      </c>
      <c r="R30" s="23" t="n">
        <f aca="false">'0. Database'!S25</f>
        <v>11131.13</v>
      </c>
      <c r="S30" s="23" t="n">
        <f aca="false">'0. Database'!T25</f>
        <v>11201.4</v>
      </c>
    </row>
    <row r="31" customFormat="false" ht="15" hidden="false" customHeight="true" outlineLevel="0" collapsed="false">
      <c r="A31" s="22" t="s">
        <v>42</v>
      </c>
      <c r="B31" s="23" t="n">
        <f aca="false">'0. Database'!C40</f>
        <v>13552.38</v>
      </c>
      <c r="C31" s="23" t="n">
        <f aca="false">'0. Database'!D40</f>
        <v>13741.41</v>
      </c>
      <c r="D31" s="23" t="n">
        <f aca="false">'0. Database'!E40</f>
        <v>13858.6</v>
      </c>
      <c r="E31" s="23" t="n">
        <f aca="false">'0. Database'!F40</f>
        <v>13974.09</v>
      </c>
      <c r="F31" s="23" t="n">
        <f aca="false">'0. Database'!G40</f>
        <v>14071.67</v>
      </c>
      <c r="G31" s="23" t="n">
        <f aca="false">'0. Database'!H40</f>
        <v>14065.69</v>
      </c>
      <c r="H31" s="23" t="n">
        <f aca="false">'0. Database'!I40</f>
        <v>13971.13</v>
      </c>
      <c r="I31" s="23" t="n">
        <f aca="false">'0. Database'!J40</f>
        <v>13740.56</v>
      </c>
      <c r="J31" s="23" t="n">
        <f aca="false">'0. Database'!K40</f>
        <v>13553</v>
      </c>
      <c r="K31" s="23" t="n">
        <f aca="false">'0. Database'!L40</f>
        <v>13159</v>
      </c>
      <c r="L31" s="23" t="n">
        <f aca="false">'0. Database'!M40</f>
        <v>12722</v>
      </c>
      <c r="M31" s="23" t="n">
        <f aca="false">'0. Database'!N40</f>
        <v>12447</v>
      </c>
      <c r="N31" s="23" t="n">
        <f aca="false">'0. Database'!O40</f>
        <v>12230</v>
      </c>
      <c r="O31" s="23" t="n">
        <f aca="false">'0. Database'!P40</f>
        <v>12275.96</v>
      </c>
      <c r="P31" s="23" t="n">
        <f aca="false">'0. Database'!Q40</f>
        <v>12335.53</v>
      </c>
      <c r="Q31" s="23" t="n">
        <f aca="false">'0. Database'!R40</f>
        <v>12366.42</v>
      </c>
      <c r="R31" s="23" t="n">
        <f aca="false">'0. Database'!S40</f>
        <v>12399.99</v>
      </c>
      <c r="S31" s="23" t="n">
        <f aca="false">'0. Database'!T40</f>
        <v>12436.85</v>
      </c>
    </row>
    <row r="32" customFormat="false" ht="15" hidden="false" customHeight="true" outlineLevel="0" collapsed="false">
      <c r="A32" s="22" t="s">
        <v>48</v>
      </c>
      <c r="B32" s="23" t="n">
        <f aca="false">'0. Database'!C57</f>
        <v>2521.75</v>
      </c>
      <c r="C32" s="23" t="n">
        <f aca="false">'0. Database'!D57</f>
        <v>2671</v>
      </c>
      <c r="D32" s="23" t="n">
        <f aca="false">'0. Database'!E57</f>
        <v>2856.75</v>
      </c>
      <c r="E32" s="23" t="n">
        <f aca="false">'0. Database'!F57</f>
        <v>2923.75</v>
      </c>
      <c r="F32" s="23" t="n">
        <f aca="false">'0. Database'!G57</f>
        <v>2954</v>
      </c>
      <c r="G32" s="23" t="n">
        <f aca="false">'0. Database'!H57</f>
        <v>2886</v>
      </c>
      <c r="H32" s="23" t="n">
        <f aca="false">'0. Database'!I57</f>
        <v>2871</v>
      </c>
      <c r="I32" s="23" t="n">
        <f aca="false">'0. Database'!J57</f>
        <v>2890</v>
      </c>
      <c r="J32" s="23" t="n">
        <f aca="false">'0. Database'!K57</f>
        <v>2799</v>
      </c>
      <c r="K32" s="23" t="n">
        <f aca="false">'0. Database'!L57</f>
        <v>2640</v>
      </c>
      <c r="L32" s="23" t="n">
        <f aca="false">'0. Database'!M57</f>
        <v>2630</v>
      </c>
      <c r="M32" s="23" t="n">
        <f aca="false">'0. Database'!N57</f>
        <v>2599</v>
      </c>
      <c r="N32" s="23" t="n">
        <f aca="false">'0. Database'!O57</f>
        <v>2574</v>
      </c>
      <c r="O32" s="23" t="n">
        <f aca="false">'0. Database'!P57</f>
        <v>2577.79</v>
      </c>
      <c r="P32" s="23" t="n">
        <f aca="false">'0. Database'!Q57</f>
        <v>2609.3</v>
      </c>
      <c r="Q32" s="23" t="n">
        <f aca="false">'0. Database'!R57</f>
        <v>2636.12</v>
      </c>
      <c r="R32" s="23" t="n">
        <f aca="false">'0. Database'!S57</f>
        <v>2662.83</v>
      </c>
      <c r="S32" s="23" t="n">
        <f aca="false">'0. Database'!T57</f>
        <v>2689.4</v>
      </c>
    </row>
    <row r="33" customFormat="false" ht="15" hidden="false" customHeight="true" outlineLevel="0" collapsed="false">
      <c r="A33" s="22" t="s">
        <v>55</v>
      </c>
      <c r="B33" s="23" t="n">
        <f aca="false">'0. Database'!C75</f>
        <v>4843.75</v>
      </c>
      <c r="C33" s="23" t="n">
        <f aca="false">'0. Database'!D75</f>
        <v>4604.5</v>
      </c>
      <c r="D33" s="23" t="n">
        <f aca="false">'0. Database'!E75</f>
        <v>4502.5</v>
      </c>
      <c r="E33" s="23" t="n">
        <f aca="false">'0. Database'!F75</f>
        <v>4305.5</v>
      </c>
      <c r="F33" s="23" t="n">
        <f aca="false">'0. Database'!G75</f>
        <v>4217</v>
      </c>
      <c r="G33" s="23" t="n">
        <f aca="false">'0. Database'!H75</f>
        <v>4238</v>
      </c>
      <c r="H33" s="23" t="n">
        <f aca="false">'0. Database'!I75</f>
        <v>3732</v>
      </c>
      <c r="I33" s="23" t="n">
        <f aca="false">'0. Database'!J75</f>
        <v>3293.5</v>
      </c>
      <c r="J33" s="23" t="n">
        <f aca="false">'0. Database'!K75</f>
        <v>3022.5</v>
      </c>
      <c r="K33" s="23" t="n">
        <f aca="false">'0. Database'!L75</f>
        <v>2785.5</v>
      </c>
      <c r="L33" s="23" t="n">
        <f aca="false">'0. Database'!M75</f>
        <v>2766.25</v>
      </c>
      <c r="M33" s="23" t="n">
        <f aca="false">'0. Database'!N75</f>
        <v>2823.25</v>
      </c>
      <c r="N33" s="23" t="n">
        <f aca="false">'0. Database'!O75</f>
        <v>2866.25</v>
      </c>
      <c r="O33" s="23" t="n">
        <f aca="false">'0. Database'!P75</f>
        <v>2915.76</v>
      </c>
      <c r="P33" s="23" t="n">
        <f aca="false">'0. Database'!Q75</f>
        <v>2940.66</v>
      </c>
      <c r="Q33" s="23" t="n">
        <f aca="false">'0. Database'!R75</f>
        <v>2980.3</v>
      </c>
      <c r="R33" s="23" t="n">
        <f aca="false">'0. Database'!S75</f>
        <v>3028.26</v>
      </c>
      <c r="S33" s="23" t="n">
        <f aca="false">'0. Database'!T75</f>
        <v>3079.57</v>
      </c>
    </row>
    <row r="35" customFormat="false" ht="15" hidden="false" customHeight="true" outlineLevel="0" collapsed="false">
      <c r="A35" s="21" t="s">
        <v>107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customFormat="false" ht="15" hidden="false" customHeight="true" outlineLevel="0" collapsed="false">
      <c r="A36" s="4" t="s">
        <v>76</v>
      </c>
      <c r="B36" s="4" t="s">
        <v>3</v>
      </c>
      <c r="C36" s="4" t="s">
        <v>4</v>
      </c>
      <c r="D36" s="4" t="s">
        <v>5</v>
      </c>
      <c r="E36" s="4" t="s">
        <v>6</v>
      </c>
      <c r="F36" s="4" t="s">
        <v>7</v>
      </c>
      <c r="G36" s="4" t="s">
        <v>8</v>
      </c>
      <c r="H36" s="4" t="s">
        <v>9</v>
      </c>
      <c r="I36" s="4" t="s">
        <v>10</v>
      </c>
      <c r="J36" s="4" t="s">
        <v>11</v>
      </c>
      <c r="K36" s="4" t="s">
        <v>12</v>
      </c>
      <c r="L36" s="4" t="s">
        <v>13</v>
      </c>
      <c r="M36" s="4" t="s">
        <v>14</v>
      </c>
      <c r="N36" s="4" t="s">
        <v>15</v>
      </c>
      <c r="O36" s="4" t="s">
        <v>16</v>
      </c>
      <c r="P36" s="4" t="s">
        <v>17</v>
      </c>
      <c r="Q36" s="4" t="s">
        <v>18</v>
      </c>
      <c r="R36" s="4" t="s">
        <v>19</v>
      </c>
      <c r="S36" s="4" t="s">
        <v>20</v>
      </c>
    </row>
    <row r="37" customFormat="false" ht="15" hidden="false" customHeight="true" outlineLevel="0" collapsed="false">
      <c r="A37" s="22" t="s">
        <v>22</v>
      </c>
      <c r="B37" s="23" t="n">
        <f aca="false">'0. Database'!C10</f>
        <v>2406</v>
      </c>
      <c r="C37" s="23" t="n">
        <f aca="false">'0. Database'!D10</f>
        <v>2446</v>
      </c>
      <c r="D37" s="23" t="n">
        <f aca="false">'0. Database'!E10</f>
        <v>2574</v>
      </c>
      <c r="E37" s="23" t="n">
        <f aca="false">'0. Database'!F10</f>
        <v>2668</v>
      </c>
      <c r="F37" s="23" t="n">
        <f aca="false">'0. Database'!G10</f>
        <v>3266</v>
      </c>
      <c r="G37" s="23" t="n">
        <f aca="false">'0. Database'!H10</f>
        <v>3940</v>
      </c>
      <c r="H37" s="23" t="n">
        <f aca="false">'0. Database'!I10</f>
        <v>4652</v>
      </c>
      <c r="I37" s="23" t="n">
        <f aca="false">'0. Database'!J10</f>
        <v>5289</v>
      </c>
      <c r="J37" s="23" t="n">
        <f aca="false">'0. Database'!K10</f>
        <v>6118</v>
      </c>
      <c r="K37" s="23" t="n">
        <f aca="false">'0. Database'!L10</f>
        <v>7502</v>
      </c>
      <c r="L37" s="23" t="n">
        <f aca="false">'0. Database'!M10</f>
        <v>9611</v>
      </c>
      <c r="M37" s="23" t="n">
        <f aca="false">'0. Database'!N10</f>
        <v>10734</v>
      </c>
      <c r="N37" s="23" t="n">
        <f aca="false">'0. Database'!O10</f>
        <v>11974</v>
      </c>
      <c r="O37" s="23" t="n">
        <f aca="false">'0. Database'!P10</f>
        <v>12189</v>
      </c>
      <c r="P37" s="23" t="n">
        <f aca="false">'0. Database'!Q10</f>
        <v>10478.4</v>
      </c>
      <c r="Q37" s="23" t="n">
        <f aca="false">'0. Database'!R10</f>
        <v>11434.24</v>
      </c>
      <c r="R37" s="23" t="n">
        <f aca="false">'0. Database'!S10</f>
        <v>12826.56</v>
      </c>
      <c r="S37" s="23" t="n">
        <f aca="false">'0. Database'!T10</f>
        <v>14871.62</v>
      </c>
    </row>
    <row r="38" customFormat="false" ht="15" hidden="false" customHeight="true" outlineLevel="0" collapsed="false">
      <c r="A38" s="22" t="s">
        <v>38</v>
      </c>
      <c r="B38" s="23" t="n">
        <f aca="false">'0. Database'!C26</f>
        <v>-1134</v>
      </c>
      <c r="C38" s="23" t="n">
        <f aca="false">'0. Database'!D26</f>
        <v>-1497</v>
      </c>
      <c r="D38" s="23" t="n">
        <f aca="false">'0. Database'!E26</f>
        <v>-2120</v>
      </c>
      <c r="E38" s="23" t="n">
        <f aca="false">'0. Database'!F26</f>
        <v>-2975</v>
      </c>
      <c r="F38" s="23" t="n">
        <f aca="false">'0. Database'!G26</f>
        <v>-4214</v>
      </c>
      <c r="G38" s="23" t="n">
        <f aca="false">'0. Database'!H26</f>
        <v>-5418</v>
      </c>
      <c r="H38" s="23" t="n">
        <f aca="false">'0. Database'!I26</f>
        <v>-6864</v>
      </c>
      <c r="I38" s="23" t="n">
        <f aca="false">'0. Database'!J26</f>
        <v>-9208</v>
      </c>
      <c r="J38" s="23" t="n">
        <f aca="false">'0. Database'!K26</f>
        <v>-12757</v>
      </c>
      <c r="K38" s="23" t="n">
        <f aca="false">'0. Database'!L26</f>
        <v>-19621</v>
      </c>
      <c r="L38" s="23" t="n">
        <f aca="false">'0. Database'!M26</f>
        <v>-24023</v>
      </c>
      <c r="M38" s="23" t="n">
        <f aca="false">'0. Database'!N26</f>
        <v>-22077.4</v>
      </c>
      <c r="N38" s="23" t="n">
        <f aca="false">'0. Database'!O26</f>
        <v>-19467</v>
      </c>
      <c r="O38" s="23" t="n">
        <f aca="false">'0. Database'!P26</f>
        <v>-18863.32</v>
      </c>
      <c r="P38" s="23" t="n">
        <f aca="false">'0. Database'!Q26</f>
        <v>-17920.15</v>
      </c>
      <c r="Q38" s="23" t="n">
        <f aca="false">'0. Database'!R26</f>
        <v>-18816.16</v>
      </c>
      <c r="R38" s="23" t="n">
        <f aca="false">'0. Database'!S26</f>
        <v>-19756.97</v>
      </c>
      <c r="S38" s="23" t="n">
        <f aca="false">'0. Database'!T26</f>
        <v>-20744.82</v>
      </c>
    </row>
    <row r="39" customFormat="false" ht="15" hidden="false" customHeight="true" outlineLevel="0" collapsed="false">
      <c r="A39" s="22" t="s">
        <v>42</v>
      </c>
      <c r="B39" s="23" t="n">
        <f aca="false">'0. Database'!C41</f>
        <v>-3268</v>
      </c>
      <c r="C39" s="23" t="n">
        <f aca="false">'0. Database'!D41</f>
        <v>-4175</v>
      </c>
      <c r="D39" s="23" t="n">
        <f aca="false">'0. Database'!E41</f>
        <v>-4903</v>
      </c>
      <c r="E39" s="23" t="n">
        <f aca="false">'0. Database'!F41</f>
        <v>-6703</v>
      </c>
      <c r="F39" s="23" t="n">
        <f aca="false">'0. Database'!G41</f>
        <v>-7679</v>
      </c>
      <c r="G39" s="23" t="n">
        <f aca="false">'0. Database'!H41</f>
        <v>-9353</v>
      </c>
      <c r="H39" s="23" t="n">
        <f aca="false">'0. Database'!I41</f>
        <v>-10794</v>
      </c>
      <c r="I39" s="23" t="n">
        <f aca="false">'0. Database'!J41</f>
        <v>-12991</v>
      </c>
      <c r="J39" s="23" t="n">
        <f aca="false">'0. Database'!K41</f>
        <v>-15376</v>
      </c>
      <c r="K39" s="23" t="n">
        <f aca="false">'0. Database'!L41</f>
        <v>-19362</v>
      </c>
      <c r="L39" s="23" t="n">
        <f aca="false">'0. Database'!M41</f>
        <v>-22460</v>
      </c>
      <c r="M39" s="23" t="n">
        <f aca="false">'0. Database'!N41</f>
        <v>-22785</v>
      </c>
      <c r="N39" s="23" t="n">
        <f aca="false">'0. Database'!O41</f>
        <v>-24953</v>
      </c>
      <c r="O39" s="23" t="n">
        <f aca="false">'0. Database'!P41</f>
        <v>-27937.33</v>
      </c>
      <c r="P39" s="23" t="n">
        <f aca="false">'0. Database'!Q41</f>
        <v>-30032.63</v>
      </c>
      <c r="Q39" s="23" t="n">
        <f aca="false">'0. Database'!R41</f>
        <v>-31979.73</v>
      </c>
      <c r="R39" s="23" t="n">
        <f aca="false">'0. Database'!S41</f>
        <v>-33657.1</v>
      </c>
      <c r="S39" s="23" t="n">
        <f aca="false">'0. Database'!T41</f>
        <v>-35339.95</v>
      </c>
    </row>
    <row r="40" customFormat="false" ht="15" hidden="false" customHeight="true" outlineLevel="0" collapsed="false">
      <c r="A40" s="22" t="s">
        <v>48</v>
      </c>
      <c r="B40" s="23" t="n">
        <f aca="false">'0. Database'!C58</f>
        <v>-906</v>
      </c>
      <c r="C40" s="23" t="n">
        <f aca="false">'0. Database'!D58</f>
        <v>-1837</v>
      </c>
      <c r="D40" s="23" t="n">
        <f aca="false">'0. Database'!E58</f>
        <v>-2969</v>
      </c>
      <c r="E40" s="23" t="n">
        <f aca="false">'0. Database'!F58</f>
        <v>-3202</v>
      </c>
      <c r="F40" s="23" t="n">
        <f aca="false">'0. Database'!G58</f>
        <v>-3723</v>
      </c>
      <c r="G40" s="23" t="n">
        <f aca="false">'0. Database'!H58</f>
        <v>-4152</v>
      </c>
      <c r="H40" s="23" t="n">
        <f aca="false">'0. Database'!I58</f>
        <v>-4835</v>
      </c>
      <c r="I40" s="23" t="n">
        <f aca="false">'0. Database'!J58</f>
        <v>-6536</v>
      </c>
      <c r="J40" s="23" t="n">
        <f aca="false">'0. Database'!K58</f>
        <v>-9163</v>
      </c>
      <c r="K40" s="23" t="n">
        <f aca="false">'0. Database'!L58</f>
        <v>-11991</v>
      </c>
      <c r="L40" s="23" t="n">
        <f aca="false">'0. Database'!M58</f>
        <v>-14027</v>
      </c>
      <c r="M40" s="23" t="n">
        <f aca="false">'0. Database'!N58</f>
        <v>-16690</v>
      </c>
      <c r="N40" s="23" t="n">
        <f aca="false">'0. Database'!O58</f>
        <v>-20426</v>
      </c>
      <c r="O40" s="23" t="n">
        <f aca="false">'0. Database'!P58</f>
        <v>-23722.2</v>
      </c>
      <c r="P40" s="23" t="n">
        <f aca="false">'0. Database'!Q58</f>
        <v>-24908.31</v>
      </c>
      <c r="Q40" s="23" t="n">
        <f aca="false">'0. Database'!R58</f>
        <v>-26153.73</v>
      </c>
      <c r="R40" s="23" t="n">
        <f aca="false">'0. Database'!S58</f>
        <v>-27461.41</v>
      </c>
      <c r="S40" s="23" t="n">
        <f aca="false">'0. Database'!T58</f>
        <v>-28834.48</v>
      </c>
    </row>
    <row r="41" customFormat="false" ht="15" hidden="false" customHeight="true" outlineLevel="0" collapsed="false">
      <c r="A41" s="22" t="s">
        <v>55</v>
      </c>
      <c r="B41" s="23" t="n">
        <f aca="false">'0. Database'!C76</f>
        <v>755</v>
      </c>
      <c r="C41" s="23" t="n">
        <f aca="false">'0. Database'!D76</f>
        <v>805</v>
      </c>
      <c r="D41" s="23" t="n">
        <f aca="false">'0. Database'!E76</f>
        <v>933</v>
      </c>
      <c r="E41" s="23" t="n">
        <f aca="false">'0. Database'!F76</f>
        <v>1037</v>
      </c>
      <c r="F41" s="23" t="n">
        <f aca="false">'0. Database'!G76</f>
        <v>1350</v>
      </c>
      <c r="G41" s="23" t="n">
        <f aca="false">'0. Database'!H76</f>
        <v>1607</v>
      </c>
      <c r="H41" s="23" t="n">
        <f aca="false">'0. Database'!I76</f>
        <v>1653</v>
      </c>
      <c r="I41" s="23" t="n">
        <f aca="false">'0. Database'!J76</f>
        <v>1590</v>
      </c>
      <c r="J41" s="23" t="n">
        <f aca="false">'0. Database'!K76</f>
        <v>1837</v>
      </c>
      <c r="K41" s="23" t="n">
        <f aca="false">'0. Database'!L76</f>
        <v>2613</v>
      </c>
      <c r="L41" s="23" t="n">
        <f aca="false">'0. Database'!M76</f>
        <v>3547</v>
      </c>
      <c r="M41" s="23" t="n">
        <f aca="false">'0. Database'!N76</f>
        <v>3974</v>
      </c>
      <c r="N41" s="23" t="n">
        <f aca="false">'0. Database'!O76</f>
        <v>4674</v>
      </c>
      <c r="O41" s="23" t="n">
        <f aca="false">'0. Database'!P76</f>
        <v>5069.6</v>
      </c>
      <c r="P41" s="23" t="n">
        <f aca="false">'0. Database'!Q76</f>
        <v>6473.15</v>
      </c>
      <c r="Q41" s="23" t="n">
        <f aca="false">'0. Database'!R76</f>
        <v>8609.75</v>
      </c>
      <c r="R41" s="23" t="n">
        <f aca="false">'0. Database'!S76</f>
        <v>10649.61</v>
      </c>
      <c r="S41" s="23" t="n">
        <f aca="false">'0. Database'!T76</f>
        <v>11212.32</v>
      </c>
    </row>
    <row r="43" customFormat="false" ht="15" hidden="false" customHeight="true" outlineLevel="0" collapsed="false">
      <c r="A43" s="21" t="s">
        <v>96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 customFormat="false" ht="15" hidden="false" customHeight="true" outlineLevel="0" collapsed="false">
      <c r="A44" s="4" t="s">
        <v>76</v>
      </c>
      <c r="B44" s="4" t="s">
        <v>3</v>
      </c>
      <c r="C44" s="4" t="s">
        <v>4</v>
      </c>
      <c r="D44" s="4" t="s">
        <v>5</v>
      </c>
      <c r="E44" s="4" t="s">
        <v>6</v>
      </c>
      <c r="F44" s="4" t="s">
        <v>7</v>
      </c>
      <c r="G44" s="4" t="s">
        <v>8</v>
      </c>
      <c r="H44" s="4" t="s">
        <v>9</v>
      </c>
      <c r="I44" s="4" t="s">
        <v>10</v>
      </c>
      <c r="J44" s="4" t="s">
        <v>11</v>
      </c>
      <c r="K44" s="4" t="s">
        <v>12</v>
      </c>
      <c r="L44" s="4" t="s">
        <v>13</v>
      </c>
      <c r="M44" s="4" t="s">
        <v>14</v>
      </c>
      <c r="N44" s="4" t="s">
        <v>15</v>
      </c>
      <c r="O44" s="4" t="s">
        <v>16</v>
      </c>
      <c r="P44" s="4" t="s">
        <v>17</v>
      </c>
      <c r="Q44" s="4" t="s">
        <v>18</v>
      </c>
      <c r="R44" s="4" t="s">
        <v>19</v>
      </c>
      <c r="S44" s="4" t="s">
        <v>20</v>
      </c>
    </row>
    <row r="45" customFormat="false" ht="15" hidden="false" customHeight="true" outlineLevel="0" collapsed="false">
      <c r="A45" s="22" t="s">
        <v>22</v>
      </c>
      <c r="B45" s="23" t="n">
        <f aca="false">'0. Database'!C5</f>
        <v>77849</v>
      </c>
      <c r="C45" s="23" t="n">
        <f aca="false">'0. Database'!D5</f>
        <v>86833</v>
      </c>
      <c r="D45" s="23" t="n">
        <f aca="false">'0. Database'!E5</f>
        <v>93580</v>
      </c>
      <c r="E45" s="23" t="n">
        <f aca="false">'0. Database'!F5</f>
        <v>85320</v>
      </c>
      <c r="F45" s="23" t="n">
        <f aca="false">'0. Database'!G5</f>
        <v>96571</v>
      </c>
      <c r="G45" s="23" t="n">
        <f aca="false">'0. Database'!H5</f>
        <v>110360</v>
      </c>
      <c r="H45" s="23" t="n">
        <f aca="false">'0. Database'!I5</f>
        <v>125843</v>
      </c>
      <c r="I45" s="23" t="n">
        <f aca="false">'0. Database'!J5</f>
        <v>143015</v>
      </c>
      <c r="J45" s="23" t="n">
        <f aca="false">'0. Database'!K5</f>
        <v>168088</v>
      </c>
      <c r="K45" s="23" t="n">
        <f aca="false">'0. Database'!L5</f>
        <v>198270</v>
      </c>
      <c r="L45" s="23" t="n">
        <f aca="false">'0. Database'!M5</f>
        <v>211915</v>
      </c>
      <c r="M45" s="23" t="n">
        <f aca="false">'0. Database'!N5</f>
        <v>245122</v>
      </c>
      <c r="N45" s="23" t="n">
        <f aca="false">'0. Database'!O5</f>
        <v>281724</v>
      </c>
      <c r="O45" s="23" t="n">
        <f aca="false">'0. Database'!P5</f>
        <v>329440.24</v>
      </c>
      <c r="P45" s="23" t="n">
        <f aca="false">'0. Database'!Q5</f>
        <v>387103.71</v>
      </c>
      <c r="Q45" s="23" t="n">
        <f aca="false">'0. Database'!R5</f>
        <v>463474.17</v>
      </c>
      <c r="R45" s="23" t="n">
        <f aca="false">'0. Database'!S5</f>
        <v>553714.52</v>
      </c>
      <c r="S45" s="23" t="n">
        <f aca="false">'0. Database'!T5</f>
        <v>652772.62</v>
      </c>
    </row>
    <row r="46" customFormat="false" ht="15" hidden="false" customHeight="true" outlineLevel="0" collapsed="false">
      <c r="A46" s="22" t="s">
        <v>38</v>
      </c>
      <c r="B46" s="23" t="n">
        <f aca="false">'0. Database'!C21</f>
        <v>74453</v>
      </c>
      <c r="C46" s="23" t="n">
        <f aca="false">'0. Database'!D21</f>
        <v>88988.4</v>
      </c>
      <c r="D46" s="23" t="n">
        <f aca="false">'0. Database'!E21</f>
        <v>107006.6</v>
      </c>
      <c r="E46" s="23" t="n">
        <f aca="false">'0. Database'!F21</f>
        <v>135987</v>
      </c>
      <c r="F46" s="23" t="n">
        <f aca="false">'0. Database'!G21</f>
        <v>177866</v>
      </c>
      <c r="G46" s="23" t="n">
        <f aca="false">'0. Database'!H21</f>
        <v>232887</v>
      </c>
      <c r="H46" s="23" t="n">
        <f aca="false">'0. Database'!I21</f>
        <v>280522</v>
      </c>
      <c r="I46" s="23" t="n">
        <f aca="false">'0. Database'!J21</f>
        <v>386064</v>
      </c>
      <c r="J46" s="23" t="n">
        <f aca="false">'0. Database'!K21</f>
        <v>469822</v>
      </c>
      <c r="K46" s="23" t="n">
        <f aca="false">'0. Database'!L21</f>
        <v>513983</v>
      </c>
      <c r="L46" s="23" t="n">
        <f aca="false">'0. Database'!M21</f>
        <v>574785</v>
      </c>
      <c r="M46" s="23" t="n">
        <f aca="false">'0. Database'!N21</f>
        <v>637959</v>
      </c>
      <c r="N46" s="23" t="n">
        <f aca="false">'0. Database'!O21</f>
        <v>716924</v>
      </c>
      <c r="O46" s="23" t="n">
        <f aca="false">'0. Database'!P21</f>
        <v>827599.51</v>
      </c>
      <c r="P46" s="23" t="n">
        <f aca="false">'0. Database'!Q21</f>
        <v>946630.91</v>
      </c>
      <c r="Q46" s="23" t="n">
        <f aca="false">'0. Database'!R21</f>
        <v>1063340.59</v>
      </c>
      <c r="R46" s="23" t="n">
        <f aca="false">'0. Database'!S21</f>
        <v>1183117.72</v>
      </c>
      <c r="S46" s="23" t="n">
        <f aca="false">'0. Database'!T21</f>
        <v>1305415.48</v>
      </c>
    </row>
    <row r="47" customFormat="false" ht="15" hidden="false" customHeight="true" outlineLevel="0" collapsed="false">
      <c r="A47" s="22" t="s">
        <v>42</v>
      </c>
      <c r="B47" s="23" t="n">
        <f aca="false">'0. Database'!C36</f>
        <v>55519</v>
      </c>
      <c r="C47" s="23" t="n">
        <f aca="false">'0. Database'!D36</f>
        <v>66001</v>
      </c>
      <c r="D47" s="23" t="n">
        <f aca="false">'0. Database'!E36</f>
        <v>74989</v>
      </c>
      <c r="E47" s="23" t="n">
        <f aca="false">'0. Database'!F36</f>
        <v>90272</v>
      </c>
      <c r="F47" s="23" t="n">
        <f aca="false">'0. Database'!G36</f>
        <v>110855</v>
      </c>
      <c r="G47" s="23" t="n">
        <f aca="false">'0. Database'!H36</f>
        <v>136819</v>
      </c>
      <c r="H47" s="23" t="n">
        <f aca="false">'0. Database'!I36</f>
        <v>161857</v>
      </c>
      <c r="I47" s="23" t="n">
        <f aca="false">'0. Database'!J36</f>
        <v>182527</v>
      </c>
      <c r="J47" s="23" t="n">
        <f aca="false">'0. Database'!K36</f>
        <v>257637</v>
      </c>
      <c r="K47" s="23" t="n">
        <f aca="false">'0. Database'!L36</f>
        <v>282836</v>
      </c>
      <c r="L47" s="23" t="n">
        <f aca="false">'0. Database'!M36</f>
        <v>307394</v>
      </c>
      <c r="M47" s="23" t="n">
        <f aca="false">'0. Database'!N36</f>
        <v>350018</v>
      </c>
      <c r="N47" s="23" t="n">
        <f aca="false">'0. Database'!O36</f>
        <v>402836</v>
      </c>
      <c r="O47" s="23" t="n">
        <f aca="false">'0. Database'!P36</f>
        <v>488278.6</v>
      </c>
      <c r="P47" s="23" t="n">
        <f aca="false">'0. Database'!Q36</f>
        <v>591935.74</v>
      </c>
      <c r="Q47" s="23" t="n">
        <f aca="false">'0. Database'!R36</f>
        <v>701414.49</v>
      </c>
      <c r="R47" s="23" t="n">
        <f aca="false">'0. Database'!S36</f>
        <v>815276.88</v>
      </c>
      <c r="S47" s="23" t="n">
        <f aca="false">'0. Database'!T36</f>
        <v>921874.95</v>
      </c>
    </row>
    <row r="48" customFormat="false" ht="15" hidden="false" customHeight="true" outlineLevel="0" collapsed="false">
      <c r="A48" s="22" t="s">
        <v>48</v>
      </c>
      <c r="B48" s="23" t="n">
        <f aca="false">'0. Database'!C53</f>
        <v>7872</v>
      </c>
      <c r="C48" s="23" t="n">
        <f aca="false">'0. Database'!D53</f>
        <v>12466</v>
      </c>
      <c r="D48" s="23" t="n">
        <f aca="false">'0. Database'!E53</f>
        <v>17927</v>
      </c>
      <c r="E48" s="23" t="n">
        <f aca="false">'0. Database'!F53</f>
        <v>27638</v>
      </c>
      <c r="F48" s="23" t="n">
        <f aca="false">'0. Database'!G53</f>
        <v>40653</v>
      </c>
      <c r="G48" s="23" t="n">
        <f aca="false">'0. Database'!H53</f>
        <v>55838</v>
      </c>
      <c r="H48" s="23" t="n">
        <f aca="false">'0. Database'!I53</f>
        <v>70696.5</v>
      </c>
      <c r="I48" s="23" t="n">
        <f aca="false">'0. Database'!J53</f>
        <v>85966</v>
      </c>
      <c r="J48" s="23" t="n">
        <f aca="false">'0. Database'!K53</f>
        <v>117929</v>
      </c>
      <c r="K48" s="23" t="n">
        <f aca="false">'0. Database'!L53</f>
        <v>116609</v>
      </c>
      <c r="L48" s="23" t="n">
        <f aca="false">'0. Database'!M53</f>
        <v>134901</v>
      </c>
      <c r="M48" s="23" t="n">
        <f aca="false">'0. Database'!N53</f>
        <v>164500</v>
      </c>
      <c r="N48" s="23" t="n">
        <f aca="false">'0. Database'!O53</f>
        <v>200965</v>
      </c>
      <c r="O48" s="23" t="n">
        <f aca="false">'0. Database'!P53</f>
        <v>255175.56</v>
      </c>
      <c r="P48" s="23" t="n">
        <f aca="false">'0. Database'!Q53</f>
        <v>306410.52</v>
      </c>
      <c r="Q48" s="23" t="n">
        <f aca="false">'0. Database'!R53</f>
        <v>357336.07</v>
      </c>
      <c r="R48" s="23" t="n">
        <f aca="false">'0. Database'!S53</f>
        <v>407351.97</v>
      </c>
      <c r="S48" s="23" t="n">
        <f aca="false">'0. Database'!T53</f>
        <v>456192.68</v>
      </c>
    </row>
    <row r="49" customFormat="false" ht="15" hidden="false" customHeight="true" outlineLevel="0" collapsed="false">
      <c r="A49" s="22" t="s">
        <v>55</v>
      </c>
      <c r="B49" s="23" t="n">
        <f aca="false">'0. Database'!C71</f>
        <v>37253</v>
      </c>
      <c r="C49" s="23" t="n">
        <f aca="false">'0. Database'!D71</f>
        <v>38305</v>
      </c>
      <c r="D49" s="23" t="n">
        <f aca="false">'0. Database'!E71</f>
        <v>38253</v>
      </c>
      <c r="E49" s="23" t="n">
        <f aca="false">'0. Database'!F71</f>
        <v>37057</v>
      </c>
      <c r="F49" s="23" t="n">
        <f aca="false">'0. Database'!G71</f>
        <v>37899</v>
      </c>
      <c r="G49" s="23" t="n">
        <f aca="false">'0. Database'!H71</f>
        <v>39431</v>
      </c>
      <c r="H49" s="23" t="n">
        <f aca="false">'0. Database'!I71</f>
        <v>39525</v>
      </c>
      <c r="I49" s="23" t="n">
        <f aca="false">'0. Database'!J71</f>
        <v>39073</v>
      </c>
      <c r="J49" s="23" t="n">
        <f aca="false">'0. Database'!K71</f>
        <v>40481</v>
      </c>
      <c r="K49" s="23" t="n">
        <f aca="false">'0. Database'!L71</f>
        <v>42441</v>
      </c>
      <c r="L49" s="23" t="n">
        <f aca="false">'0. Database'!M71</f>
        <v>49955</v>
      </c>
      <c r="M49" s="23" t="n">
        <f aca="false">'0. Database'!N71</f>
        <v>52961</v>
      </c>
      <c r="N49" s="23" t="n">
        <f aca="false">'0. Database'!O71</f>
        <v>57399</v>
      </c>
      <c r="O49" s="23" t="n">
        <f aca="false">'0. Database'!P71</f>
        <v>67286.75</v>
      </c>
      <c r="P49" s="23" t="n">
        <f aca="false">'0. Database'!Q71</f>
        <v>88782.02</v>
      </c>
      <c r="Q49" s="23" t="n">
        <f aca="false">'0. Database'!R71</f>
        <v>125445.05</v>
      </c>
      <c r="R49" s="23" t="n">
        <f aca="false">'0. Database'!S71</f>
        <v>165192.96</v>
      </c>
      <c r="S49" s="23" t="n">
        <f aca="false">'0. Database'!T71</f>
        <v>185555.08</v>
      </c>
    </row>
    <row r="51" customFormat="false" ht="15" hidden="false" customHeight="true" outlineLevel="0" collapsed="false">
      <c r="A51" s="21" t="s">
        <v>108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customFormat="false" ht="15" hidden="false" customHeight="true" outlineLevel="0" collapsed="false">
      <c r="A52" s="4" t="s">
        <v>76</v>
      </c>
      <c r="B52" s="4" t="s">
        <v>3</v>
      </c>
      <c r="C52" s="4" t="s">
        <v>4</v>
      </c>
      <c r="D52" s="4" t="s">
        <v>5</v>
      </c>
      <c r="E52" s="4" t="s">
        <v>6</v>
      </c>
      <c r="F52" s="4" t="s">
        <v>7</v>
      </c>
      <c r="G52" s="4" t="s">
        <v>8</v>
      </c>
      <c r="H52" s="4" t="s">
        <v>9</v>
      </c>
      <c r="I52" s="4" t="s">
        <v>10</v>
      </c>
      <c r="J52" s="4" t="s">
        <v>11</v>
      </c>
      <c r="K52" s="4" t="s">
        <v>12</v>
      </c>
      <c r="L52" s="4" t="s">
        <v>13</v>
      </c>
      <c r="M52" s="4" t="s">
        <v>14</v>
      </c>
      <c r="N52" s="4" t="s">
        <v>15</v>
      </c>
      <c r="O52" s="4" t="s">
        <v>16</v>
      </c>
      <c r="P52" s="4" t="s">
        <v>17</v>
      </c>
      <c r="Q52" s="4" t="s">
        <v>18</v>
      </c>
      <c r="R52" s="4" t="s">
        <v>19</v>
      </c>
      <c r="S52" s="4" t="s">
        <v>20</v>
      </c>
    </row>
    <row r="53" customFormat="false" ht="15" hidden="false" customHeight="true" outlineLevel="0" collapsed="false">
      <c r="A53" s="22" t="s">
        <v>22</v>
      </c>
      <c r="B53" s="26" t="n">
        <f aca="false">IFERROR(B5/B45,"")</f>
        <v>0.343793754576167</v>
      </c>
      <c r="C53" s="26" t="n">
        <f aca="false">IFERROR(C5/C45,"")</f>
        <v>0.319682609146292</v>
      </c>
      <c r="D53" s="26" t="n">
        <f aca="false">IFERROR(D5/D45,"")</f>
        <v>0.194069245565292</v>
      </c>
      <c r="E53" s="26" t="n">
        <f aca="false">IFERROR(E5/E45,"")</f>
        <v>0.236544772620722</v>
      </c>
      <c r="F53" s="26" t="n">
        <f aca="false">IFERROR(F5/F45,"")</f>
        <v>0.300556067556513</v>
      </c>
      <c r="G53" s="26" t="n">
        <f aca="false">IFERROR(G5/G45,"")</f>
        <v>0.317669445451251</v>
      </c>
      <c r="H53" s="26" t="n">
        <f aca="false">IFERROR(H5/H45,"")</f>
        <v>0.341369802054942</v>
      </c>
      <c r="I53" s="26" t="n">
        <f aca="false">IFERROR(I5/I45,"")</f>
        <v>0.370303814285215</v>
      </c>
      <c r="J53" s="26" t="n">
        <f aca="false">IFERROR(J5/J45,"")</f>
        <v>0.415948788729713</v>
      </c>
      <c r="K53" s="26" t="n">
        <f aca="false">IFERROR(K5/K45,"")</f>
        <v>0.420552781560498</v>
      </c>
      <c r="L53" s="26" t="n">
        <f aca="false">IFERROR(L5/L45,"")</f>
        <v>0.417728806361041</v>
      </c>
      <c r="M53" s="26" t="n">
        <f aca="false">IFERROR(M5/M45,"")</f>
        <v>0.446442995732737</v>
      </c>
      <c r="N53" s="26" t="n">
        <f aca="false">IFERROR(N5/N45,"")</f>
        <v>0.456219562408599</v>
      </c>
      <c r="O53" s="26" t="n">
        <f aca="false">IFERROR(O5/O45,"")</f>
        <v>0.465802538269156</v>
      </c>
      <c r="P53" s="26" t="n">
        <f aca="false">IFERROR(P5/P45,"")</f>
        <v>0.463117571257584</v>
      </c>
      <c r="Q53" s="26" t="n">
        <f aca="false">IFERROR(Q5/Q45,"")</f>
        <v>0.469393623381428</v>
      </c>
      <c r="R53" s="26" t="n">
        <f aca="false">IFERROR(R5/R45,"")</f>
        <v>0.480824089640994</v>
      </c>
      <c r="S53" s="26" t="n">
        <f aca="false">IFERROR(S5/S45,"")</f>
        <v>0.487820996536282</v>
      </c>
    </row>
    <row r="54" customFormat="false" ht="15" hidden="false" customHeight="true" outlineLevel="0" collapsed="false">
      <c r="A54" s="22" t="s">
        <v>38</v>
      </c>
      <c r="B54" s="26" t="n">
        <f aca="false">IFERROR(B6/B46,"")</f>
        <v>0.0100063127073456</v>
      </c>
      <c r="C54" s="26" t="n">
        <f aca="false">IFERROR(C6/C46,"")</f>
        <v>0.0020047556760207</v>
      </c>
      <c r="D54" s="26" t="n">
        <f aca="false">IFERROR(D6/D46,"")</f>
        <v>0.0208641336141883</v>
      </c>
      <c r="E54" s="26" t="n">
        <f aca="false">IFERROR(E6/E46,"")</f>
        <v>0.0307823541956216</v>
      </c>
      <c r="F54" s="26" t="n">
        <f aca="false">IFERROR(F6/F46,"")</f>
        <v>0.023090416380871</v>
      </c>
      <c r="G54" s="26" t="n">
        <f aca="false">IFERROR(G6/G46,"")</f>
        <v>0.0533305852194412</v>
      </c>
      <c r="H54" s="26" t="n">
        <f aca="false">IFERROR(H6/H46,"")</f>
        <v>0.0518319418797813</v>
      </c>
      <c r="I54" s="26" t="n">
        <f aca="false">IFERROR(I6/I46,"")</f>
        <v>0.0593139997513366</v>
      </c>
      <c r="J54" s="26" t="n">
        <f aca="false">IFERROR(J6/J46,"")</f>
        <v>0.0529540975092695</v>
      </c>
      <c r="K54" s="26" t="n">
        <f aca="false">IFERROR(K6/K46,"")</f>
        <v>0.0238295819122422</v>
      </c>
      <c r="L54" s="26" t="n">
        <f aca="false">IFERROR(L6/L46,"")</f>
        <v>0.0641144079960333</v>
      </c>
      <c r="M54" s="26" t="n">
        <f aca="false">IFERROR(M6/M46,"")</f>
        <v>0.107519448742004</v>
      </c>
      <c r="N54" s="26" t="n">
        <f aca="false">IFERROR(N6/N46,"")</f>
        <v>0.111552967957552</v>
      </c>
      <c r="O54" s="26" t="n">
        <f aca="false">IFERROR(O6/O46,"")</f>
        <v>0.131708463674658</v>
      </c>
      <c r="P54" s="26" t="n">
        <f aca="false">IFERROR(P6/P46,"")</f>
        <v>0.154365760146159</v>
      </c>
      <c r="Q54" s="26" t="n">
        <f aca="false">IFERROR(Q6/Q46,"")</f>
        <v>0.172540408713261</v>
      </c>
      <c r="R54" s="26" t="n">
        <f aca="false">IFERROR(R6/R46,"")</f>
        <v>0.188661589820496</v>
      </c>
      <c r="S54" s="26" t="n">
        <f aca="false">IFERROR(S6/S46,"")</f>
        <v>0.202680597904355</v>
      </c>
    </row>
    <row r="55" customFormat="false" ht="15" hidden="false" customHeight="true" outlineLevel="0" collapsed="false">
      <c r="A55" s="22" t="s">
        <v>42</v>
      </c>
      <c r="B55" s="26" t="n">
        <f aca="false">IFERROR(B7/B47,"")</f>
        <v>0.27743655325204</v>
      </c>
      <c r="C55" s="26" t="n">
        <f aca="false">IFERROR(C7/C47,"")</f>
        <v>0.249935607036257</v>
      </c>
      <c r="D55" s="26" t="n">
        <f aca="false">IFERROR(D7/D47,"")</f>
        <v>0.258171198442438</v>
      </c>
      <c r="E55" s="26" t="n">
        <f aca="false">IFERROR(E7/E47,"")</f>
        <v>0.262717121588089</v>
      </c>
      <c r="F55" s="26" t="n">
        <f aca="false">IFERROR(F7/F47,"")</f>
        <v>0.235857651887601</v>
      </c>
      <c r="G55" s="26" t="n">
        <f aca="false">IFERROR(G7/G47,"")</f>
        <v>0.196997493038248</v>
      </c>
      <c r="H55" s="26" t="n">
        <f aca="false">IFERROR(H7/H47,"")</f>
        <v>0.211489154006314</v>
      </c>
      <c r="I55" s="26" t="n">
        <f aca="false">IFERROR(I7/I47,"")</f>
        <v>0.225851517857632</v>
      </c>
      <c r="J55" s="26" t="n">
        <f aca="false">IFERROR(J7/J47,"")</f>
        <v>0.305522886852432</v>
      </c>
      <c r="K55" s="26" t="n">
        <f aca="false">IFERROR(K7/K47,"")</f>
        <v>0.26461270842467</v>
      </c>
      <c r="L55" s="26" t="n">
        <f aca="false">IFERROR(L7/L47,"")</f>
        <v>0.274218104452266</v>
      </c>
      <c r="M55" s="26" t="n">
        <f aca="false">IFERROR(M7/M47,"")</f>
        <v>0.321097772114577</v>
      </c>
      <c r="N55" s="26" t="n">
        <f aca="false">IFERROR(N7/N47,"")</f>
        <v>0.3203263859238</v>
      </c>
      <c r="O55" s="26" t="n">
        <f aca="false">IFERROR(O7/O47,"")</f>
        <v>0.342669553816202</v>
      </c>
      <c r="P55" s="26" t="n">
        <f aca="false">IFERROR(P7/P47,"")</f>
        <v>0.355253646282618</v>
      </c>
      <c r="Q55" s="26" t="n">
        <f aca="false">IFERROR(Q7/Q47,"")</f>
        <v>0.36181091725094</v>
      </c>
      <c r="R55" s="26" t="n">
        <f aca="false">IFERROR(R7/R47,"")</f>
        <v>0.366157445799273</v>
      </c>
      <c r="S55" s="26" t="n">
        <f aca="false">IFERROR(S7/S47,"")</f>
        <v>0.367020570414675</v>
      </c>
    </row>
    <row r="56" customFormat="false" ht="15" hidden="false" customHeight="true" outlineLevel="0" collapsed="false">
      <c r="A56" s="22" t="s">
        <v>48</v>
      </c>
      <c r="B56" s="26" t="n">
        <f aca="false">IFERROR(B8/B48,"")</f>
        <v>0.35619918699187</v>
      </c>
      <c r="C56" s="26" t="n">
        <f aca="false">IFERROR(C8/C48,"")</f>
        <v>0.400673832825285</v>
      </c>
      <c r="D56" s="26" t="n">
        <f aca="false">IFERROR(D8/D48,"")</f>
        <v>0.347241590896413</v>
      </c>
      <c r="E56" s="26" t="n">
        <f aca="false">IFERROR(E8/E48,"")</f>
        <v>0.449634561111513</v>
      </c>
      <c r="F56" s="26" t="n">
        <f aca="false">IFERROR(F8/F48,"")</f>
        <v>0.496937495387794</v>
      </c>
      <c r="G56" s="26" t="n">
        <f aca="false">IFERROR(G8/G48,"")</f>
        <v>0.446165693613668</v>
      </c>
      <c r="H56" s="26" t="n">
        <f aca="false">IFERROR(H8/H48,"")</f>
        <v>0.339274221496114</v>
      </c>
      <c r="I56" s="26" t="n">
        <f aca="false">IFERROR(I8/I48,"")</f>
        <v>0.380045599423028</v>
      </c>
      <c r="J56" s="26" t="n">
        <f aca="false">IFERROR(J8/J48,"")</f>
        <v>0.396450406600582</v>
      </c>
      <c r="K56" s="26" t="n">
        <f aca="false">IFERROR(K8/K48,"")</f>
        <v>0.248222692931077</v>
      </c>
      <c r="L56" s="26" t="n">
        <f aca="false">IFERROR(L8/L48,"")</f>
        <v>0.346557846124195</v>
      </c>
      <c r="M56" s="26" t="n">
        <f aca="false">IFERROR(M8/M48,"")</f>
        <v>0.421762917933131</v>
      </c>
      <c r="N56" s="26" t="n">
        <f aca="false">IFERROR(N8/N48,"")</f>
        <v>0.414380613539671</v>
      </c>
      <c r="O56" s="26" t="n">
        <f aca="false">IFERROR(O8/O48,"")</f>
        <v>0.354617777658644</v>
      </c>
      <c r="P56" s="26" t="n">
        <f aca="false">IFERROR(P8/P48,"")</f>
        <v>0.340842115995234</v>
      </c>
      <c r="Q56" s="26" t="n">
        <f aca="false">IFERROR(Q8/Q48,"")</f>
        <v>0.331377350179063</v>
      </c>
      <c r="R56" s="26" t="n">
        <f aca="false">IFERROR(R8/R48,"")</f>
        <v>0.32287495749683</v>
      </c>
      <c r="S56" s="26" t="n">
        <f aca="false">IFERROR(S8/S48,"")</f>
        <v>0.313057785144646</v>
      </c>
    </row>
    <row r="57" customFormat="false" ht="15" hidden="false" customHeight="true" outlineLevel="0" collapsed="false">
      <c r="A57" s="22" t="s">
        <v>55</v>
      </c>
      <c r="B57" s="26" t="n">
        <f aca="false">IFERROR(B9/B49,"")</f>
        <v>0.39416959707943</v>
      </c>
      <c r="C57" s="26" t="n">
        <f aca="false">IFERROR(C9/C49,"")</f>
        <v>0.385276073619632</v>
      </c>
      <c r="D57" s="26" t="n">
        <f aca="false">IFERROR(D9/D49,"")</f>
        <v>0.36258594097195</v>
      </c>
      <c r="E57" s="26" t="n">
        <f aca="false">IFERROR(E9/E49,"")</f>
        <v>0.34012467280136</v>
      </c>
      <c r="F57" s="26" t="n">
        <f aca="false">IFERROR(F9/F49,"")</f>
        <v>0.335365049209742</v>
      </c>
      <c r="G57" s="26" t="n">
        <f aca="false">IFERROR(G9/G49,"")</f>
        <v>0.336385077730719</v>
      </c>
      <c r="H57" s="26" t="n">
        <f aca="false">IFERROR(H9/H49,"")</f>
        <v>0.342441492726123</v>
      </c>
      <c r="I57" s="26" t="n">
        <f aca="false">IFERROR(I9/I49,"")</f>
        <v>0.355667596550047</v>
      </c>
      <c r="J57" s="26" t="n">
        <f aca="false">IFERROR(J9/J49,"")</f>
        <v>0.375830636594946</v>
      </c>
      <c r="K57" s="26" t="n">
        <f aca="false">IFERROR(K9/K49,"")</f>
        <v>0.257463301995712</v>
      </c>
      <c r="L57" s="26" t="n">
        <f aca="false">IFERROR(L9/L49,"")</f>
        <v>0.262115904313883</v>
      </c>
      <c r="M57" s="26" t="n">
        <f aca="false">IFERROR(M9/M49,"")</f>
        <v>0.289911444270312</v>
      </c>
      <c r="N57" s="26" t="n">
        <f aca="false">IFERROR(N9/N49,"")</f>
        <v>0.307984459659576</v>
      </c>
      <c r="O57" s="26" t="n">
        <f aca="false">IFERROR(O9/O49,"")</f>
        <v>0.289246248332696</v>
      </c>
      <c r="P57" s="26" t="n">
        <f aca="false">IFERROR(P9/P49,"")</f>
        <v>0.23797825280389</v>
      </c>
      <c r="Q57" s="26" t="n">
        <f aca="false">IFERROR(Q9/Q49,"")</f>
        <v>0.294398702858343</v>
      </c>
      <c r="R57" s="26" t="n">
        <f aca="false">IFERROR(R9/R49,"")</f>
        <v>0.32118626604911</v>
      </c>
      <c r="S57" s="26" t="n">
        <f aca="false">IFERROR(S9/S49,"")</f>
        <v>0.312321387266789</v>
      </c>
    </row>
    <row r="59" customFormat="false" ht="15" hidden="false" customHeight="true" outlineLevel="0" collapsed="false">
      <c r="A59" s="21" t="s">
        <v>109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 customFormat="false" ht="15" hidden="false" customHeight="true" outlineLevel="0" collapsed="false">
      <c r="A60" s="4" t="s">
        <v>76</v>
      </c>
      <c r="B60" s="4" t="s">
        <v>3</v>
      </c>
      <c r="C60" s="4" t="s">
        <v>4</v>
      </c>
      <c r="D60" s="4" t="s">
        <v>5</v>
      </c>
      <c r="E60" s="4" t="s">
        <v>6</v>
      </c>
      <c r="F60" s="4" t="s">
        <v>7</v>
      </c>
      <c r="G60" s="4" t="s">
        <v>8</v>
      </c>
      <c r="H60" s="4" t="s">
        <v>9</v>
      </c>
      <c r="I60" s="4" t="s">
        <v>10</v>
      </c>
      <c r="J60" s="4" t="s">
        <v>11</v>
      </c>
      <c r="K60" s="4" t="s">
        <v>12</v>
      </c>
      <c r="L60" s="4" t="s">
        <v>13</v>
      </c>
      <c r="M60" s="4" t="s">
        <v>14</v>
      </c>
      <c r="N60" s="4" t="s">
        <v>15</v>
      </c>
      <c r="O60" s="4" t="s">
        <v>16</v>
      </c>
      <c r="P60" s="4" t="s">
        <v>17</v>
      </c>
      <c r="Q60" s="4" t="s">
        <v>18</v>
      </c>
      <c r="R60" s="4" t="s">
        <v>19</v>
      </c>
      <c r="S60" s="4" t="s">
        <v>20</v>
      </c>
    </row>
    <row r="61" customFormat="false" ht="15" hidden="false" customHeight="true" outlineLevel="0" collapsed="false">
      <c r="A61" s="22" t="s">
        <v>22</v>
      </c>
      <c r="B61" s="26" t="n">
        <f aca="false">IFERROR(B13/B45,"")</f>
        <v>0.280838546416781</v>
      </c>
      <c r="C61" s="26" t="n">
        <f aca="false">IFERROR(C13/C45,"")</f>
        <v>0.25421210829984</v>
      </c>
      <c r="D61" s="26" t="n">
        <f aca="false">IFERROR(D13/D45,"")</f>
        <v>0.130294934815131</v>
      </c>
      <c r="E61" s="26" t="n">
        <f aca="false">IFERROR(E13/E45,"")</f>
        <v>0.196882325363338</v>
      </c>
      <c r="F61" s="26" t="n">
        <f aca="false">IFERROR(F13/F45,"")</f>
        <v>0.263940520446097</v>
      </c>
      <c r="G61" s="26" t="n">
        <f aca="false">IFERROR(G13/G45,"")</f>
        <v>0.150154041319319</v>
      </c>
      <c r="H61" s="26" t="n">
        <f aca="false">IFERROR(H13/H45,"")</f>
        <v>0.311817105440907</v>
      </c>
      <c r="I61" s="26" t="n">
        <f aca="false">IFERROR(I13/I45,"")</f>
        <v>0.3096248645247</v>
      </c>
      <c r="J61" s="26" t="n">
        <f aca="false">IFERROR(J13/J45,"")</f>
        <v>0.364517395649898</v>
      </c>
      <c r="K61" s="26" t="n">
        <f aca="false">IFERROR(K13/K45,"")</f>
        <v>0.366863368134362</v>
      </c>
      <c r="L61" s="26" t="n">
        <f aca="false">IFERROR(L13/L45,"")</f>
        <v>0.341462378783946</v>
      </c>
      <c r="M61" s="26" t="n">
        <f aca="false">IFERROR(M13/M45,"")</f>
        <v>0.35955972944085</v>
      </c>
      <c r="N61" s="26" t="n">
        <f aca="false">IFERROR(N13/N45,"")</f>
        <v>0.361460152489671</v>
      </c>
      <c r="O61" s="26" t="n">
        <f aca="false">IFERROR(O13/O45,"")</f>
        <v>0.392705092735484</v>
      </c>
      <c r="P61" s="26" t="n">
        <f aca="false">IFERROR(P13/P45,"")</f>
        <v>0.374503153173086</v>
      </c>
      <c r="Q61" s="26" t="n">
        <f aca="false">IFERROR(Q13/Q45,"")</f>
        <v>0.379058707845574</v>
      </c>
      <c r="R61" s="26" t="n">
        <f aca="false">IFERROR(R13/R45,"")</f>
        <v>0.389139551550861</v>
      </c>
      <c r="S61" s="26" t="n">
        <f aca="false">IFERROR(S13/S45,"")</f>
        <v>0.396689983718986</v>
      </c>
    </row>
    <row r="62" customFormat="false" ht="15" hidden="false" customHeight="true" outlineLevel="0" collapsed="false">
      <c r="A62" s="22" t="s">
        <v>38</v>
      </c>
      <c r="B62" s="26" t="n">
        <f aca="false">IFERROR(B14/B46,"")</f>
        <v>0.00366674277732261</v>
      </c>
      <c r="C62" s="26" t="n">
        <f aca="false">IFERROR(C14/C46,"")</f>
        <v>-0.00270372318189787</v>
      </c>
      <c r="D62" s="26" t="n">
        <f aca="false">IFERROR(D14/D46,"")</f>
        <v>0.00557068442507285</v>
      </c>
      <c r="E62" s="26" t="n">
        <f aca="false">IFERROR(E14/E46,"")</f>
        <v>0.0174354901571474</v>
      </c>
      <c r="F62" s="26" t="n">
        <f aca="false">IFERROR(F14/F46,"")</f>
        <v>0.0170521628641787</v>
      </c>
      <c r="G62" s="26" t="n">
        <f aca="false">IFERROR(G14/G46,"")</f>
        <v>0.0432527363055903</v>
      </c>
      <c r="H62" s="26" t="n">
        <f aca="false">IFERROR(H14/H46,"")</f>
        <v>0.0413087030607225</v>
      </c>
      <c r="I62" s="26" t="n">
        <f aca="false">IFERROR(I14/I46,"")</f>
        <v>0.0552524969953168</v>
      </c>
      <c r="J62" s="26" t="n">
        <f aca="false">IFERROR(J14/J46,"")</f>
        <v>0.0710141287551456</v>
      </c>
      <c r="K62" s="26" t="n">
        <f aca="false">IFERROR(K14/K46,"")</f>
        <v>-0.0052958950004183</v>
      </c>
      <c r="L62" s="26" t="n">
        <f aca="false">IFERROR(L14/L46,"")</f>
        <v>0.0529328357559783</v>
      </c>
      <c r="M62" s="26" t="n">
        <f aca="false">IFERROR(M14/M46,"")</f>
        <v>0.0928711719718665</v>
      </c>
      <c r="N62" s="26" t="n">
        <f aca="false">IFERROR(N14/N46,"")</f>
        <v>0.108337843341833</v>
      </c>
      <c r="O62" s="26" t="n">
        <f aca="false">IFERROR(O14/O46,"")</f>
        <v>0.118818001716797</v>
      </c>
      <c r="P62" s="26" t="n">
        <f aca="false">IFERROR(P14/P46,"")</f>
        <v>0.122770552675065</v>
      </c>
      <c r="Q62" s="26" t="n">
        <f aca="false">IFERROR(Q14/Q46,"")</f>
        <v>0.136378128855215</v>
      </c>
      <c r="R62" s="26" t="n">
        <f aca="false">IFERROR(R14/R46,"")</f>
        <v>0.149753652578207</v>
      </c>
      <c r="S62" s="26" t="n">
        <f aca="false">IFERROR(S14/S46,"")</f>
        <v>0.162343708380109</v>
      </c>
    </row>
    <row r="63" customFormat="false" ht="15" hidden="false" customHeight="true" outlineLevel="0" collapsed="false">
      <c r="A63" s="22" t="s">
        <v>42</v>
      </c>
      <c r="B63" s="26" t="n">
        <f aca="false">IFERROR(B15/B47,"")</f>
        <v>0.229110754876709</v>
      </c>
      <c r="C63" s="26" t="n">
        <f aca="false">IFERROR(C15/C47,"")</f>
        <v>0.214178573051923</v>
      </c>
      <c r="D63" s="26" t="n">
        <f aca="false">IFERROR(D15/D47,"")</f>
        <v>0.218005307445092</v>
      </c>
      <c r="E63" s="26" t="n">
        <f aca="false">IFERROR(E15/E47,"")</f>
        <v>0.215770116979794</v>
      </c>
      <c r="F63" s="26" t="n">
        <f aca="false">IFERROR(F15/F47,"")</f>
        <v>0.114221280050516</v>
      </c>
      <c r="G63" s="26" t="n">
        <f aca="false">IFERROR(G15/G47,"")</f>
        <v>0.224647161578436</v>
      </c>
      <c r="H63" s="26" t="n">
        <f aca="false">IFERROR(H15/H47,"")</f>
        <v>0.212181122843003</v>
      </c>
      <c r="I63" s="26" t="n">
        <f aca="false">IFERROR(I15/I47,"")</f>
        <v>0.220619415209805</v>
      </c>
      <c r="J63" s="26" t="n">
        <f aca="false">IFERROR(J15/J47,"")</f>
        <v>0.295116772823779</v>
      </c>
      <c r="K63" s="26" t="n">
        <f aca="false">IFERROR(K15/K47,"")</f>
        <v>0.21203807153262</v>
      </c>
      <c r="L63" s="26" t="n">
        <f aca="false">IFERROR(L15/L47,"")</f>
        <v>0.240066494466385</v>
      </c>
      <c r="M63" s="26" t="n">
        <f aca="false">IFERROR(M15/M47,"")</f>
        <v>0.28603671811164</v>
      </c>
      <c r="N63" s="26" t="n">
        <f aca="false">IFERROR(N15/N47,"")</f>
        <v>0.328098779652265</v>
      </c>
      <c r="O63" s="26" t="n">
        <f aca="false">IFERROR(O15/O47,"")</f>
        <v>0.345178510792814</v>
      </c>
      <c r="P63" s="26" t="n">
        <f aca="false">IFERROR(P15/P47,"")</f>
        <v>0.295010012404387</v>
      </c>
      <c r="Q63" s="26" t="n">
        <f aca="false">IFERROR(Q15/Q47,"")</f>
        <v>0.300469184775467</v>
      </c>
      <c r="R63" s="26" t="n">
        <f aca="false">IFERROR(R15/R47,"")</f>
        <v>0.306017018414652</v>
      </c>
      <c r="S63" s="26" t="n">
        <f aca="false">IFERROR(S15/S47,"")</f>
        <v>0.310211010723309</v>
      </c>
    </row>
    <row r="64" customFormat="false" ht="15" hidden="false" customHeight="true" outlineLevel="0" collapsed="false">
      <c r="A64" s="22" t="s">
        <v>48</v>
      </c>
      <c r="B64" s="26" t="n">
        <f aca="false">IFERROR(B16/B48,"")</f>
        <v>0.189405487804878</v>
      </c>
      <c r="C64" s="26" t="n">
        <f aca="false">IFERROR(C16/C48,"")</f>
        <v>0.23462217230868</v>
      </c>
      <c r="D64" s="26" t="n">
        <f aca="false">IFERROR(D16/D48,"")</f>
        <v>0.204663356947621</v>
      </c>
      <c r="E64" s="26" t="n">
        <f aca="false">IFERROR(E16/E48,"")</f>
        <v>0.36859396483103</v>
      </c>
      <c r="F64" s="26" t="n">
        <f aca="false">IFERROR(F16/F48,"")</f>
        <v>0.391582417041793</v>
      </c>
      <c r="G64" s="26" t="n">
        <f aca="false">IFERROR(G16/G48,"")</f>
        <v>0.396002722160536</v>
      </c>
      <c r="H64" s="26" t="n">
        <f aca="false">IFERROR(H16/H48,"")</f>
        <v>0.261462731535507</v>
      </c>
      <c r="I64" s="26" t="n">
        <f aca="false">IFERROR(I16/I48,"")</f>
        <v>0.339029383709839</v>
      </c>
      <c r="J64" s="26" t="n">
        <f aca="false">IFERROR(J16/J48,"")</f>
        <v>0.333844940599853</v>
      </c>
      <c r="K64" s="26" t="n">
        <f aca="false">IFERROR(K16/K48,"")</f>
        <v>0.198946908043118</v>
      </c>
      <c r="L64" s="26" t="n">
        <f aca="false">IFERROR(L16/L48,"")</f>
        <v>0.289819942031564</v>
      </c>
      <c r="M64" s="26" t="n">
        <f aca="false">IFERROR(M16/M48,"")</f>
        <v>0.379088145896657</v>
      </c>
      <c r="N64" s="26" t="n">
        <f aca="false">IFERROR(N16/N48,"")</f>
        <v>0.300838454457244</v>
      </c>
      <c r="O64" s="26" t="n">
        <f aca="false">IFERROR(O16/O48,"")</f>
        <v>0.336171928063957</v>
      </c>
      <c r="P64" s="26" t="n">
        <f aca="false">IFERROR(P16/P48,"")</f>
        <v>0.297512435278005</v>
      </c>
      <c r="Q64" s="26" t="n">
        <f aca="false">IFERROR(Q16/Q48,"")</f>
        <v>0.289510963726668</v>
      </c>
      <c r="R64" s="26" t="n">
        <f aca="false">IFERROR(R16/R48,"")</f>
        <v>0.284389197872297</v>
      </c>
      <c r="S64" s="26" t="n">
        <f aca="false">IFERROR(S16/S48,"")</f>
        <v>0.280154363721926</v>
      </c>
    </row>
    <row r="65" customFormat="false" ht="15" hidden="false" customHeight="true" outlineLevel="0" collapsed="false">
      <c r="A65" s="22" t="s">
        <v>55</v>
      </c>
      <c r="B65" s="26" t="n">
        <f aca="false">IFERROR(B17/B49,"")</f>
        <v>0.293291815424261</v>
      </c>
      <c r="C65" s="26" t="n">
        <f aca="false">IFERROR(C17/C49,"")</f>
        <v>0.285993995561937</v>
      </c>
      <c r="D65" s="26" t="n">
        <f aca="false">IFERROR(D17/D49,"")</f>
        <v>0.259796617258777</v>
      </c>
      <c r="E65" s="26" t="n">
        <f aca="false">IFERROR(E17/E49,"")</f>
        <v>0.240170548074588</v>
      </c>
      <c r="F65" s="26" t="n">
        <f aca="false">IFERROR(F17/F49,"")</f>
        <v>0.246286181693448</v>
      </c>
      <c r="G65" s="26" t="n">
        <f aca="false">IFERROR(G17/G49,"")</f>
        <v>0.09096903451599</v>
      </c>
      <c r="H65" s="26" t="n">
        <f aca="false">IFERROR(H17/H49,"")</f>
        <v>0.280404807084124</v>
      </c>
      <c r="I65" s="26" t="n">
        <f aca="false">IFERROR(I17/I49,"")</f>
        <v>0.259386276968751</v>
      </c>
      <c r="J65" s="26" t="n">
        <f aca="false">IFERROR(J17/J49,"")</f>
        <v>0.339591413255601</v>
      </c>
      <c r="K65" s="26" t="n">
        <f aca="false">IFERROR(K17/K49,"")</f>
        <v>0.158290332461535</v>
      </c>
      <c r="L65" s="26" t="n">
        <f aca="false">IFERROR(L17/L49,"")</f>
        <v>0.1702332098889</v>
      </c>
      <c r="M65" s="26" t="n">
        <f aca="false">IFERROR(M17/M49,"")</f>
        <v>0.197635996299164</v>
      </c>
      <c r="N65" s="26" t="n">
        <f aca="false">IFERROR(N17/N49,"")</f>
        <v>0.216780780152964</v>
      </c>
      <c r="O65" s="26" t="n">
        <f aca="false">IFERROR(O17/O49,"")</f>
        <v>0.235121327750263</v>
      </c>
      <c r="P65" s="26" t="n">
        <f aca="false">IFERROR(P17/P49,"")</f>
        <v>0.150515836427241</v>
      </c>
      <c r="Q65" s="26" t="n">
        <f aca="false">IFERROR(Q17/Q49,"")</f>
        <v>0.213453300867591</v>
      </c>
      <c r="R65" s="26" t="n">
        <f aca="false">IFERROR(R17/R49,"")</f>
        <v>0.24114114790364</v>
      </c>
      <c r="S65" s="26" t="n">
        <f aca="false">IFERROR(S17/S49,"")</f>
        <v>0.237689423539361</v>
      </c>
    </row>
    <row r="67" customFormat="false" ht="15" hidden="false" customHeight="true" outlineLevel="0" collapsed="false">
      <c r="A67" s="21" t="s">
        <v>110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customFormat="false" ht="15" hidden="false" customHeight="true" outlineLevel="0" collapsed="false">
      <c r="A68" s="4" t="s">
        <v>76</v>
      </c>
      <c r="B68" s="4" t="s">
        <v>3</v>
      </c>
      <c r="C68" s="4" t="s">
        <v>4</v>
      </c>
      <c r="D68" s="4" t="s">
        <v>5</v>
      </c>
      <c r="E68" s="4" t="s">
        <v>6</v>
      </c>
      <c r="F68" s="4" t="s">
        <v>7</v>
      </c>
      <c r="G68" s="4" t="s">
        <v>8</v>
      </c>
      <c r="H68" s="4" t="s">
        <v>9</v>
      </c>
      <c r="I68" s="4" t="s">
        <v>10</v>
      </c>
      <c r="J68" s="4" t="s">
        <v>11</v>
      </c>
      <c r="K68" s="4" t="s">
        <v>12</v>
      </c>
      <c r="L68" s="4" t="s">
        <v>13</v>
      </c>
      <c r="M68" s="4" t="s">
        <v>14</v>
      </c>
      <c r="N68" s="4" t="s">
        <v>15</v>
      </c>
      <c r="O68" s="4" t="s">
        <v>16</v>
      </c>
      <c r="P68" s="4" t="s">
        <v>17</v>
      </c>
      <c r="Q68" s="4" t="s">
        <v>18</v>
      </c>
      <c r="R68" s="4" t="s">
        <v>19</v>
      </c>
      <c r="S68" s="4" t="s">
        <v>20</v>
      </c>
    </row>
    <row r="69" customFormat="false" ht="15" hidden="false" customHeight="true" outlineLevel="0" collapsed="false">
      <c r="A69" s="22" t="s">
        <v>22</v>
      </c>
      <c r="B69" s="25"/>
      <c r="C69" s="26" t="n">
        <f aca="false">IFERROR(C21/B21-1,"")</f>
        <v>0.0114068441064639</v>
      </c>
      <c r="D69" s="26" t="n">
        <f aca="false">IFERROR(D21/C21-1,"")</f>
        <v>-0.0263157894736843</v>
      </c>
      <c r="E69" s="26" t="n">
        <f aca="false">IFERROR(E21/D21-1,"")</f>
        <v>0.0772200772200773</v>
      </c>
      <c r="F69" s="26" t="n">
        <f aca="false">IFERROR(F21/E21-1,"")</f>
        <v>0.17921146953405</v>
      </c>
      <c r="G69" s="26" t="n">
        <f aca="false">IFERROR(G21/F21-1,"")</f>
        <v>0.179331306990882</v>
      </c>
      <c r="H69" s="26" t="n">
        <f aca="false">IFERROR(H21/G21-1,"")</f>
        <v>0.224226804123711</v>
      </c>
      <c r="I69" s="26" t="n">
        <f aca="false">IFERROR(I21/H21-1,"")</f>
        <v>0.212631578947368</v>
      </c>
      <c r="J69" s="26" t="n">
        <f aca="false">IFERROR(J21/I21-1,"")</f>
        <v>0.383680555555556</v>
      </c>
      <c r="K69" s="26" t="n">
        <f aca="false">IFERROR(K21/J21-1,"")</f>
        <v>0.155583437892096</v>
      </c>
      <c r="L69" s="26" t="n">
        <f aca="false">IFERROR(L21/K21-1,"")</f>
        <v>0.0651465798045603</v>
      </c>
      <c r="M69" s="26" t="n">
        <f aca="false">IFERROR(M21/L21-1,"")</f>
        <v>0.202854230377166</v>
      </c>
      <c r="N69" s="26" t="n">
        <f aca="false">IFERROR(N21/M21-1,"")</f>
        <v>0.178813559322034</v>
      </c>
      <c r="O69" s="26" t="n">
        <f aca="false">IFERROR(O21/N21-1,"")</f>
        <v>0.204169662113587</v>
      </c>
      <c r="P69" s="26" t="n">
        <f aca="false">IFERROR(P21/O21-1,"")</f>
        <v>0.162388059701492</v>
      </c>
      <c r="Q69" s="26" t="n">
        <f aca="false">IFERROR(Q21/P21-1,"")</f>
        <v>0.212634822804314</v>
      </c>
      <c r="R69" s="26" t="n">
        <f aca="false">IFERROR(R21/Q21-1,"")</f>
        <v>0.227022448115205</v>
      </c>
      <c r="S69" s="26" t="n">
        <f aca="false">IFERROR(S21/R21-1,"")</f>
        <v>0.201933034173283</v>
      </c>
    </row>
    <row r="70" customFormat="false" ht="15" hidden="false" customHeight="true" outlineLevel="0" collapsed="false">
      <c r="A70" s="22" t="s">
        <v>38</v>
      </c>
      <c r="B70" s="25"/>
      <c r="C70" s="26" t="n">
        <f aca="false">IFERROR(C22/B22-1,"")</f>
        <v>-2</v>
      </c>
      <c r="D70" s="26" t="n">
        <f aca="false">IFERROR(D22/C22-1,"")</f>
        <v>-3</v>
      </c>
      <c r="E70" s="26" t="n">
        <f aca="false">IFERROR(E22/D22-1,"")</f>
        <v>3</v>
      </c>
      <c r="F70" s="26" t="n">
        <f aca="false">IFERROR(F22/E22-1,"")</f>
        <v>0.291666666666667</v>
      </c>
      <c r="G70" s="26" t="n">
        <f aca="false">IFERROR(G22/F22-1,"")</f>
        <v>2.25806451612903</v>
      </c>
      <c r="H70" s="26" t="n">
        <f aca="false">IFERROR(H22/G22-1,"")</f>
        <v>0.138613861386139</v>
      </c>
      <c r="I70" s="26" t="n">
        <f aca="false">IFERROR(I22/H22-1,"")</f>
        <v>0.808695652173913</v>
      </c>
      <c r="J70" s="26" t="n">
        <f aca="false">IFERROR(J22/I22-1,"")</f>
        <v>0.5625</v>
      </c>
      <c r="K70" s="26" t="n">
        <f aca="false">IFERROR(K22/J22-1,"")</f>
        <v>-1.08</v>
      </c>
      <c r="L70" s="26" t="n">
        <f aca="false">IFERROR(L22/K22-1,"")</f>
        <v>-12.0769230769231</v>
      </c>
      <c r="M70" s="26" t="n">
        <f aca="false">IFERROR(M22/L22-1,"")</f>
        <v>0.920138888888889</v>
      </c>
      <c r="N70" s="26" t="n">
        <f aca="false">IFERROR(N22/M22-1,"")</f>
        <v>0.296564195298372</v>
      </c>
      <c r="O70" s="26" t="n">
        <f aca="false">IFERROR(O22/N22-1,"")</f>
        <v>0.258019525801953</v>
      </c>
      <c r="P70" s="26" t="n">
        <f aca="false">IFERROR(P22/O22-1,"")</f>
        <v>0.172949002217295</v>
      </c>
      <c r="Q70" s="26" t="n">
        <f aca="false">IFERROR(Q22/P22-1,"")</f>
        <v>0.239130434782609</v>
      </c>
      <c r="R70" s="26" t="n">
        <f aca="false">IFERROR(R22/Q22-1,"")</f>
        <v>0.214340198321892</v>
      </c>
      <c r="S70" s="26" t="n">
        <f aca="false">IFERROR(S22/R22-1,"")</f>
        <v>0.188442211055277</v>
      </c>
    </row>
    <row r="71" customFormat="false" ht="15" hidden="false" customHeight="true" outlineLevel="0" collapsed="false">
      <c r="A71" s="22" t="s">
        <v>42</v>
      </c>
      <c r="B71" s="25"/>
      <c r="C71" s="26" t="n">
        <f aca="false">IFERROR(C23/B23-1,"")</f>
        <v>0.095744680851064</v>
      </c>
      <c r="D71" s="26" t="n">
        <f aca="false">IFERROR(D23/C23-1,"")</f>
        <v>0.145631067961165</v>
      </c>
      <c r="E71" s="26" t="n">
        <f aca="false">IFERROR(E23/D23-1,"")</f>
        <v>0.177966101694915</v>
      </c>
      <c r="F71" s="26" t="n">
        <f aca="false">IFERROR(F23/E23-1,"")</f>
        <v>-0.352517985611511</v>
      </c>
      <c r="G71" s="26" t="n">
        <f aca="false">IFERROR(G23/F23-1,"")</f>
        <v>1.43333333333333</v>
      </c>
      <c r="H71" s="26" t="n">
        <f aca="false">IFERROR(H23/G23-1,"")</f>
        <v>0.123287671232877</v>
      </c>
      <c r="I71" s="26" t="n">
        <f aca="false">IFERROR(I23/H23-1,"")</f>
        <v>0.191056910569106</v>
      </c>
      <c r="J71" s="26" t="n">
        <f aca="false">IFERROR(J23/I23-1,"")</f>
        <v>0.914675767918089</v>
      </c>
      <c r="K71" s="26" t="n">
        <f aca="false">IFERROR(K23/J23-1,"")</f>
        <v>-0.18716577540107</v>
      </c>
      <c r="L71" s="26" t="n">
        <f aca="false">IFERROR(L23/K23-1,"")</f>
        <v>0.271929824561404</v>
      </c>
      <c r="M71" s="26" t="n">
        <f aca="false">IFERROR(M23/L23-1,"")</f>
        <v>0.386206896551724</v>
      </c>
      <c r="N71" s="26" t="n">
        <f aca="false">IFERROR(N23/M23-1,"")</f>
        <v>0.34452736318408</v>
      </c>
      <c r="O71" s="26" t="n">
        <f aca="false">IFERROR(O23/N23-1,"")</f>
        <v>0.270120259019427</v>
      </c>
      <c r="P71" s="26" t="n">
        <f aca="false">IFERROR(P23/O23-1,"")</f>
        <v>0.0313182811361981</v>
      </c>
      <c r="Q71" s="26" t="n">
        <f aca="false">IFERROR(Q23/P23-1,"")</f>
        <v>0.203389830508474</v>
      </c>
      <c r="R71" s="26" t="n">
        <f aca="false">IFERROR(R23/Q23-1,"")</f>
        <v>0.18075117370892</v>
      </c>
      <c r="S71" s="26" t="n">
        <f aca="false">IFERROR(S23/R23-1,"")</f>
        <v>0.142644135188867</v>
      </c>
    </row>
    <row r="72" customFormat="false" ht="15" hidden="false" customHeight="true" outlineLevel="0" collapsed="false">
      <c r="A72" s="22" t="s">
        <v>48</v>
      </c>
      <c r="B72" s="25"/>
      <c r="C72" s="26" t="n">
        <f aca="false">IFERROR(C24/B24-1,"")</f>
        <v>0.864406779661017</v>
      </c>
      <c r="D72" s="26" t="n">
        <f aca="false">IFERROR(D24/C24-1,"")</f>
        <v>0.163636363636364</v>
      </c>
      <c r="E72" s="26" t="n">
        <f aca="false">IFERROR(E24/D24-1,"")</f>
        <v>1.71875</v>
      </c>
      <c r="F72" s="26" t="n">
        <f aca="false">IFERROR(F24/E24-1,"")</f>
        <v>0.548850574712644</v>
      </c>
      <c r="G72" s="26" t="n">
        <f aca="false">IFERROR(G24/F24-1,"")</f>
        <v>0.421150278293136</v>
      </c>
      <c r="H72" s="26" t="n">
        <f aca="false">IFERROR(H24/G24-1,"")</f>
        <v>-0.159268929503916</v>
      </c>
      <c r="I72" s="26" t="n">
        <f aca="false">IFERROR(I24/H24-1,"")</f>
        <v>0.565217391304348</v>
      </c>
      <c r="J72" s="26" t="n">
        <f aca="false">IFERROR(J24/I24-1,"")</f>
        <v>0.395833333333333</v>
      </c>
      <c r="K72" s="26" t="n">
        <f aca="false">IFERROR(K24/J24-1,"")</f>
        <v>-0.375266524520256</v>
      </c>
      <c r="L72" s="26" t="n">
        <f aca="false">IFERROR(L24/K24-1,"")</f>
        <v>0.691695108077361</v>
      </c>
      <c r="M72" s="26" t="n">
        <f aca="false">IFERROR(M24/L24-1,"")</f>
        <v>0.613315400134499</v>
      </c>
      <c r="N72" s="26" t="n">
        <f aca="false">IFERROR(N24/M24-1,"")</f>
        <v>-0.0208420175072948</v>
      </c>
      <c r="O72" s="26" t="n">
        <f aca="false">IFERROR(O24/N24-1,"")</f>
        <v>0.416773094934015</v>
      </c>
      <c r="P72" s="26" t="n">
        <f aca="false">IFERROR(P24/O24-1,"")</f>
        <v>0.0498798076923075</v>
      </c>
      <c r="Q72" s="26" t="n">
        <f aca="false">IFERROR(Q24/P24-1,"")</f>
        <v>0.123068116771609</v>
      </c>
      <c r="R72" s="26" t="n">
        <f aca="false">IFERROR(R24/Q24-1,"")</f>
        <v>0.10881753312946</v>
      </c>
      <c r="S72" s="26" t="n">
        <f aca="false">IFERROR(S24/R24-1,"")</f>
        <v>0.0921627212135143</v>
      </c>
    </row>
    <row r="73" customFormat="false" ht="15" hidden="false" customHeight="true" outlineLevel="0" collapsed="false">
      <c r="A73" s="22" t="s">
        <v>55</v>
      </c>
      <c r="B73" s="25"/>
      <c r="C73" s="26" t="n">
        <f aca="false">IFERROR(C25/B25-1,"")</f>
        <v>0.0530973451327434</v>
      </c>
      <c r="D73" s="26" t="n">
        <f aca="false">IFERROR(D25/C25-1,"")</f>
        <v>-0.0714285714285714</v>
      </c>
      <c r="E73" s="26" t="n">
        <f aca="false">IFERROR(E25/D25-1,"")</f>
        <v>-0.0633484162895929</v>
      </c>
      <c r="F73" s="26" t="n">
        <f aca="false">IFERROR(F25/E25-1,"")</f>
        <v>0.067632850241546</v>
      </c>
      <c r="G73" s="26" t="n">
        <f aca="false">IFERROR(G25/F25-1,"")</f>
        <v>-0.615384615384615</v>
      </c>
      <c r="H73" s="26" t="n">
        <f aca="false">IFERROR(H25/G25-1,"")</f>
        <v>2.49411764705882</v>
      </c>
      <c r="I73" s="26" t="n">
        <f aca="false">IFERROR(I25/H25-1,"")</f>
        <v>0.037037037037037</v>
      </c>
      <c r="J73" s="26" t="n">
        <f aca="false">IFERROR(J25/I25-1,"")</f>
        <v>0.477272727272727</v>
      </c>
      <c r="K73" s="26" t="n">
        <f aca="false">IFERROR(K25/J25-1,"")</f>
        <v>-0.47032967032967</v>
      </c>
      <c r="L73" s="26" t="n">
        <f aca="false">IFERROR(L25/K25-1,"")</f>
        <v>0.273858921161826</v>
      </c>
      <c r="M73" s="26" t="n">
        <f aca="false">IFERROR(M25/L25-1,"")</f>
        <v>0.208469055374593</v>
      </c>
      <c r="N73" s="26" t="n">
        <f aca="false">IFERROR(N25/M25-1,"")</f>
        <v>0.169811320754717</v>
      </c>
      <c r="O73" s="26" t="n">
        <f aca="false">IFERROR(O25/N25-1,"")</f>
        <v>0.251152073732719</v>
      </c>
      <c r="P73" s="26" t="n">
        <f aca="false">IFERROR(P25/O25-1,"")</f>
        <v>-0.16390423572744</v>
      </c>
      <c r="Q73" s="26" t="n">
        <f aca="false">IFERROR(Q25/P25-1,"")</f>
        <v>0.977973568281938</v>
      </c>
      <c r="R73" s="26" t="n">
        <f aca="false">IFERROR(R25/Q25-1,"")</f>
        <v>0.464365256124722</v>
      </c>
      <c r="S73" s="26" t="n">
        <f aca="false">IFERROR(S25/R25-1,"")</f>
        <v>0.0889733840304183</v>
      </c>
    </row>
  </sheetData>
  <mergeCells count="10">
    <mergeCell ref="A1:S1"/>
    <mergeCell ref="A3:S3"/>
    <mergeCell ref="A11:S11"/>
    <mergeCell ref="A19:S19"/>
    <mergeCell ref="A27:S27"/>
    <mergeCell ref="A35:S35"/>
    <mergeCell ref="A43:S43"/>
    <mergeCell ref="A51:S51"/>
    <mergeCell ref="A59:S59"/>
    <mergeCell ref="A67:S67"/>
  </mergeCells>
  <conditionalFormatting sqref="B53:S57">
    <cfRule type="colorScale" priority="2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conditionalFormatting sqref="B61:S65">
    <cfRule type="colorScale" priority="3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conditionalFormatting sqref="B69:S73">
    <cfRule type="colorScale" priority="4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7" min="2" style="1" width="11"/>
  </cols>
  <sheetData>
    <row r="1" customFormat="false" ht="25.5" hidden="false" customHeight="true" outlineLevel="0" collapsed="false">
      <c r="A1" s="28" t="s">
        <v>111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3" customFormat="false" ht="15" hidden="false" customHeight="true" outlineLevel="0" collapsed="false">
      <c r="A3" s="21" t="s">
        <v>112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customFormat="false" ht="15" hidden="false" customHeight="true" outlineLevel="0" collapsed="false">
      <c r="A4" s="29" t="s">
        <v>113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customFormat="false" ht="15" hidden="false" customHeight="true" outlineLevel="0" collapsed="false">
      <c r="A5" s="30" t="s">
        <v>114</v>
      </c>
      <c r="B5" s="4" t="s">
        <v>115</v>
      </c>
      <c r="C5" s="4" t="s">
        <v>116</v>
      </c>
      <c r="D5" s="4" t="s">
        <v>117</v>
      </c>
      <c r="E5" s="4" t="s">
        <v>118</v>
      </c>
      <c r="F5" s="4" t="s">
        <v>119</v>
      </c>
      <c r="G5" s="4" t="s">
        <v>120</v>
      </c>
      <c r="H5" s="4" t="s">
        <v>121</v>
      </c>
      <c r="I5" s="4" t="s">
        <v>122</v>
      </c>
      <c r="J5" s="4" t="s">
        <v>123</v>
      </c>
      <c r="K5" s="4" t="s">
        <v>124</v>
      </c>
      <c r="L5" s="4" t="s">
        <v>125</v>
      </c>
    </row>
    <row r="6" customFormat="false" ht="15" hidden="false" customHeight="true" outlineLevel="0" collapsed="false">
      <c r="A6" s="31" t="s">
        <v>126</v>
      </c>
      <c r="B6" s="8" t="n">
        <v>7438</v>
      </c>
      <c r="C6" s="8" t="n">
        <v>9989</v>
      </c>
      <c r="D6" s="8" t="n">
        <v>9381</v>
      </c>
      <c r="E6" s="8" t="n">
        <v>14330</v>
      </c>
      <c r="F6" s="8" t="n">
        <v>18819</v>
      </c>
      <c r="G6" s="8" t="n">
        <v>41432</v>
      </c>
      <c r="H6" s="8" t="n">
        <v>85947</v>
      </c>
      <c r="I6" s="8" t="n">
        <v>144612</v>
      </c>
      <c r="J6" s="8" t="n">
        <v>166321</v>
      </c>
      <c r="K6" s="8" t="n">
        <v>174122</v>
      </c>
      <c r="L6" s="8" t="n">
        <v>176677</v>
      </c>
    </row>
    <row r="7" customFormat="false" ht="15" hidden="false" customHeight="true" outlineLevel="0" collapsed="false">
      <c r="A7" s="32" t="s">
        <v>127</v>
      </c>
      <c r="B7" s="8" t="n">
        <v>4377</v>
      </c>
      <c r="C7" s="8" t="n">
        <v>6197</v>
      </c>
      <c r="D7" s="8" t="n">
        <v>7805</v>
      </c>
      <c r="E7" s="8" t="n">
        <v>10301</v>
      </c>
      <c r="F7" s="8" t="n">
        <v>13768</v>
      </c>
      <c r="G7" s="8" t="n">
        <v>36747</v>
      </c>
      <c r="H7" s="8" t="n">
        <v>50201</v>
      </c>
      <c r="I7" s="8" t="n">
        <v>83886</v>
      </c>
      <c r="J7" s="8" t="n">
        <v>100380</v>
      </c>
      <c r="K7" s="8" t="n">
        <v>105090</v>
      </c>
      <c r="L7" s="8" t="n">
        <v>106632</v>
      </c>
    </row>
    <row r="8" customFormat="false" ht="15" hidden="false" customHeight="true" outlineLevel="0" collapsed="false">
      <c r="A8" s="32" t="s">
        <v>128</v>
      </c>
      <c r="B8" s="8" t="n">
        <v>3330</v>
      </c>
      <c r="C8" s="8" t="n">
        <v>3736</v>
      </c>
      <c r="D8" s="8" t="n">
        <v>3281</v>
      </c>
      <c r="E8" s="8" t="n">
        <v>3150</v>
      </c>
      <c r="F8" s="8" t="n">
        <v>11710</v>
      </c>
      <c r="G8" s="8" t="n">
        <v>21628</v>
      </c>
      <c r="H8" s="8" t="n">
        <v>32878</v>
      </c>
      <c r="I8" s="8" t="n">
        <v>42085</v>
      </c>
      <c r="J8" s="8" t="n">
        <v>37876</v>
      </c>
      <c r="K8" s="8" t="n">
        <v>30301</v>
      </c>
      <c r="L8" s="8" t="n">
        <v>21211</v>
      </c>
    </row>
    <row r="9" customFormat="false" ht="15" hidden="false" customHeight="true" outlineLevel="0" collapsed="false">
      <c r="A9" s="32" t="s">
        <v>129</v>
      </c>
      <c r="B9" s="8" t="n">
        <v>396</v>
      </c>
      <c r="C9" s="8" t="n">
        <v>2380</v>
      </c>
      <c r="D9" s="8" t="n">
        <v>2525</v>
      </c>
      <c r="E9" s="8" t="n">
        <v>2053</v>
      </c>
      <c r="F9" s="8" t="n">
        <v>3823</v>
      </c>
      <c r="G9" s="8" t="n">
        <v>10020</v>
      </c>
      <c r="H9" s="8" t="n">
        <v>9745</v>
      </c>
      <c r="I9" s="8" t="n">
        <v>16765</v>
      </c>
      <c r="J9" s="8" t="n">
        <v>20059</v>
      </c>
      <c r="K9" s="8" t="n">
        <v>20999</v>
      </c>
      <c r="L9" s="8" t="n">
        <v>21308</v>
      </c>
    </row>
    <row r="10" customFormat="false" ht="15" hidden="false" customHeight="true" outlineLevel="0" collapsed="false">
      <c r="A10" s="32" t="s">
        <v>130</v>
      </c>
      <c r="B10" s="8" t="n">
        <v>19000</v>
      </c>
      <c r="C10" s="8" t="n">
        <v>24200</v>
      </c>
      <c r="D10" s="8" t="n">
        <v>29200</v>
      </c>
      <c r="E10" s="8" t="n">
        <v>31900</v>
      </c>
      <c r="F10" s="8" t="n">
        <v>55700</v>
      </c>
      <c r="G10" s="8" t="n">
        <v>88200</v>
      </c>
      <c r="H10" s="8" t="n">
        <v>145871</v>
      </c>
      <c r="I10" s="8" t="n">
        <v>245263</v>
      </c>
      <c r="J10" s="8" t="n">
        <v>286760</v>
      </c>
      <c r="K10" s="8" t="n">
        <v>300211</v>
      </c>
      <c r="L10" s="8" t="n">
        <v>304616</v>
      </c>
    </row>
    <row r="11" customFormat="false" ht="15" hidden="false" customHeight="true" outlineLevel="0" collapsed="false">
      <c r="A11" s="31" t="s">
        <v>131</v>
      </c>
      <c r="B11" s="33" t="n">
        <v>0.39</v>
      </c>
      <c r="C11" s="33" t="n">
        <v>0.41</v>
      </c>
      <c r="D11" s="33" t="n">
        <v>0.32</v>
      </c>
      <c r="E11" s="33" t="n">
        <v>0.45</v>
      </c>
      <c r="F11" s="33" t="n">
        <v>0.34</v>
      </c>
      <c r="G11" s="33" t="n">
        <v>0.47</v>
      </c>
      <c r="H11" s="33" t="n">
        <v>0.59</v>
      </c>
      <c r="I11" s="33" t="n">
        <v>0.59</v>
      </c>
      <c r="J11" s="33" t="n">
        <v>0.58</v>
      </c>
      <c r="K11" s="33" t="n">
        <v>0.58</v>
      </c>
      <c r="L11" s="33" t="n">
        <v>0.58</v>
      </c>
    </row>
    <row r="12" customFormat="false" ht="15" hidden="false" customHeight="true" outlineLevel="0" collapsed="false">
      <c r="A12" s="31" t="s">
        <v>132</v>
      </c>
      <c r="B12" s="12"/>
      <c r="C12" s="12"/>
      <c r="D12" s="12"/>
      <c r="E12" s="8" t="n">
        <v>2231</v>
      </c>
      <c r="F12" s="8" t="n">
        <v>10063</v>
      </c>
      <c r="G12" s="8" t="n">
        <v>14563</v>
      </c>
      <c r="H12" s="8" t="n">
        <v>23911</v>
      </c>
      <c r="I12" s="8" t="n">
        <v>43743</v>
      </c>
      <c r="J12" s="8" t="n">
        <v>68286</v>
      </c>
      <c r="K12" s="8" t="n">
        <v>94877</v>
      </c>
      <c r="L12" s="8" t="n">
        <v>121252</v>
      </c>
    </row>
    <row r="13" customFormat="false" ht="15" hidden="false" customHeight="true" outlineLevel="0" collapsed="false">
      <c r="A13" s="32" t="s">
        <v>133</v>
      </c>
      <c r="B13" s="12"/>
      <c r="C13" s="12"/>
      <c r="D13" s="12"/>
      <c r="E13" s="8" t="n">
        <v>680</v>
      </c>
      <c r="F13" s="8" t="n">
        <v>3304</v>
      </c>
      <c r="G13" s="8" t="n">
        <v>5132</v>
      </c>
      <c r="H13" s="8" t="n">
        <v>8149</v>
      </c>
      <c r="I13" s="8" t="n">
        <v>12605</v>
      </c>
      <c r="J13" s="8" t="n">
        <v>18775</v>
      </c>
      <c r="K13" s="8" t="n">
        <v>25426</v>
      </c>
      <c r="L13" s="8" t="n">
        <v>32434</v>
      </c>
    </row>
    <row r="14" customFormat="false" ht="15" hidden="false" customHeight="true" outlineLevel="0" collapsed="false">
      <c r="A14" s="32" t="s">
        <v>134</v>
      </c>
      <c r="B14" s="8" t="n">
        <v>10700</v>
      </c>
      <c r="C14" s="8" t="n">
        <v>9300</v>
      </c>
      <c r="D14" s="8" t="n">
        <v>12600</v>
      </c>
      <c r="E14" s="8" t="n">
        <v>11000</v>
      </c>
      <c r="F14" s="8" t="n">
        <v>15200</v>
      </c>
      <c r="G14" s="8" t="n">
        <v>22000</v>
      </c>
      <c r="H14" s="8" t="n">
        <v>34839</v>
      </c>
      <c r="I14" s="8" t="n">
        <v>59542</v>
      </c>
      <c r="J14" s="8" t="n">
        <v>92995</v>
      </c>
      <c r="K14" s="8" t="n">
        <v>129654</v>
      </c>
      <c r="L14" s="8" t="n">
        <v>165840</v>
      </c>
    </row>
    <row r="15" customFormat="false" ht="15" hidden="false" customHeight="true" outlineLevel="0" collapsed="false">
      <c r="A15" s="31" t="s">
        <v>135</v>
      </c>
      <c r="B15" s="12"/>
      <c r="C15" s="12"/>
      <c r="D15" s="12"/>
      <c r="E15" s="33" t="n">
        <v>0.2</v>
      </c>
      <c r="F15" s="33" t="n">
        <v>0.66</v>
      </c>
      <c r="G15" s="33" t="n">
        <v>0.66</v>
      </c>
      <c r="H15" s="33" t="n">
        <v>0.69</v>
      </c>
      <c r="I15" s="33" t="n">
        <v>0.73</v>
      </c>
      <c r="J15" s="33" t="n">
        <v>0.73</v>
      </c>
      <c r="K15" s="33" t="n">
        <v>0.73</v>
      </c>
      <c r="L15" s="33" t="n">
        <v>0.73</v>
      </c>
    </row>
    <row r="16" customFormat="false" ht="15" hidden="false" customHeight="true" outlineLevel="0" collapsed="false">
      <c r="A16" s="34" t="s">
        <v>136</v>
      </c>
      <c r="B16" s="35" t="n">
        <v>6</v>
      </c>
      <c r="C16" s="35" t="n">
        <v>6</v>
      </c>
      <c r="D16" s="35" t="n">
        <v>6</v>
      </c>
      <c r="E16" s="35" t="n">
        <v>6</v>
      </c>
      <c r="F16" s="35" t="n">
        <v>6</v>
      </c>
      <c r="G16" s="35" t="n">
        <v>6</v>
      </c>
      <c r="H16" s="35" t="n">
        <v>6</v>
      </c>
      <c r="I16" s="35" t="n">
        <v>6</v>
      </c>
      <c r="J16" s="35" t="n">
        <v>6</v>
      </c>
      <c r="K16" s="35" t="n">
        <v>6</v>
      </c>
      <c r="L16" s="35" t="n">
        <v>6</v>
      </c>
    </row>
    <row r="17" customFormat="false" ht="15" hidden="false" customHeight="true" outlineLevel="0" collapsed="false">
      <c r="A17" s="36" t="s">
        <v>137</v>
      </c>
      <c r="B17" s="35" t="n">
        <v>15</v>
      </c>
      <c r="C17" s="35" t="n">
        <v>15</v>
      </c>
      <c r="D17" s="35" t="n">
        <v>15</v>
      </c>
      <c r="E17" s="35" t="n">
        <v>15</v>
      </c>
      <c r="F17" s="35" t="n">
        <v>15</v>
      </c>
      <c r="G17" s="35" t="n">
        <v>15</v>
      </c>
      <c r="H17" s="35" t="n">
        <v>15</v>
      </c>
      <c r="I17" s="35" t="n">
        <v>15</v>
      </c>
      <c r="J17" s="35" t="n">
        <v>15</v>
      </c>
      <c r="K17" s="35" t="n">
        <v>15</v>
      </c>
      <c r="L17" s="35" t="n">
        <v>15</v>
      </c>
    </row>
    <row r="19" customFormat="false" ht="30" hidden="false" customHeight="true" outlineLevel="0" collapsed="false">
      <c r="A19" s="37" t="s">
        <v>138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</row>
    <row r="21" customFormat="false" ht="15" hidden="false" customHeight="true" outlineLevel="0" collapsed="false">
      <c r="A21" s="21" t="s">
        <v>139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customFormat="false" ht="39.75" hidden="false" customHeight="true" outlineLevel="0" collapsed="false">
      <c r="A22" s="38" t="s">
        <v>140</v>
      </c>
      <c r="B22" s="39" t="s">
        <v>141</v>
      </c>
      <c r="C22" s="38" t="s">
        <v>142</v>
      </c>
      <c r="D22" s="39" t="s">
        <v>143</v>
      </c>
      <c r="E22" s="38" t="s">
        <v>144</v>
      </c>
      <c r="F22" s="38" t="s">
        <v>145</v>
      </c>
      <c r="G22" s="38" t="s">
        <v>146</v>
      </c>
      <c r="H22" s="38" t="s">
        <v>147</v>
      </c>
    </row>
    <row r="23" customFormat="false" ht="36" hidden="false" customHeight="true" outlineLevel="0" collapsed="false">
      <c r="A23" s="40" t="s">
        <v>22</v>
      </c>
      <c r="B23" s="41" t="n">
        <v>0.59</v>
      </c>
      <c r="C23" s="42" t="s">
        <v>148</v>
      </c>
      <c r="D23" s="43" t="n">
        <v>6</v>
      </c>
      <c r="E23" s="41" t="n">
        <v>0.36</v>
      </c>
      <c r="F23" s="44" t="n">
        <v>15</v>
      </c>
      <c r="G23" s="41" t="n">
        <v>0.05</v>
      </c>
      <c r="H23" s="44" t="n">
        <v>10</v>
      </c>
    </row>
    <row r="24" customFormat="false" ht="36" hidden="false" customHeight="true" outlineLevel="0" collapsed="false">
      <c r="A24" s="40" t="s">
        <v>38</v>
      </c>
      <c r="B24" s="41" t="n">
        <v>0.42</v>
      </c>
      <c r="C24" s="42" t="s">
        <v>149</v>
      </c>
      <c r="D24" s="43" t="n">
        <v>5</v>
      </c>
      <c r="E24" s="41" t="n">
        <v>0.35</v>
      </c>
      <c r="F24" s="44" t="n">
        <v>18</v>
      </c>
      <c r="G24" s="41" t="n">
        <v>0.23</v>
      </c>
      <c r="H24" s="44" t="n">
        <v>8</v>
      </c>
    </row>
    <row r="25" customFormat="false" ht="36" hidden="false" customHeight="true" outlineLevel="0" collapsed="false">
      <c r="A25" s="40" t="s">
        <v>42</v>
      </c>
      <c r="B25" s="41" t="n">
        <v>0.57</v>
      </c>
      <c r="C25" s="42" t="s">
        <v>150</v>
      </c>
      <c r="D25" s="43" t="n">
        <v>6</v>
      </c>
      <c r="E25" s="41" t="n">
        <v>0.35</v>
      </c>
      <c r="F25" s="44" t="n">
        <v>20</v>
      </c>
      <c r="G25" s="41" t="n">
        <v>0.08</v>
      </c>
      <c r="H25" s="44" t="n">
        <v>10</v>
      </c>
    </row>
    <row r="26" customFormat="false" ht="36" hidden="false" customHeight="true" outlineLevel="0" collapsed="false">
      <c r="A26" s="40" t="s">
        <v>48</v>
      </c>
      <c r="B26" s="41" t="n">
        <v>0.62</v>
      </c>
      <c r="C26" s="42" t="s">
        <v>151</v>
      </c>
      <c r="D26" s="43" t="n">
        <v>5.5</v>
      </c>
      <c r="E26" s="41" t="n">
        <v>0.33</v>
      </c>
      <c r="F26" s="44" t="n">
        <v>22</v>
      </c>
      <c r="G26" s="41" t="n">
        <v>0.05</v>
      </c>
      <c r="H26" s="44" t="n">
        <v>10</v>
      </c>
    </row>
    <row r="27" customFormat="false" ht="36" hidden="false" customHeight="true" outlineLevel="0" collapsed="false">
      <c r="A27" s="40" t="s">
        <v>55</v>
      </c>
      <c r="B27" s="41" t="n">
        <v>0.5</v>
      </c>
      <c r="C27" s="42" t="s">
        <v>152</v>
      </c>
      <c r="D27" s="43" t="n">
        <v>5.5</v>
      </c>
      <c r="E27" s="41" t="n">
        <v>0.4</v>
      </c>
      <c r="F27" s="44" t="n">
        <v>20</v>
      </c>
      <c r="G27" s="41" t="n">
        <v>0.1</v>
      </c>
      <c r="H27" s="44" t="n">
        <v>10</v>
      </c>
    </row>
    <row r="30" customFormat="false" ht="15" hidden="false" customHeight="true" outlineLevel="0" collapsed="false">
      <c r="A30" s="21" t="s">
        <v>153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customFormat="false" ht="36" hidden="false" customHeight="true" outlineLevel="0" collapsed="false">
      <c r="A31" s="38" t="s">
        <v>140</v>
      </c>
      <c r="B31" s="39" t="s">
        <v>154</v>
      </c>
      <c r="C31" s="39" t="s">
        <v>155</v>
      </c>
      <c r="D31" s="39" t="s">
        <v>156</v>
      </c>
      <c r="E31" s="39" t="s">
        <v>157</v>
      </c>
      <c r="F31" s="39" t="s">
        <v>158</v>
      </c>
      <c r="G31" s="39" t="s">
        <v>159</v>
      </c>
      <c r="H31" s="39" t="s">
        <v>160</v>
      </c>
    </row>
    <row r="32" customFormat="false" ht="15" hidden="false" customHeight="true" outlineLevel="0" collapsed="false">
      <c r="A32" s="40" t="s">
        <v>22</v>
      </c>
      <c r="B32" s="45" t="n">
        <f aca="false">'0. Database'!P12</f>
        <v>145871.3</v>
      </c>
      <c r="C32" s="45" t="n">
        <f aca="false">'0. Database'!P11</f>
        <v>39638.96</v>
      </c>
      <c r="D32" s="45" t="n">
        <f aca="false">'0. Database'!P7</f>
        <v>129372.86</v>
      </c>
      <c r="E32" s="46" t="n">
        <f aca="false">'0. Database'!P8</f>
        <v>16.75</v>
      </c>
      <c r="F32" s="45" t="n">
        <f aca="false">'0. Database'!P9</f>
        <v>7453.97</v>
      </c>
      <c r="G32" s="47" t="n">
        <v>0.18</v>
      </c>
      <c r="H32" s="48" t="n">
        <f aca="false">$C$32*($B$23*$D$23+$E$23*$F$23+$G$23*$H$23)</f>
        <v>374191.7824</v>
      </c>
    </row>
    <row r="33" customFormat="false" ht="15" hidden="false" customHeight="true" outlineLevel="0" collapsed="false">
      <c r="A33" s="40" t="s">
        <v>38</v>
      </c>
      <c r="B33" s="45" t="n">
        <f aca="false">'0. Database'!P28</f>
        <v>200104.98</v>
      </c>
      <c r="C33" s="45" t="n">
        <f aca="false">'0. Database'!P27</f>
        <v>81175.82</v>
      </c>
      <c r="D33" s="45" t="n">
        <f aca="false">'0. Database'!P23</f>
        <v>98333.72</v>
      </c>
      <c r="E33" s="46" t="n">
        <f aca="false">'0. Database'!P24</f>
        <v>9.02</v>
      </c>
      <c r="F33" s="45" t="n">
        <f aca="false">'0. Database'!P25</f>
        <v>10907.55</v>
      </c>
      <c r="G33" s="47" t="n">
        <v>0.2</v>
      </c>
      <c r="H33" s="48" t="n">
        <f aca="false">$C$33*($B$24*$D$24+$E$24*$F$24+$G$24*$H$24)</f>
        <v>831240.3968</v>
      </c>
    </row>
    <row r="34" customFormat="false" ht="15" hidden="false" customHeight="true" outlineLevel="0" collapsed="false">
      <c r="A34" s="40" t="s">
        <v>42</v>
      </c>
      <c r="B34" s="45" t="n">
        <f aca="false">'0. Database'!P43</f>
        <v>185234.28</v>
      </c>
      <c r="C34" s="45" t="n">
        <f aca="false">'0. Database'!P42</f>
        <v>42874.7</v>
      </c>
      <c r="D34" s="45" t="n">
        <f aca="false">'0. Database'!P38</f>
        <v>168543.28</v>
      </c>
      <c r="E34" s="46" t="n">
        <f aca="false">'0. Database'!P39</f>
        <v>13.73</v>
      </c>
      <c r="F34" s="45" t="n">
        <f aca="false">'0. Database'!P40</f>
        <v>12275.96</v>
      </c>
      <c r="G34" s="47" t="n">
        <v>0.16</v>
      </c>
      <c r="H34" s="48" t="n">
        <f aca="false">$C$34*($B$25*$D$25+$E$25*$F$25+$G$25*$H$25)</f>
        <v>481054.134</v>
      </c>
    </row>
    <row r="35" customFormat="false" ht="15" hidden="false" customHeight="true" outlineLevel="0" collapsed="false">
      <c r="A35" s="40" t="s">
        <v>48</v>
      </c>
      <c r="B35" s="45" t="n">
        <f aca="false">'0. Database'!P60</f>
        <v>135583.71</v>
      </c>
      <c r="C35" s="45" t="n">
        <f aca="false">'0. Database'!P59</f>
        <v>35955.99</v>
      </c>
      <c r="D35" s="45" t="n">
        <f aca="false">'0. Database'!P55</f>
        <v>85782.86</v>
      </c>
      <c r="E35" s="46" t="n">
        <f aca="false">'0. Database'!P56</f>
        <v>33.28</v>
      </c>
      <c r="F35" s="45" t="n">
        <f aca="false">'0. Database'!P57</f>
        <v>2577.79</v>
      </c>
      <c r="G35" s="47" t="n">
        <v>0.13</v>
      </c>
      <c r="H35" s="48" t="n">
        <f aca="false">$C$35*($B$26*$D$26+$E$26*$F$26+$G$26*$H$26)</f>
        <v>401628.4083</v>
      </c>
    </row>
    <row r="36" customFormat="false" ht="15" hidden="false" customHeight="true" outlineLevel="0" collapsed="false">
      <c r="A36" s="40" t="s">
        <v>55</v>
      </c>
      <c r="B36" s="45" t="n">
        <f aca="false">'0. Database'!P78</f>
        <v>51882</v>
      </c>
      <c r="C36" s="45" t="n">
        <f aca="false">'0. Database'!P77</f>
        <v>7501.53</v>
      </c>
      <c r="D36" s="45" t="n">
        <f aca="false">'0. Database'!P73</f>
        <v>15820.55</v>
      </c>
      <c r="E36" s="46" t="n">
        <f aca="false">'0. Database'!P74</f>
        <v>5.43</v>
      </c>
      <c r="F36" s="45" t="n">
        <f aca="false">'0. Database'!P75</f>
        <v>2915.76</v>
      </c>
      <c r="G36" s="47" t="n">
        <v>0.2</v>
      </c>
      <c r="H36" s="48" t="n">
        <f aca="false">$C$36*($B$27*$D$27+$E$27*$F$27+$G$27*$H$27)</f>
        <v>88142.9775</v>
      </c>
    </row>
    <row r="39" customFormat="false" ht="15" hidden="false" customHeight="true" outlineLevel="0" collapsed="false">
      <c r="A39" s="21" t="s">
        <v>161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customFormat="false" ht="15" hidden="false" customHeight="true" outlineLevel="0" collapsed="false">
      <c r="A40" s="29" t="s">
        <v>162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  <row r="41" customFormat="false" ht="15" hidden="false" customHeight="true" outlineLevel="0" collapsed="false">
      <c r="A41" s="49" t="s">
        <v>163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</row>
    <row r="42" customFormat="false" ht="31.5" hidden="false" customHeight="true" outlineLevel="0" collapsed="false">
      <c r="A42" s="38" t="s">
        <v>140</v>
      </c>
      <c r="B42" s="39" t="s">
        <v>164</v>
      </c>
      <c r="C42" s="38" t="s">
        <v>165</v>
      </c>
      <c r="D42" s="38" t="s">
        <v>166</v>
      </c>
      <c r="E42" s="38" t="s">
        <v>167</v>
      </c>
      <c r="F42" s="38" t="s">
        <v>168</v>
      </c>
      <c r="G42" s="39" t="s">
        <v>169</v>
      </c>
      <c r="H42" s="39" t="s">
        <v>170</v>
      </c>
      <c r="I42" s="38" t="s">
        <v>171</v>
      </c>
      <c r="J42" s="38" t="s">
        <v>172</v>
      </c>
      <c r="K42" s="39" t="s">
        <v>173</v>
      </c>
    </row>
    <row r="43" customFormat="false" ht="15" hidden="false" customHeight="true" outlineLevel="0" collapsed="false">
      <c r="A43" s="50" t="s">
        <v>22</v>
      </c>
      <c r="B43" s="48" t="n">
        <f aca="false">$H$32*$B$23/6</f>
        <v>36795.5252693333</v>
      </c>
      <c r="C43" s="48" t="n">
        <f aca="false">$H$32*$E$23/$F$23</f>
        <v>8980.6027776</v>
      </c>
      <c r="D43" s="48" t="n">
        <f aca="false">$H$32*$G$23/$H$23</f>
        <v>1870.958912</v>
      </c>
      <c r="E43" s="51" t="n">
        <f aca="false">$B$43+$C$43+$D$43</f>
        <v>47647.0869589333</v>
      </c>
      <c r="F43" s="45" t="n">
        <f aca="false">$C$32</f>
        <v>39638.96</v>
      </c>
      <c r="G43" s="52" t="n">
        <f aca="false">$E$43-$C$32</f>
        <v>8008.12695893332</v>
      </c>
      <c r="H43" s="52" t="n">
        <f aca="false">$G$43*(1-$G$32)</f>
        <v>6566.66410632533</v>
      </c>
      <c r="I43" s="52" t="n">
        <f aca="false">$D$32-$H$43</f>
        <v>122806.195893675</v>
      </c>
      <c r="J43" s="53" t="n">
        <f aca="false">$I$43/$F$32</f>
        <v>16.4752736989382</v>
      </c>
      <c r="K43" s="54" t="n">
        <f aca="false">IFERROR($J$43/$E$32-1,"")</f>
        <v>-0.0164015702126422</v>
      </c>
    </row>
    <row r="44" customFormat="false" ht="15" hidden="false" customHeight="true" outlineLevel="0" collapsed="false">
      <c r="A44" s="50" t="s">
        <v>38</v>
      </c>
      <c r="B44" s="48" t="n">
        <f aca="false">$H$33*$B$24/6</f>
        <v>58186.827776</v>
      </c>
      <c r="C44" s="48" t="n">
        <f aca="false">$H$33*$E$24/$F$24</f>
        <v>16163.0077155556</v>
      </c>
      <c r="D44" s="48" t="n">
        <f aca="false">$H$33*$G$24/$H$24</f>
        <v>23898.161408</v>
      </c>
      <c r="E44" s="51" t="n">
        <f aca="false">$B$44+$C$44+$D$44</f>
        <v>98247.9968995556</v>
      </c>
      <c r="F44" s="45" t="n">
        <f aca="false">$C$33</f>
        <v>81175.82</v>
      </c>
      <c r="G44" s="52" t="n">
        <f aca="false">$E$44-$C$33</f>
        <v>17072.1768995555</v>
      </c>
      <c r="H44" s="52" t="n">
        <f aca="false">$G$44*(1-$G$33)</f>
        <v>13657.7415196444</v>
      </c>
      <c r="I44" s="52" t="n">
        <f aca="false">$D$33-$H$44</f>
        <v>84675.9784803556</v>
      </c>
      <c r="J44" s="53" t="n">
        <f aca="false">$I$44/$F$33</f>
        <v>7.76306122643083</v>
      </c>
      <c r="K44" s="54" t="n">
        <f aca="false">IFERROR($J$44/$E$33-1,"")</f>
        <v>-0.139350196626294</v>
      </c>
    </row>
    <row r="45" customFormat="false" ht="15" hidden="false" customHeight="true" outlineLevel="0" collapsed="false">
      <c r="A45" s="50" t="s">
        <v>42</v>
      </c>
      <c r="B45" s="48" t="n">
        <f aca="false">$H$34*$B$25/6</f>
        <v>45700.14273</v>
      </c>
      <c r="C45" s="48" t="n">
        <f aca="false">$H$34*$E$25/$F$25</f>
        <v>8418.447345</v>
      </c>
      <c r="D45" s="48" t="n">
        <f aca="false">$H$34*$G$25/$H$25</f>
        <v>3848.433072</v>
      </c>
      <c r="E45" s="51" t="n">
        <f aca="false">$B$45+$C$45+$D$45</f>
        <v>57967.023147</v>
      </c>
      <c r="F45" s="45" t="n">
        <f aca="false">$C$34</f>
        <v>42874.7</v>
      </c>
      <c r="G45" s="52" t="n">
        <f aca="false">$E$45-$C$34</f>
        <v>15092.323147</v>
      </c>
      <c r="H45" s="52" t="n">
        <f aca="false">$G$45*(1-$G$34)</f>
        <v>12677.55144348</v>
      </c>
      <c r="I45" s="52" t="n">
        <f aca="false">$D$34-$H$45</f>
        <v>155865.72855652</v>
      </c>
      <c r="J45" s="53" t="n">
        <f aca="false">$I$45/$F$34</f>
        <v>12.696826036947</v>
      </c>
      <c r="K45" s="54" t="n">
        <f aca="false">IFERROR($J$45/$E$34-1,"")</f>
        <v>-0.0752493782267292</v>
      </c>
    </row>
    <row r="46" customFormat="false" ht="15" hidden="false" customHeight="true" outlineLevel="0" collapsed="false">
      <c r="A46" s="50" t="s">
        <v>48</v>
      </c>
      <c r="B46" s="48" t="n">
        <f aca="false">$H$35*$B$26/6</f>
        <v>41501.602191</v>
      </c>
      <c r="C46" s="48" t="n">
        <f aca="false">$H$35*$E$26/$F$26</f>
        <v>6024.4261245</v>
      </c>
      <c r="D46" s="48" t="n">
        <f aca="false">$H$35*$G$26/$H$26</f>
        <v>2008.1420415</v>
      </c>
      <c r="E46" s="51" t="n">
        <f aca="false">$B$46+$C$46+$D$46</f>
        <v>49534.170357</v>
      </c>
      <c r="F46" s="45" t="n">
        <f aca="false">$C$35</f>
        <v>35955.99</v>
      </c>
      <c r="G46" s="52" t="n">
        <f aca="false">$E$46-$C$35</f>
        <v>13578.180357</v>
      </c>
      <c r="H46" s="52" t="n">
        <f aca="false">$G$46*(1-$G$35)</f>
        <v>11813.01691059</v>
      </c>
      <c r="I46" s="52" t="n">
        <f aca="false">$D$35-$H$46</f>
        <v>73969.84308941</v>
      </c>
      <c r="J46" s="53" t="n">
        <f aca="false">$I$46/$F$35</f>
        <v>28.6950616960303</v>
      </c>
      <c r="K46" s="54" t="n">
        <f aca="false">IFERROR($J$46/$E$35-1,"")</f>
        <v>-0.137768578845243</v>
      </c>
    </row>
    <row r="47" customFormat="false" ht="15" hidden="false" customHeight="true" outlineLevel="0" collapsed="false">
      <c r="A47" s="50" t="s">
        <v>55</v>
      </c>
      <c r="B47" s="48" t="n">
        <f aca="false">$H$36*$B$27/6</f>
        <v>7345.248125</v>
      </c>
      <c r="C47" s="48" t="n">
        <f aca="false">$H$36*$E$27/$F$27</f>
        <v>1762.85955</v>
      </c>
      <c r="D47" s="48" t="n">
        <f aca="false">$H$36*$G$27/$H$27</f>
        <v>881.429775</v>
      </c>
      <c r="E47" s="51" t="n">
        <f aca="false">$B$47+$C$47+$D$47</f>
        <v>9989.53745</v>
      </c>
      <c r="F47" s="45" t="n">
        <f aca="false">$C$36</f>
        <v>7501.53</v>
      </c>
      <c r="G47" s="52" t="n">
        <f aca="false">$E$47-$C$36</f>
        <v>2488.00745</v>
      </c>
      <c r="H47" s="52" t="n">
        <f aca="false">$G$47*(1-$G$36)</f>
        <v>1990.40596</v>
      </c>
      <c r="I47" s="52" t="n">
        <f aca="false">$D$36-$H$47</f>
        <v>13830.14404</v>
      </c>
      <c r="J47" s="53" t="n">
        <f aca="false">$I$47/$F$36</f>
        <v>4.74323814031333</v>
      </c>
      <c r="K47" s="54" t="n">
        <f aca="false">IFERROR($J$47/$E$36-1,"")</f>
        <v>-0.12647548060528</v>
      </c>
    </row>
    <row r="49" customFormat="false" ht="15" hidden="false" customHeight="true" outlineLevel="0" collapsed="false">
      <c r="A49" s="49" t="s">
        <v>174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customFormat="false" ht="31.5" hidden="false" customHeight="true" outlineLevel="0" collapsed="false">
      <c r="A50" s="38" t="s">
        <v>140</v>
      </c>
      <c r="B50" s="39" t="s">
        <v>164</v>
      </c>
      <c r="C50" s="38" t="s">
        <v>165</v>
      </c>
      <c r="D50" s="38" t="s">
        <v>166</v>
      </c>
      <c r="E50" s="38" t="s">
        <v>167</v>
      </c>
      <c r="F50" s="38" t="s">
        <v>168</v>
      </c>
      <c r="G50" s="39" t="s">
        <v>169</v>
      </c>
      <c r="H50" s="39" t="s">
        <v>170</v>
      </c>
      <c r="I50" s="38" t="s">
        <v>171</v>
      </c>
      <c r="J50" s="38" t="s">
        <v>172</v>
      </c>
      <c r="K50" s="39" t="s">
        <v>173</v>
      </c>
    </row>
    <row r="51" customFormat="false" ht="15" hidden="false" customHeight="true" outlineLevel="0" collapsed="false">
      <c r="A51" s="50" t="s">
        <v>22</v>
      </c>
      <c r="B51" s="48" t="n">
        <f aca="false">$H$32*$B$23/5</f>
        <v>44154.6303232</v>
      </c>
      <c r="C51" s="48" t="n">
        <f aca="false">$H$32*$E$23/$F$23</f>
        <v>8980.6027776</v>
      </c>
      <c r="D51" s="48" t="n">
        <f aca="false">$H$32*$G$23/$H$23</f>
        <v>1870.958912</v>
      </c>
      <c r="E51" s="51" t="n">
        <f aca="false">$B$51+$C$51+$D$51</f>
        <v>55006.1920128</v>
      </c>
      <c r="F51" s="45" t="n">
        <f aca="false">$C$32</f>
        <v>39638.96</v>
      </c>
      <c r="G51" s="52" t="n">
        <f aca="false">$E$51-$C$32</f>
        <v>15367.2320128</v>
      </c>
      <c r="H51" s="52" t="n">
        <f aca="false">$G$51*(1-$G$32)</f>
        <v>12601.130250496</v>
      </c>
      <c r="I51" s="52" t="n">
        <f aca="false">$D$32-$H$51</f>
        <v>116771.729749504</v>
      </c>
      <c r="J51" s="53" t="n">
        <f aca="false">$I$51/$F$32</f>
        <v>15.6657096486173</v>
      </c>
      <c r="K51" s="54" t="n">
        <f aca="false">IFERROR($J$51/$E$32-1,"")</f>
        <v>-0.0647337523213544</v>
      </c>
    </row>
    <row r="52" customFormat="false" ht="15" hidden="false" customHeight="true" outlineLevel="0" collapsed="false">
      <c r="A52" s="50" t="s">
        <v>38</v>
      </c>
      <c r="B52" s="48" t="n">
        <f aca="false">$H$33*$B$24/5</f>
        <v>69824.1933312</v>
      </c>
      <c r="C52" s="48" t="n">
        <f aca="false">$H$33*$E$24/$F$24</f>
        <v>16163.0077155556</v>
      </c>
      <c r="D52" s="48" t="n">
        <f aca="false">$H$33*$G$24/$H$24</f>
        <v>23898.161408</v>
      </c>
      <c r="E52" s="51" t="n">
        <f aca="false">$B$52+$C$52+$D$52</f>
        <v>109885.362454756</v>
      </c>
      <c r="F52" s="45" t="n">
        <f aca="false">$C$33</f>
        <v>81175.82</v>
      </c>
      <c r="G52" s="52" t="n">
        <f aca="false">$E$52-$C$33</f>
        <v>28709.5424547556</v>
      </c>
      <c r="H52" s="52" t="n">
        <f aca="false">$G$52*(1-$G$33)</f>
        <v>22967.6339638045</v>
      </c>
      <c r="I52" s="52" t="n">
        <f aca="false">$D$33-$H$52</f>
        <v>75366.0860361956</v>
      </c>
      <c r="J52" s="53" t="n">
        <f aca="false">$I$52/$F$33</f>
        <v>6.90953385830875</v>
      </c>
      <c r="K52" s="54" t="n">
        <f aca="false">IFERROR($J$52/$E$33-1,"")</f>
        <v>-0.233976290653132</v>
      </c>
    </row>
    <row r="53" customFormat="false" ht="15" hidden="false" customHeight="true" outlineLevel="0" collapsed="false">
      <c r="A53" s="50" t="s">
        <v>42</v>
      </c>
      <c r="B53" s="48" t="n">
        <f aca="false">$H$34*$B$25/5</f>
        <v>54840.171276</v>
      </c>
      <c r="C53" s="48" t="n">
        <f aca="false">$H$34*$E$25/$F$25</f>
        <v>8418.447345</v>
      </c>
      <c r="D53" s="48" t="n">
        <f aca="false">$H$34*$G$25/$H$25</f>
        <v>3848.433072</v>
      </c>
      <c r="E53" s="51" t="n">
        <f aca="false">$B$53+$C$53+$D$53</f>
        <v>67107.051693</v>
      </c>
      <c r="F53" s="45" t="n">
        <f aca="false">$C$34</f>
        <v>42874.7</v>
      </c>
      <c r="G53" s="52" t="n">
        <f aca="false">$E$53-$C$34</f>
        <v>24232.351693</v>
      </c>
      <c r="H53" s="52" t="n">
        <f aca="false">$G$53*(1-$G$34)</f>
        <v>20355.17542212</v>
      </c>
      <c r="I53" s="52" t="n">
        <f aca="false">$D$34-$H$53</f>
        <v>148188.10457788</v>
      </c>
      <c r="J53" s="53" t="n">
        <f aca="false">$I$53/$F$34</f>
        <v>12.0714066010218</v>
      </c>
      <c r="K53" s="54" t="n">
        <f aca="false">IFERROR($J$53/$E$34-1,"")</f>
        <v>-0.120800684557769</v>
      </c>
    </row>
    <row r="54" customFormat="false" ht="15" hidden="false" customHeight="true" outlineLevel="0" collapsed="false">
      <c r="A54" s="50" t="s">
        <v>48</v>
      </c>
      <c r="B54" s="48" t="n">
        <f aca="false">$H$35*$B$26/5</f>
        <v>49801.9226292</v>
      </c>
      <c r="C54" s="48" t="n">
        <f aca="false">$H$35*$E$26/$F$26</f>
        <v>6024.4261245</v>
      </c>
      <c r="D54" s="48" t="n">
        <f aca="false">$H$35*$G$26/$H$26</f>
        <v>2008.1420415</v>
      </c>
      <c r="E54" s="51" t="n">
        <f aca="false">$B$54+$C$54+$D$54</f>
        <v>57834.4907952</v>
      </c>
      <c r="F54" s="45" t="n">
        <f aca="false">$C$35</f>
        <v>35955.99</v>
      </c>
      <c r="G54" s="52" t="n">
        <f aca="false">$E$54-$C$35</f>
        <v>21878.5007952</v>
      </c>
      <c r="H54" s="52" t="n">
        <f aca="false">$G$54*(1-$G$35)</f>
        <v>19034.295691824</v>
      </c>
      <c r="I54" s="52" t="n">
        <f aca="false">$D$35-$H$54</f>
        <v>66748.564308176</v>
      </c>
      <c r="J54" s="53" t="n">
        <f aca="false">$I$54/$F$35</f>
        <v>25.8937168303764</v>
      </c>
      <c r="K54" s="54" t="n">
        <f aca="false">IFERROR($J$54/$E$35-1,"")</f>
        <v>-0.221943604856478</v>
      </c>
    </row>
    <row r="55" customFormat="false" ht="15" hidden="false" customHeight="true" outlineLevel="0" collapsed="false">
      <c r="A55" s="50" t="s">
        <v>55</v>
      </c>
      <c r="B55" s="48" t="n">
        <f aca="false">$H$36*$B$27/5</f>
        <v>8814.29775</v>
      </c>
      <c r="C55" s="48" t="n">
        <f aca="false">$H$36*$E$27/$F$27</f>
        <v>1762.85955</v>
      </c>
      <c r="D55" s="48" t="n">
        <f aca="false">$H$36*$G$27/$H$27</f>
        <v>881.429775</v>
      </c>
      <c r="E55" s="51" t="n">
        <f aca="false">$B$55+$C$55+$D$55</f>
        <v>11458.587075</v>
      </c>
      <c r="F55" s="45" t="n">
        <f aca="false">$C$36</f>
        <v>7501.53</v>
      </c>
      <c r="G55" s="52" t="n">
        <f aca="false">$E$55-$C$36</f>
        <v>3957.057075</v>
      </c>
      <c r="H55" s="52" t="n">
        <f aca="false">$G$55*(1-$G$36)</f>
        <v>3165.64566</v>
      </c>
      <c r="I55" s="52" t="n">
        <f aca="false">$D$36-$H$55</f>
        <v>12654.90434</v>
      </c>
      <c r="J55" s="53" t="n">
        <f aca="false">$I$55/$F$36</f>
        <v>4.3401735190825</v>
      </c>
      <c r="K55" s="54" t="n">
        <f aca="false">IFERROR($J$55/$E$36-1,"")</f>
        <v>-0.200704692618324</v>
      </c>
    </row>
    <row r="57" customFormat="false" ht="15" hidden="false" customHeight="true" outlineLevel="0" collapsed="false">
      <c r="A57" s="55" t="s">
        <v>175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</row>
    <row r="58" customFormat="false" ht="31.5" hidden="false" customHeight="true" outlineLevel="0" collapsed="false">
      <c r="A58" s="38" t="s">
        <v>140</v>
      </c>
      <c r="B58" s="39" t="s">
        <v>164</v>
      </c>
      <c r="C58" s="38" t="s">
        <v>165</v>
      </c>
      <c r="D58" s="38" t="s">
        <v>166</v>
      </c>
      <c r="E58" s="38" t="s">
        <v>167</v>
      </c>
      <c r="F58" s="38" t="s">
        <v>168</v>
      </c>
      <c r="G58" s="39" t="s">
        <v>169</v>
      </c>
      <c r="H58" s="39" t="s">
        <v>170</v>
      </c>
      <c r="I58" s="38" t="s">
        <v>171</v>
      </c>
      <c r="J58" s="38" t="s">
        <v>172</v>
      </c>
      <c r="K58" s="39" t="s">
        <v>173</v>
      </c>
    </row>
    <row r="59" customFormat="false" ht="15" hidden="false" customHeight="true" outlineLevel="0" collapsed="false">
      <c r="A59" s="50" t="s">
        <v>22</v>
      </c>
      <c r="B59" s="48" t="n">
        <f aca="false">$H$32*$B$23/4</f>
        <v>55193.287904</v>
      </c>
      <c r="C59" s="48" t="n">
        <f aca="false">$H$32*$E$23/$F$23</f>
        <v>8980.6027776</v>
      </c>
      <c r="D59" s="48" t="n">
        <f aca="false">$H$32*$G$23/$H$23</f>
        <v>1870.958912</v>
      </c>
      <c r="E59" s="51" t="n">
        <f aca="false">$B$59+$C$59+$D$59</f>
        <v>66044.8495936</v>
      </c>
      <c r="F59" s="45" t="n">
        <f aca="false">$C$32</f>
        <v>39638.96</v>
      </c>
      <c r="G59" s="52" t="n">
        <f aca="false">$E$59-$C$32</f>
        <v>26405.8895936</v>
      </c>
      <c r="H59" s="52" t="n">
        <f aca="false">$G$59*(1-$G$32)</f>
        <v>21652.829466752</v>
      </c>
      <c r="I59" s="52" t="n">
        <f aca="false">$D$32-$H$59</f>
        <v>107720.030533248</v>
      </c>
      <c r="J59" s="53" t="n">
        <f aca="false">$I$59/$F$32</f>
        <v>14.4513635731359</v>
      </c>
      <c r="K59" s="54" t="n">
        <f aca="false">IFERROR($J$59/$E$32-1,"")</f>
        <v>-0.137232025484422</v>
      </c>
    </row>
    <row r="60" customFormat="false" ht="15" hidden="false" customHeight="true" outlineLevel="0" collapsed="false">
      <c r="A60" s="50" t="s">
        <v>38</v>
      </c>
      <c r="B60" s="48" t="n">
        <f aca="false">$H$33*$B$24/4</f>
        <v>87280.241664</v>
      </c>
      <c r="C60" s="48" t="n">
        <f aca="false">$H$33*$E$24/$F$24</f>
        <v>16163.0077155556</v>
      </c>
      <c r="D60" s="48" t="n">
        <f aca="false">$H$33*$G$24/$H$24</f>
        <v>23898.161408</v>
      </c>
      <c r="E60" s="51" t="n">
        <f aca="false">$B$60+$C$60+$D$60</f>
        <v>127341.410787556</v>
      </c>
      <c r="F60" s="45" t="n">
        <f aca="false">$C$33</f>
        <v>81175.82</v>
      </c>
      <c r="G60" s="52" t="n">
        <f aca="false">$E$60-$C$33</f>
        <v>46165.5907875556</v>
      </c>
      <c r="H60" s="52" t="n">
        <f aca="false">$G$60*(1-$G$33)</f>
        <v>36932.4726300444</v>
      </c>
      <c r="I60" s="52" t="n">
        <f aca="false">$D$33-$H$60</f>
        <v>61401.2473699556</v>
      </c>
      <c r="J60" s="53" t="n">
        <f aca="false">$I$60/$F$33</f>
        <v>5.62924280612562</v>
      </c>
      <c r="K60" s="54" t="n">
        <f aca="false">IFERROR($J$60/$E$33-1,"")</f>
        <v>-0.37591543169339</v>
      </c>
    </row>
    <row r="61" customFormat="false" ht="15" hidden="false" customHeight="true" outlineLevel="0" collapsed="false">
      <c r="A61" s="50" t="s">
        <v>42</v>
      </c>
      <c r="B61" s="48" t="n">
        <f aca="false">$H$34*$B$25/4</f>
        <v>68550.214095</v>
      </c>
      <c r="C61" s="48" t="n">
        <f aca="false">$H$34*$E$25/$F$25</f>
        <v>8418.447345</v>
      </c>
      <c r="D61" s="48" t="n">
        <f aca="false">$H$34*$G$25/$H$25</f>
        <v>3848.433072</v>
      </c>
      <c r="E61" s="51" t="n">
        <f aca="false">$B$61+$C$61+$D$61</f>
        <v>80817.094512</v>
      </c>
      <c r="F61" s="45" t="n">
        <f aca="false">$C$34</f>
        <v>42874.7</v>
      </c>
      <c r="G61" s="52" t="n">
        <f aca="false">$E$61-$C$34</f>
        <v>37942.394512</v>
      </c>
      <c r="H61" s="52" t="n">
        <f aca="false">$G$61*(1-$G$34)</f>
        <v>31871.61139008</v>
      </c>
      <c r="I61" s="52" t="n">
        <f aca="false">$D$34-$H$61</f>
        <v>136671.66860992</v>
      </c>
      <c r="J61" s="53" t="n">
        <f aca="false">$I$61/$F$34</f>
        <v>11.1332774471341</v>
      </c>
      <c r="K61" s="54" t="n">
        <f aca="false">IFERROR($J$61/$E$34-1,"")</f>
        <v>-0.189127644054328</v>
      </c>
    </row>
    <row r="62" customFormat="false" ht="15" hidden="false" customHeight="true" outlineLevel="0" collapsed="false">
      <c r="A62" s="50" t="s">
        <v>48</v>
      </c>
      <c r="B62" s="48" t="n">
        <f aca="false">$H$35*$B$26/4</f>
        <v>62252.4032865</v>
      </c>
      <c r="C62" s="48" t="n">
        <f aca="false">$H$35*$E$26/$F$26</f>
        <v>6024.4261245</v>
      </c>
      <c r="D62" s="48" t="n">
        <f aca="false">$H$35*$G$26/$H$26</f>
        <v>2008.1420415</v>
      </c>
      <c r="E62" s="51" t="n">
        <f aca="false">$B$62+$C$62+$D$62</f>
        <v>70284.9714525</v>
      </c>
      <c r="F62" s="45" t="n">
        <f aca="false">$C$35</f>
        <v>35955.99</v>
      </c>
      <c r="G62" s="52" t="n">
        <f aca="false">$E$62-$C$35</f>
        <v>34328.9814525</v>
      </c>
      <c r="H62" s="52" t="n">
        <f aca="false">$G$62*(1-$G$35)</f>
        <v>29866.213863675</v>
      </c>
      <c r="I62" s="52" t="n">
        <f aca="false">$D$35-$H$62</f>
        <v>55916.646136325</v>
      </c>
      <c r="J62" s="53" t="n">
        <f aca="false">$I$62/$F$35</f>
        <v>21.6916995318955</v>
      </c>
      <c r="K62" s="54" t="n">
        <f aca="false">IFERROR($J$62/$E$35-1,"")</f>
        <v>-0.348206143873331</v>
      </c>
    </row>
    <row r="63" customFormat="false" ht="15" hidden="false" customHeight="true" outlineLevel="0" collapsed="false">
      <c r="A63" s="50" t="s">
        <v>55</v>
      </c>
      <c r="B63" s="48" t="n">
        <f aca="false">$H$36*$B$27/4</f>
        <v>11017.8721875</v>
      </c>
      <c r="C63" s="48" t="n">
        <f aca="false">$H$36*$E$27/$F$27</f>
        <v>1762.85955</v>
      </c>
      <c r="D63" s="48" t="n">
        <f aca="false">$H$36*$G$27/$H$27</f>
        <v>881.429775</v>
      </c>
      <c r="E63" s="51" t="n">
        <f aca="false">$B$63+$C$63+$D$63</f>
        <v>13662.1615125</v>
      </c>
      <c r="F63" s="45" t="n">
        <f aca="false">$C$36</f>
        <v>7501.53</v>
      </c>
      <c r="G63" s="52" t="n">
        <f aca="false">$E$63-$C$36</f>
        <v>6160.6315125</v>
      </c>
      <c r="H63" s="52" t="n">
        <f aca="false">$G$63*(1-$G$36)</f>
        <v>4928.50521</v>
      </c>
      <c r="I63" s="52" t="n">
        <f aca="false">$D$36-$H$63</f>
        <v>10892.04479</v>
      </c>
      <c r="J63" s="53" t="n">
        <f aca="false">$I$63/$F$36</f>
        <v>3.73557658723626</v>
      </c>
      <c r="K63" s="54" t="n">
        <f aca="false">IFERROR($J$63/$E$36-1,"")</f>
        <v>-0.312048510637889</v>
      </c>
    </row>
    <row r="65" customFormat="false" ht="15" hidden="false" customHeight="true" outlineLevel="0" collapsed="false">
      <c r="A65" s="56" t="s">
        <v>176</v>
      </c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</row>
    <row r="66" customFormat="false" ht="31.5" hidden="false" customHeight="true" outlineLevel="0" collapsed="false">
      <c r="A66" s="38" t="s">
        <v>140</v>
      </c>
      <c r="B66" s="39" t="s">
        <v>164</v>
      </c>
      <c r="C66" s="38" t="s">
        <v>165</v>
      </c>
      <c r="D66" s="38" t="s">
        <v>166</v>
      </c>
      <c r="E66" s="38" t="s">
        <v>167</v>
      </c>
      <c r="F66" s="38" t="s">
        <v>168</v>
      </c>
      <c r="G66" s="39" t="s">
        <v>169</v>
      </c>
      <c r="H66" s="39" t="s">
        <v>170</v>
      </c>
      <c r="I66" s="38" t="s">
        <v>171</v>
      </c>
      <c r="J66" s="38" t="s">
        <v>172</v>
      </c>
      <c r="K66" s="39" t="s">
        <v>173</v>
      </c>
    </row>
    <row r="67" customFormat="false" ht="15" hidden="false" customHeight="true" outlineLevel="0" collapsed="false">
      <c r="A67" s="50" t="s">
        <v>22</v>
      </c>
      <c r="B67" s="48" t="n">
        <f aca="false">$H$32*$B$23/3</f>
        <v>73591.0505386667</v>
      </c>
      <c r="C67" s="48" t="n">
        <f aca="false">$H$32*$E$23/$F$23</f>
        <v>8980.6027776</v>
      </c>
      <c r="D67" s="48" t="n">
        <f aca="false">$H$32*$G$23/$H$23</f>
        <v>1870.958912</v>
      </c>
      <c r="E67" s="51" t="n">
        <f aca="false">$B$67+$C$67+$D$67</f>
        <v>84442.6122282667</v>
      </c>
      <c r="F67" s="45" t="n">
        <f aca="false">$C$32</f>
        <v>39638.96</v>
      </c>
      <c r="G67" s="52" t="n">
        <f aca="false">$E$67-$C$32</f>
        <v>44803.6522282667</v>
      </c>
      <c r="H67" s="52" t="n">
        <f aca="false">$G$67*(1-$G$32)</f>
        <v>36738.9948271787</v>
      </c>
      <c r="I67" s="52" t="n">
        <f aca="false">$D$32-$H$67</f>
        <v>92633.8651728213</v>
      </c>
      <c r="J67" s="53" t="n">
        <f aca="false">$I$67/$F$32</f>
        <v>12.4274534473336</v>
      </c>
      <c r="K67" s="54" t="n">
        <f aca="false">IFERROR($J$67/$E$32-1,"")</f>
        <v>-0.258062480756202</v>
      </c>
    </row>
    <row r="68" customFormat="false" ht="15" hidden="false" customHeight="true" outlineLevel="0" collapsed="false">
      <c r="A68" s="50" t="s">
        <v>38</v>
      </c>
      <c r="B68" s="48" t="n">
        <f aca="false">$H$33*$B$24/3</f>
        <v>116373.655552</v>
      </c>
      <c r="C68" s="48" t="n">
        <f aca="false">$H$33*$E$24/$F$24</f>
        <v>16163.0077155556</v>
      </c>
      <c r="D68" s="48" t="n">
        <f aca="false">$H$33*$G$24/$H$24</f>
        <v>23898.161408</v>
      </c>
      <c r="E68" s="51" t="n">
        <f aca="false">$B$68+$C$68+$D$68</f>
        <v>156434.824675556</v>
      </c>
      <c r="F68" s="45" t="n">
        <f aca="false">$C$33</f>
        <v>81175.82</v>
      </c>
      <c r="G68" s="52" t="n">
        <f aca="false">$E$68-$C$33</f>
        <v>75259.0046755556</v>
      </c>
      <c r="H68" s="52" t="n">
        <f aca="false">$G$68*(1-$G$33)</f>
        <v>60207.2037404445</v>
      </c>
      <c r="I68" s="52" t="n">
        <f aca="false">$D$33-$H$68</f>
        <v>38126.5162595555</v>
      </c>
      <c r="J68" s="53" t="n">
        <f aca="false">$I$68/$F$33</f>
        <v>3.49542438582042</v>
      </c>
      <c r="K68" s="54" t="n">
        <f aca="false">IFERROR($J$68/$E$33-1,"")</f>
        <v>-0.612480666760485</v>
      </c>
    </row>
    <row r="69" customFormat="false" ht="15" hidden="false" customHeight="true" outlineLevel="0" collapsed="false">
      <c r="A69" s="50" t="s">
        <v>42</v>
      </c>
      <c r="B69" s="48" t="n">
        <f aca="false">$H$34*$B$25/3</f>
        <v>91400.28546</v>
      </c>
      <c r="C69" s="48" t="n">
        <f aca="false">$H$34*$E$25/$F$25</f>
        <v>8418.447345</v>
      </c>
      <c r="D69" s="48" t="n">
        <f aca="false">$H$34*$G$25/$H$25</f>
        <v>3848.433072</v>
      </c>
      <c r="E69" s="51" t="n">
        <f aca="false">$B$69+$C$69+$D$69</f>
        <v>103667.165877</v>
      </c>
      <c r="F69" s="45" t="n">
        <f aca="false">$C$34</f>
        <v>42874.7</v>
      </c>
      <c r="G69" s="52" t="n">
        <f aca="false">$E$69-$C$34</f>
        <v>60792.465877</v>
      </c>
      <c r="H69" s="52" t="n">
        <f aca="false">$G$69*(1-$G$34)</f>
        <v>51065.67133668</v>
      </c>
      <c r="I69" s="52" t="n">
        <f aca="false">$D$34-$H$69</f>
        <v>117477.60866332</v>
      </c>
      <c r="J69" s="53" t="n">
        <f aca="false">$I$69/$F$34</f>
        <v>9.56972885732114</v>
      </c>
      <c r="K69" s="54" t="n">
        <f aca="false">IFERROR($J$69/$E$34-1,"")</f>
        <v>-0.303005909881927</v>
      </c>
    </row>
    <row r="70" customFormat="false" ht="15" hidden="false" customHeight="true" outlineLevel="0" collapsed="false">
      <c r="A70" s="50" t="s">
        <v>48</v>
      </c>
      <c r="B70" s="48" t="n">
        <f aca="false">$H$35*$B$26/3</f>
        <v>83003.204382</v>
      </c>
      <c r="C70" s="48" t="n">
        <f aca="false">$H$35*$E$26/$F$26</f>
        <v>6024.4261245</v>
      </c>
      <c r="D70" s="48" t="n">
        <f aca="false">$H$35*$G$26/$H$26</f>
        <v>2008.1420415</v>
      </c>
      <c r="E70" s="51" t="n">
        <f aca="false">$B$70+$C$70+$D$70</f>
        <v>91035.772548</v>
      </c>
      <c r="F70" s="45" t="n">
        <f aca="false">$C$35</f>
        <v>35955.99</v>
      </c>
      <c r="G70" s="52" t="n">
        <f aca="false">$E$70-$C$35</f>
        <v>55079.782548</v>
      </c>
      <c r="H70" s="52" t="n">
        <f aca="false">$G$70*(1-$G$35)</f>
        <v>47919.41081676</v>
      </c>
      <c r="I70" s="52" t="n">
        <f aca="false">$D$35-$H$70</f>
        <v>37863.44918324</v>
      </c>
      <c r="J70" s="53" t="n">
        <f aca="false">$I$70/$F$35</f>
        <v>14.6883373677608</v>
      </c>
      <c r="K70" s="54" t="n">
        <f aca="false">IFERROR($J$70/$E$35-1,"")</f>
        <v>-0.55864370890142</v>
      </c>
    </row>
    <row r="71" customFormat="false" ht="15" hidden="false" customHeight="true" outlineLevel="0" collapsed="false">
      <c r="A71" s="50" t="s">
        <v>55</v>
      </c>
      <c r="B71" s="48" t="n">
        <f aca="false">$H$36*$B$27/3</f>
        <v>14690.49625</v>
      </c>
      <c r="C71" s="48" t="n">
        <f aca="false">$H$36*$E$27/$F$27</f>
        <v>1762.85955</v>
      </c>
      <c r="D71" s="48" t="n">
        <f aca="false">$H$36*$G$27/$H$27</f>
        <v>881.429775</v>
      </c>
      <c r="E71" s="51" t="n">
        <f aca="false">$B$71+$C$71+$D$71</f>
        <v>17334.785575</v>
      </c>
      <c r="F71" s="45" t="n">
        <f aca="false">$C$36</f>
        <v>7501.53</v>
      </c>
      <c r="G71" s="52" t="n">
        <f aca="false">$E$71-$C$36</f>
        <v>9833.255575</v>
      </c>
      <c r="H71" s="52" t="n">
        <f aca="false">$G$71*(1-$G$36)</f>
        <v>7866.60446</v>
      </c>
      <c r="I71" s="52" t="n">
        <f aca="false">$D$36-$H$71</f>
        <v>7953.94554</v>
      </c>
      <c r="J71" s="53" t="n">
        <f aca="false">$I$71/$F$36</f>
        <v>2.72791503415919</v>
      </c>
      <c r="K71" s="54" t="n">
        <f aca="false">IFERROR($J$71/$E$36-1,"")</f>
        <v>-0.497621540670499</v>
      </c>
    </row>
    <row r="73" customFormat="false" ht="15" hidden="false" customHeight="true" outlineLevel="0" collapsed="false">
      <c r="A73" s="56" t="s">
        <v>177</v>
      </c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</row>
    <row r="74" customFormat="false" ht="31.5" hidden="false" customHeight="true" outlineLevel="0" collapsed="false">
      <c r="A74" s="38" t="s">
        <v>140</v>
      </c>
      <c r="B74" s="39" t="s">
        <v>164</v>
      </c>
      <c r="C74" s="38" t="s">
        <v>165</v>
      </c>
      <c r="D74" s="38" t="s">
        <v>166</v>
      </c>
      <c r="E74" s="38" t="s">
        <v>167</v>
      </c>
      <c r="F74" s="38" t="s">
        <v>168</v>
      </c>
      <c r="G74" s="39" t="s">
        <v>169</v>
      </c>
      <c r="H74" s="39" t="s">
        <v>170</v>
      </c>
      <c r="I74" s="38" t="s">
        <v>171</v>
      </c>
      <c r="J74" s="38" t="s">
        <v>172</v>
      </c>
      <c r="K74" s="39" t="s">
        <v>173</v>
      </c>
    </row>
    <row r="75" customFormat="false" ht="15" hidden="false" customHeight="true" outlineLevel="0" collapsed="false">
      <c r="A75" s="50" t="s">
        <v>22</v>
      </c>
      <c r="B75" s="48" t="n">
        <f aca="false">$H$32*$B$23/2</f>
        <v>110386.575808</v>
      </c>
      <c r="C75" s="48" t="n">
        <f aca="false">$H$32*$E$23/$F$23</f>
        <v>8980.6027776</v>
      </c>
      <c r="D75" s="48" t="n">
        <f aca="false">$H$32*$G$23/$H$23</f>
        <v>1870.958912</v>
      </c>
      <c r="E75" s="51" t="n">
        <f aca="false">$B$75+$C$75+$D$75</f>
        <v>121238.1374976</v>
      </c>
      <c r="F75" s="45" t="n">
        <f aca="false">$C$32</f>
        <v>39638.96</v>
      </c>
      <c r="G75" s="52" t="n">
        <f aca="false">$E$75-$C$32</f>
        <v>81599.1774976</v>
      </c>
      <c r="H75" s="52" t="n">
        <f aca="false">$G$75*(1-$G$32)</f>
        <v>66911.325548032</v>
      </c>
      <c r="I75" s="52" t="n">
        <f aca="false">$D$32-$H$75</f>
        <v>62461.534451968</v>
      </c>
      <c r="J75" s="53" t="n">
        <f aca="false">$I$75/$F$32</f>
        <v>8.37963319572899</v>
      </c>
      <c r="K75" s="54" t="n">
        <f aca="false">IFERROR($J$75/$E$32-1,"")</f>
        <v>-0.499723391299762</v>
      </c>
    </row>
    <row r="76" customFormat="false" ht="15" hidden="false" customHeight="true" outlineLevel="0" collapsed="false">
      <c r="A76" s="50" t="s">
        <v>38</v>
      </c>
      <c r="B76" s="48" t="n">
        <f aca="false">$H$33*$B$24/2</f>
        <v>174560.483328</v>
      </c>
      <c r="C76" s="48" t="n">
        <f aca="false">$H$33*$E$24/$F$24</f>
        <v>16163.0077155556</v>
      </c>
      <c r="D76" s="48" t="n">
        <f aca="false">$H$33*$G$24/$H$24</f>
        <v>23898.161408</v>
      </c>
      <c r="E76" s="51" t="n">
        <f aca="false">$B$76+$C$76+$D$76</f>
        <v>214621.652451556</v>
      </c>
      <c r="F76" s="45" t="n">
        <f aca="false">$C$33</f>
        <v>81175.82</v>
      </c>
      <c r="G76" s="52" t="n">
        <f aca="false">$E$76-$C$33</f>
        <v>133445.832451556</v>
      </c>
      <c r="H76" s="52" t="n">
        <f aca="false">$G$76*(1-$G$33)</f>
        <v>106756.665961244</v>
      </c>
      <c r="I76" s="52" t="n">
        <f aca="false">$D$33-$H$76</f>
        <v>-8422.94596124445</v>
      </c>
      <c r="J76" s="53" t="n">
        <f aca="false">$I$76/$F$33</f>
        <v>-0.77221245478998</v>
      </c>
      <c r="K76" s="54" t="n">
        <f aca="false">IFERROR($J$76/$E$33-1,"")</f>
        <v>-1.08561113689468</v>
      </c>
    </row>
    <row r="77" customFormat="false" ht="15" hidden="false" customHeight="true" outlineLevel="0" collapsed="false">
      <c r="A77" s="50" t="s">
        <v>42</v>
      </c>
      <c r="B77" s="48" t="n">
        <f aca="false">$H$34*$B$25/2</f>
        <v>137100.42819</v>
      </c>
      <c r="C77" s="48" t="n">
        <f aca="false">$H$34*$E$25/$F$25</f>
        <v>8418.447345</v>
      </c>
      <c r="D77" s="48" t="n">
        <f aca="false">$H$34*$G$25/$H$25</f>
        <v>3848.433072</v>
      </c>
      <c r="E77" s="51" t="n">
        <f aca="false">$B$77+$C$77+$D$77</f>
        <v>149367.308607</v>
      </c>
      <c r="F77" s="45" t="n">
        <f aca="false">$C$34</f>
        <v>42874.7</v>
      </c>
      <c r="G77" s="52" t="n">
        <f aca="false">$E$77-$C$34</f>
        <v>106492.608607</v>
      </c>
      <c r="H77" s="52" t="n">
        <f aca="false">$G$77*(1-$G$34)</f>
        <v>89453.79122988</v>
      </c>
      <c r="I77" s="52" t="n">
        <f aca="false">$D$34-$H$77</f>
        <v>79089.48877012</v>
      </c>
      <c r="J77" s="53" t="n">
        <f aca="false">$I$77/$F$34</f>
        <v>6.44263167769527</v>
      </c>
      <c r="K77" s="54" t="n">
        <f aca="false">IFERROR($J$77/$E$34-1,"")</f>
        <v>-0.530762441537126</v>
      </c>
    </row>
    <row r="78" customFormat="false" ht="15" hidden="false" customHeight="true" outlineLevel="0" collapsed="false">
      <c r="A78" s="50" t="s">
        <v>48</v>
      </c>
      <c r="B78" s="48" t="n">
        <f aca="false">$H$35*$B$26/2</f>
        <v>124504.806573</v>
      </c>
      <c r="C78" s="48" t="n">
        <f aca="false">$H$35*$E$26/$F$26</f>
        <v>6024.4261245</v>
      </c>
      <c r="D78" s="48" t="n">
        <f aca="false">$H$35*$G$26/$H$26</f>
        <v>2008.1420415</v>
      </c>
      <c r="E78" s="51" t="n">
        <f aca="false">$B$78+$C$78+$D$78</f>
        <v>132537.374739</v>
      </c>
      <c r="F78" s="45" t="n">
        <f aca="false">$C$35</f>
        <v>35955.99</v>
      </c>
      <c r="G78" s="52" t="n">
        <f aca="false">$E$78-$C$35</f>
        <v>96581.384739</v>
      </c>
      <c r="H78" s="52" t="n">
        <f aca="false">$G$78*(1-$G$35)</f>
        <v>84025.80472293</v>
      </c>
      <c r="I78" s="52" t="n">
        <f aca="false">$D$35-$H$78</f>
        <v>1757.05527707</v>
      </c>
      <c r="J78" s="53" t="n">
        <f aca="false">$I$78/$F$35</f>
        <v>0.681613039491193</v>
      </c>
      <c r="K78" s="54" t="n">
        <f aca="false">IFERROR($J$78/$E$35-1,"")</f>
        <v>-0.979518838957596</v>
      </c>
    </row>
    <row r="79" customFormat="false" ht="15" hidden="false" customHeight="true" outlineLevel="0" collapsed="false">
      <c r="A79" s="50" t="s">
        <v>55</v>
      </c>
      <c r="B79" s="48" t="n">
        <f aca="false">$H$36*$B$27/2</f>
        <v>22035.744375</v>
      </c>
      <c r="C79" s="48" t="n">
        <f aca="false">$H$36*$E$27/$F$27</f>
        <v>1762.85955</v>
      </c>
      <c r="D79" s="48" t="n">
        <f aca="false">$H$36*$G$27/$H$27</f>
        <v>881.429775</v>
      </c>
      <c r="E79" s="51" t="n">
        <f aca="false">$B$79+$C$79+$D$79</f>
        <v>24680.0337</v>
      </c>
      <c r="F79" s="45" t="n">
        <f aca="false">$C$36</f>
        <v>7501.53</v>
      </c>
      <c r="G79" s="52" t="n">
        <f aca="false">$E$79-$C$36</f>
        <v>17178.5037</v>
      </c>
      <c r="H79" s="52" t="n">
        <f aca="false">$G$79*(1-$G$36)</f>
        <v>13742.80296</v>
      </c>
      <c r="I79" s="52" t="n">
        <f aca="false">$D$36-$H$79</f>
        <v>2077.74704</v>
      </c>
      <c r="J79" s="53" t="n">
        <f aca="false">$I$79/$F$36</f>
        <v>0.712591928005048</v>
      </c>
      <c r="K79" s="54" t="n">
        <f aca="false">IFERROR($J$79/$E$36-1,"")</f>
        <v>-0.868767600735719</v>
      </c>
    </row>
    <row r="82" customFormat="false" ht="15" hidden="false" customHeight="true" outlineLevel="0" collapsed="false">
      <c r="A82" s="21" t="s">
        <v>178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customFormat="false" ht="15" hidden="false" customHeight="true" outlineLevel="0" collapsed="false">
      <c r="A83" s="29" t="s">
        <v>179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</row>
    <row r="84" customFormat="false" ht="48" hidden="false" customHeight="true" outlineLevel="0" collapsed="false">
      <c r="A84" s="38" t="s">
        <v>140</v>
      </c>
      <c r="B84" s="39" t="s">
        <v>180</v>
      </c>
      <c r="C84" s="38" t="s">
        <v>181</v>
      </c>
      <c r="D84" s="38" t="s">
        <v>182</v>
      </c>
      <c r="E84" s="38" t="s">
        <v>183</v>
      </c>
      <c r="F84" s="39" t="s">
        <v>184</v>
      </c>
      <c r="G84" s="39" t="s">
        <v>185</v>
      </c>
      <c r="H84" s="38" t="s">
        <v>186</v>
      </c>
      <c r="I84" s="38" t="s">
        <v>187</v>
      </c>
    </row>
    <row r="85" customFormat="false" ht="36" hidden="false" customHeight="true" outlineLevel="0" collapsed="false">
      <c r="A85" s="40" t="s">
        <v>22</v>
      </c>
      <c r="B85" s="57" t="n">
        <f aca="false">$B$23</f>
        <v>0.59</v>
      </c>
      <c r="C85" s="58" t="n">
        <f aca="false">$B$23*$D$23+$E$23*$F$23+$G$23*$H$23</f>
        <v>9.44</v>
      </c>
      <c r="D85" s="59" t="n">
        <f aca="false">IFERROR(($D$32-($H$32*$B$23/4+$H$32*$E$23/$F$23+$H$32*$G$23/$H$23-$C$32)*(1-$G$32))/$F$32/$E$32-1,"")</f>
        <v>-0.137232025484422</v>
      </c>
      <c r="E85" s="59" t="n">
        <f aca="false">IFERROR(($D$32-($H$32*$B$23/3+$H$32*$E$23/$F$23+$H$32*$G$23/$H$23-$C$32)*(1-$G$32))/$F$32/$E$32-1,"")</f>
        <v>-0.258062480756202</v>
      </c>
      <c r="F85" s="60" t="n">
        <f aca="false">IFERROR(($D$32-($C$32*($B$23*$D$23+$E$23*$F$23+$G$23*$H$23)/4-$C$32)*(1-$G$32))/$F$32/$E$32-1,"")</f>
        <v>-0.317863316246642</v>
      </c>
      <c r="G85" s="60" t="n">
        <f aca="false">IFERROR(($D$32-($C$32*($B$23*$D$23+$E$23*$F$23+$G$23*$H$23)/3-$C$32)*(1-$G$32))/$F$32/$E$32-1,"")</f>
        <v>-0.522660698063218</v>
      </c>
      <c r="H85" s="57" t="n">
        <f aca="false">IFERROR(E85/G85,"")</f>
        <v>0.493747629604605</v>
      </c>
      <c r="I85" s="42" t="s">
        <v>188</v>
      </c>
    </row>
    <row r="86" customFormat="false" ht="36" hidden="false" customHeight="true" outlineLevel="0" collapsed="false">
      <c r="A86" s="40" t="s">
        <v>38</v>
      </c>
      <c r="B86" s="57" t="n">
        <f aca="false">$B$24</f>
        <v>0.42</v>
      </c>
      <c r="C86" s="58" t="n">
        <f aca="false">$B$24*$D$24+$E$24*$F$24+$G$24*$H$24</f>
        <v>10.24</v>
      </c>
      <c r="D86" s="59" t="n">
        <f aca="false">IFERROR(($D$33-($H$33*$B$24/4+$H$33*$E$24/$F$24+$H$33*$G$24/$H$24-$C$33)*(1-$G$33))/$F$33/$E$33-1,"")</f>
        <v>-0.37591543169339</v>
      </c>
      <c r="E86" s="59" t="n">
        <f aca="false">IFERROR(($D$33-($H$33*$B$24/3+$H$33*$E$24/$F$24+$H$33*$G$24/$H$24-$C$33)*(1-$G$33))/$F$33/$E$33-1,"")</f>
        <v>-0.612480666760485</v>
      </c>
      <c r="F86" s="60" t="n">
        <f aca="false">IFERROR(($D$33-($C$33*($B$24*$D$24+$E$24*$F$24+$G$24*$H$24)/4-$C$33)*(1-$G$33))/$F$33/$E$33-1,"")</f>
        <v>-1.03022483185913</v>
      </c>
      <c r="G86" s="60" t="n">
        <f aca="false">IFERROR(($D$33-($C$33*($B$24*$D$24+$E$24*$F$24+$G$24*$H$24)/3-$C$33)*(1-$G$33))/$F$33/$E$33-1,"")</f>
        <v>-1.59347539154269</v>
      </c>
      <c r="H86" s="57" t="n">
        <f aca="false">IFERROR(E86/G86,"")</f>
        <v>0.384367822691963</v>
      </c>
      <c r="I86" s="42" t="s">
        <v>189</v>
      </c>
    </row>
    <row r="87" customFormat="false" ht="36" hidden="false" customHeight="true" outlineLevel="0" collapsed="false">
      <c r="A87" s="40" t="s">
        <v>42</v>
      </c>
      <c r="B87" s="57" t="n">
        <f aca="false">$B$25</f>
        <v>0.57</v>
      </c>
      <c r="C87" s="58" t="n">
        <f aca="false">$B$25*$D$25+$E$25*$F$25+$G$25*$H$25</f>
        <v>11.22</v>
      </c>
      <c r="D87" s="59" t="n">
        <f aca="false">IFERROR(($D$34-($H$34*$B$25/4+$H$34*$E$25/$F$25+$H$34*$G$25/$H$25-$C$34)*(1-$G$34))/$F$34/$E$34-1,"")</f>
        <v>-0.189127644054328</v>
      </c>
      <c r="E87" s="59" t="n">
        <f aca="false">IFERROR(($D$34-($H$34*$B$25/3+$H$34*$E$25/$F$25+$H$34*$G$25/$H$25-$C$34)*(1-$G$34))/$F$34/$E$34-1,"")</f>
        <v>-0.303005909881927</v>
      </c>
      <c r="F87" s="60" t="n">
        <f aca="false">IFERROR(($D$34-($C$34*($B$25*$D$25+$E$25*$F$25+$G$25*$H$25)/4-$C$34)*(1-$G$34))/$F$34/$E$34-1,"")</f>
        <v>-0.385717492430394</v>
      </c>
      <c r="G87" s="60" t="n">
        <f aca="false">IFERROR(($D$34-($C$34*($B$25*$D$25+$E$25*$F$25+$G$25*$H$25)/3-$C$34)*(1-$G$34))/$F$34/$E$34-1,"")</f>
        <v>-0.585503923706884</v>
      </c>
      <c r="H87" s="57" t="n">
        <f aca="false">IFERROR(E87/G87,"")</f>
        <v>0.517513030422694</v>
      </c>
      <c r="I87" s="42" t="s">
        <v>190</v>
      </c>
    </row>
    <row r="88" customFormat="false" ht="36" hidden="false" customHeight="true" outlineLevel="0" collapsed="false">
      <c r="A88" s="40" t="s">
        <v>48</v>
      </c>
      <c r="B88" s="57" t="n">
        <f aca="false">$B$26</f>
        <v>0.62</v>
      </c>
      <c r="C88" s="58" t="n">
        <f aca="false">$B$26*$D$26+$E$26*$F$26+$G$26*$H$26</f>
        <v>11.17</v>
      </c>
      <c r="D88" s="59" t="n">
        <f aca="false">IFERROR(($D$35-($H$35*$B$26/4+$H$35*$E$26/$F$26+$H$35*$G$26/$H$26-$C$35)*(1-$G$35))/$F$35/$E$35-1,"")</f>
        <v>-0.348206143873331</v>
      </c>
      <c r="E88" s="59" t="n">
        <f aca="false">IFERROR(($D$35-($H$35*$B$26/3+$H$35*$E$26/$F$26+$H$35*$G$26/$H$26-$C$35)*(1-$G$35))/$F$35/$E$35-1,"")</f>
        <v>-0.55864370890142</v>
      </c>
      <c r="F88" s="60" t="n">
        <f aca="false">IFERROR(($D$35-($C$35*($B$26*$D$26+$E$26*$F$26+$G$26*$H$26)/4-$C$35)*(1-$G$35))/$F$35/$E$35-1,"")</f>
        <v>-0.653680028591524</v>
      </c>
      <c r="G88" s="60" t="n">
        <f aca="false">IFERROR(($D$35-($C$35*($B$26*$D$26+$E$26*$F$26+$G$26*$H$26)/3-$C$35)*(1-$G$35))/$F$35/$E$35-1,"")</f>
        <v>-0.993095456056183</v>
      </c>
      <c r="H88" s="57" t="n">
        <f aca="false">IFERROR(E88/G88,"")</f>
        <v>0.562527706168273</v>
      </c>
      <c r="I88" s="61" t="s">
        <v>191</v>
      </c>
    </row>
    <row r="89" customFormat="false" ht="36" hidden="false" customHeight="true" outlineLevel="0" collapsed="false">
      <c r="A89" s="40" t="s">
        <v>55</v>
      </c>
      <c r="B89" s="57" t="n">
        <f aca="false">$B$27</f>
        <v>0.5</v>
      </c>
      <c r="C89" s="58" t="n">
        <f aca="false">$B$27*$D$27+$E$27*$F$27+$G$27*$H$27</f>
        <v>11.75</v>
      </c>
      <c r="D89" s="59" t="n">
        <f aca="false">IFERROR(($D$36-($H$36*$B$27/4+$H$36*$E$27/$F$27+$H$36*$G$27/$H$27-$C$36)*(1-$G$36))/$F$36/$E$36-1,"")</f>
        <v>-0.312048510637889</v>
      </c>
      <c r="E89" s="59" t="n">
        <f aca="false">IFERROR(($D$36-($H$36*$B$27/3+$H$36*$E$27/$F$27+$H$36*$G$27/$H$27-$C$36)*(1-$G$36))/$F$36/$E$36-1,"")</f>
        <v>-0.497621540670499</v>
      </c>
      <c r="F89" s="60" t="n">
        <f aca="false">IFERROR(($D$36-($C$36*($B$27*$D$27+$E$27*$F$27+$G$27*$H$27)/4-$C$36)*(1-$G$36))/$F$36/$E$36-1,"")</f>
        <v>-0.73515501911224</v>
      </c>
      <c r="G89" s="60" t="n">
        <f aca="false">IFERROR(($D$36-($C$36*($B$27*$D$27+$E$27*$F$27+$G$27*$H$27)/3-$C$36)*(1-$G$36))/$F$36/$E$36-1,"")</f>
        <v>-1.10630107917746</v>
      </c>
      <c r="H89" s="57" t="n">
        <f aca="false">IFERROR(E89/G89,"")</f>
        <v>0.449806612355909</v>
      </c>
      <c r="I89" s="61" t="s">
        <v>192</v>
      </c>
    </row>
    <row r="92" customFormat="false" ht="15" hidden="false" customHeight="true" outlineLevel="0" collapsed="false">
      <c r="A92" s="62" t="s">
        <v>193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</row>
    <row r="93" customFormat="false" ht="19.5" hidden="false" customHeight="true" outlineLevel="0" collapsed="false">
      <c r="A93" s="63" t="s">
        <v>194</v>
      </c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</row>
    <row r="94" customFormat="false" ht="19.5" hidden="false" customHeight="true" outlineLevel="0" collapsed="false">
      <c r="A94" s="63" t="s">
        <v>195</v>
      </c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</row>
    <row r="95" customFormat="false" ht="19.5" hidden="false" customHeight="true" outlineLevel="0" collapsed="false">
      <c r="A95" s="63" t="s">
        <v>196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</row>
    <row r="96" customFormat="false" ht="19.5" hidden="false" customHeight="true" outlineLevel="0" collapsed="false">
      <c r="A96" s="64" t="s">
        <v>197</v>
      </c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</row>
    <row r="97" customFormat="false" ht="19.5" hidden="false" customHeight="true" outlineLevel="0" collapsed="false">
      <c r="A97" s="64" t="s">
        <v>198</v>
      </c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</row>
    <row r="98" customFormat="false" ht="19.5" hidden="false" customHeight="true" outlineLevel="0" collapsed="false">
      <c r="A98" s="65" t="s">
        <v>199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</row>
  </sheetData>
  <mergeCells count="22">
    <mergeCell ref="A1:P1"/>
    <mergeCell ref="A3:P3"/>
    <mergeCell ref="A4:P4"/>
    <mergeCell ref="A19:P19"/>
    <mergeCell ref="A21:P21"/>
    <mergeCell ref="A30:L30"/>
    <mergeCell ref="A39:L39"/>
    <mergeCell ref="A40:L40"/>
    <mergeCell ref="A41:L41"/>
    <mergeCell ref="A49:L49"/>
    <mergeCell ref="A57:L57"/>
    <mergeCell ref="A65:L65"/>
    <mergeCell ref="A73:L73"/>
    <mergeCell ref="A82:L82"/>
    <mergeCell ref="A83:L83"/>
    <mergeCell ref="A92:L92"/>
    <mergeCell ref="A93:L93"/>
    <mergeCell ref="A94:L94"/>
    <mergeCell ref="A95:L95"/>
    <mergeCell ref="A96:L96"/>
    <mergeCell ref="A97:L97"/>
    <mergeCell ref="A98:L98"/>
  </mergeCells>
  <conditionalFormatting sqref="K43:K47">
    <cfRule type="colorScale" priority="2">
      <colorScale>
        <cfvo type="num" val="-0.4"/>
        <cfvo type="num" val="-0.1"/>
        <cfvo type="num" val="0.05"/>
        <color rgb="FFF8696B"/>
        <color rgb="FFFFEB84"/>
        <color rgb="FF63BE7B"/>
      </colorScale>
    </cfRule>
  </conditionalFormatting>
  <conditionalFormatting sqref="K51:K55">
    <cfRule type="colorScale" priority="3">
      <colorScale>
        <cfvo type="num" val="-0.4"/>
        <cfvo type="num" val="-0.1"/>
        <cfvo type="num" val="0.05"/>
        <color rgb="FFF8696B"/>
        <color rgb="FFFFEB84"/>
        <color rgb="FF63BE7B"/>
      </colorScale>
    </cfRule>
  </conditionalFormatting>
  <conditionalFormatting sqref="K59:K63">
    <cfRule type="colorScale" priority="4">
      <colorScale>
        <cfvo type="num" val="-0.4"/>
        <cfvo type="num" val="-0.1"/>
        <cfvo type="num" val="0.05"/>
        <color rgb="FFF8696B"/>
        <color rgb="FFFFEB84"/>
        <color rgb="FF63BE7B"/>
      </colorScale>
    </cfRule>
  </conditionalFormatting>
  <conditionalFormatting sqref="K67:K71">
    <cfRule type="colorScale" priority="5">
      <colorScale>
        <cfvo type="num" val="-0.4"/>
        <cfvo type="num" val="-0.1"/>
        <cfvo type="num" val="0.05"/>
        <color rgb="FFF8696B"/>
        <color rgb="FFFFEB84"/>
        <color rgb="FF63BE7B"/>
      </colorScale>
    </cfRule>
  </conditionalFormatting>
  <conditionalFormatting sqref="K75:K79">
    <cfRule type="colorScale" priority="6">
      <colorScale>
        <cfvo type="num" val="-0.4"/>
        <cfvo type="num" val="-0.1"/>
        <cfvo type="num" val="0.05"/>
        <color rgb="FFF8696B"/>
        <color rgb="FFFFEB84"/>
        <color rgb="FF63BE7B"/>
      </colorScale>
    </cfRule>
  </conditionalFormatting>
  <conditionalFormatting sqref="D85:D89">
    <cfRule type="colorScale" priority="7">
      <colorScale>
        <cfvo type="num" val="-0.4"/>
        <cfvo type="num" val="-0.1"/>
        <cfvo type="num" val="0"/>
        <color rgb="FFF8696B"/>
        <color rgb="FFFFEB84"/>
        <color rgb="FF63BE7B"/>
      </colorScale>
    </cfRule>
  </conditionalFormatting>
  <conditionalFormatting sqref="E85:E89">
    <cfRule type="colorScale" priority="8">
      <colorScale>
        <cfvo type="num" val="-0.4"/>
        <cfvo type="num" val="-0.1"/>
        <cfvo type="num" val="0"/>
        <color rgb="FFF8696B"/>
        <color rgb="FFFFEB84"/>
        <color rgb="FF63BE7B"/>
      </colorScale>
    </cfRule>
  </conditionalFormatting>
  <conditionalFormatting sqref="F85:F89">
    <cfRule type="colorScale" priority="9">
      <colorScale>
        <cfvo type="num" val="-0.4"/>
        <cfvo type="num" val="-0.1"/>
        <cfvo type="num" val="0"/>
        <color rgb="FFF8696B"/>
        <color rgb="FFFFEB84"/>
        <color rgb="FF63BE7B"/>
      </colorScale>
    </cfRule>
  </conditionalFormatting>
  <conditionalFormatting sqref="G85:G89">
    <cfRule type="colorScale" priority="10">
      <colorScale>
        <cfvo type="num" val="-0.4"/>
        <cfvo type="num" val="-0.1"/>
        <cfvo type="num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7" min="2" style="1" width="10.51"/>
  </cols>
  <sheetData>
    <row r="1" customFormat="false" ht="25.5" hidden="false" customHeight="true" outlineLevel="0" collapsed="false">
      <c r="A1" s="2" t="s">
        <v>200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21" t="s">
        <v>201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customFormat="false" ht="15" hidden="false" customHeight="true" outlineLevel="0" collapsed="false">
      <c r="A4" s="66" t="s">
        <v>202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</row>
    <row r="5" customFormat="false" ht="15" hidden="false" customHeight="true" outlineLevel="0" collapsed="false">
      <c r="A5" s="4" t="s">
        <v>2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203</v>
      </c>
      <c r="J5" s="4" t="s">
        <v>16</v>
      </c>
      <c r="K5" s="4" t="s">
        <v>17</v>
      </c>
      <c r="L5" s="4" t="s">
        <v>18</v>
      </c>
      <c r="M5" s="4" t="s">
        <v>19</v>
      </c>
      <c r="N5" s="4" t="s">
        <v>20</v>
      </c>
    </row>
    <row r="6" customFormat="false" ht="15" hidden="false" customHeight="true" outlineLevel="0" collapsed="false">
      <c r="A6" s="31" t="s">
        <v>204</v>
      </c>
      <c r="B6" s="67" t="n">
        <v>162</v>
      </c>
      <c r="C6" s="67" t="n">
        <v>164</v>
      </c>
      <c r="D6" s="67" t="n">
        <v>140</v>
      </c>
      <c r="E6" s="67" t="n">
        <v>209</v>
      </c>
      <c r="F6" s="67" t="n">
        <v>219</v>
      </c>
      <c r="G6" s="67" t="n">
        <v>221</v>
      </c>
      <c r="H6" s="67" t="n">
        <v>246</v>
      </c>
      <c r="I6" s="67" t="n">
        <v>275</v>
      </c>
      <c r="J6" s="67" t="n">
        <v>309</v>
      </c>
      <c r="K6" s="67" t="n">
        <v>342</v>
      </c>
      <c r="L6" s="67" t="n">
        <v>370</v>
      </c>
      <c r="M6" s="67" t="n">
        <v>396</v>
      </c>
      <c r="N6" s="67" t="n">
        <v>420</v>
      </c>
    </row>
    <row r="7" customFormat="false" ht="15" hidden="false" customHeight="true" outlineLevel="0" collapsed="false">
      <c r="A7" s="31" t="s">
        <v>205</v>
      </c>
      <c r="B7" s="8" t="n">
        <v>644</v>
      </c>
      <c r="C7" s="8" t="n">
        <v>697</v>
      </c>
      <c r="D7" s="8" t="n">
        <v>591</v>
      </c>
      <c r="E7" s="8" t="n">
        <v>739</v>
      </c>
      <c r="F7" s="8" t="n">
        <v>892</v>
      </c>
      <c r="G7" s="8" t="n">
        <v>958</v>
      </c>
      <c r="H7" s="8" t="n">
        <v>1077</v>
      </c>
      <c r="I7" s="8" t="n">
        <v>1296</v>
      </c>
      <c r="J7" s="8" t="n">
        <v>1724</v>
      </c>
      <c r="K7" s="8" t="n">
        <v>2103</v>
      </c>
      <c r="L7" s="8" t="n">
        <v>2400</v>
      </c>
      <c r="M7" s="8" t="n">
        <v>2600</v>
      </c>
      <c r="N7" s="8" t="n">
        <v>2750</v>
      </c>
    </row>
    <row r="8" customFormat="false" ht="15" hidden="false" customHeight="true" outlineLevel="0" collapsed="false">
      <c r="A8" s="31" t="s">
        <v>206</v>
      </c>
      <c r="B8" s="8" t="n">
        <v>50</v>
      </c>
      <c r="C8" s="8" t="n">
        <v>55</v>
      </c>
      <c r="D8" s="8" t="n">
        <v>60</v>
      </c>
      <c r="E8" s="8" t="n">
        <v>86</v>
      </c>
      <c r="F8" s="8" t="n">
        <v>158</v>
      </c>
      <c r="G8" s="8" t="n">
        <v>154</v>
      </c>
      <c r="H8" s="8" t="n">
        <v>237</v>
      </c>
      <c r="I8" s="8" t="n">
        <v>412</v>
      </c>
      <c r="J8" s="8" t="n">
        <v>755</v>
      </c>
      <c r="K8" s="8" t="n">
        <v>892</v>
      </c>
      <c r="L8" s="8" t="n">
        <v>950</v>
      </c>
      <c r="M8" s="8" t="n">
        <v>980</v>
      </c>
      <c r="N8" s="8" t="n">
        <v>1000</v>
      </c>
    </row>
    <row r="9" customFormat="false" ht="15" hidden="false" customHeight="true" outlineLevel="0" collapsed="false">
      <c r="A9" s="31" t="s">
        <v>207</v>
      </c>
      <c r="B9" s="8" t="n">
        <v>770</v>
      </c>
      <c r="C9" s="8" t="n">
        <v>729</v>
      </c>
      <c r="D9" s="8" t="n">
        <v>520</v>
      </c>
      <c r="E9" s="8" t="n">
        <v>919</v>
      </c>
      <c r="F9" s="8" t="n">
        <v>950</v>
      </c>
      <c r="G9" s="8" t="n">
        <v>823</v>
      </c>
      <c r="H9" s="8" t="n">
        <v>982</v>
      </c>
      <c r="I9" s="8" t="n">
        <v>1066</v>
      </c>
      <c r="J9" s="8" t="n">
        <v>1098</v>
      </c>
      <c r="K9" s="8" t="n">
        <v>1153</v>
      </c>
      <c r="L9" s="8" t="n">
        <v>1200</v>
      </c>
      <c r="M9" s="8" t="n">
        <v>1250</v>
      </c>
      <c r="N9" s="8" t="n">
        <v>1300</v>
      </c>
    </row>
    <row r="10" customFormat="false" ht="15" hidden="false" customHeight="true" outlineLevel="0" collapsed="false">
      <c r="A10" s="34" t="s">
        <v>208</v>
      </c>
      <c r="B10" s="68" t="n">
        <f aca="false">B8/B7</f>
        <v>0.077639751552795</v>
      </c>
      <c r="C10" s="68" t="n">
        <f aca="false">C8/C7</f>
        <v>0.078909612625538</v>
      </c>
      <c r="D10" s="68" t="n">
        <f aca="false">D8/D7</f>
        <v>0.101522842639594</v>
      </c>
      <c r="E10" s="68" t="n">
        <f aca="false">E8/E7</f>
        <v>0.11637347767253</v>
      </c>
      <c r="F10" s="68" t="n">
        <f aca="false">F8/F7</f>
        <v>0.177130044843049</v>
      </c>
      <c r="G10" s="68" t="n">
        <f aca="false">G8/G7</f>
        <v>0.160751565762004</v>
      </c>
      <c r="H10" s="68" t="n">
        <f aca="false">H8/H7</f>
        <v>0.220055710306407</v>
      </c>
      <c r="I10" s="68" t="n">
        <f aca="false">I8/I7</f>
        <v>0.317901234567901</v>
      </c>
      <c r="J10" s="68" t="n">
        <f aca="false">J8/J7</f>
        <v>0.437935034802784</v>
      </c>
      <c r="K10" s="68" t="n">
        <f aca="false">K8/K7</f>
        <v>0.42415596766524</v>
      </c>
      <c r="L10" s="68" t="n">
        <f aca="false">L8/L7</f>
        <v>0.395833333333333</v>
      </c>
      <c r="M10" s="68" t="n">
        <f aca="false">M8/M7</f>
        <v>0.376923076923077</v>
      </c>
      <c r="N10" s="68" t="n">
        <f aca="false">N8/N7</f>
        <v>0.363636363636364</v>
      </c>
    </row>
    <row r="12" customFormat="false" ht="15" hidden="false" customHeight="true" outlineLevel="0" collapsed="false">
      <c r="A12" s="21" t="s">
        <v>209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customFormat="false" ht="15" hidden="false" customHeight="true" outlineLevel="0" collapsed="false">
      <c r="A13" s="66" t="s">
        <v>210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</row>
    <row r="14" customFormat="false" ht="15" hidden="false" customHeight="true" outlineLevel="0" collapsed="false">
      <c r="A14" s="4" t="s">
        <v>2</v>
      </c>
      <c r="B14" s="4" t="s">
        <v>8</v>
      </c>
      <c r="C14" s="4" t="s">
        <v>9</v>
      </c>
      <c r="D14" s="4" t="s">
        <v>10</v>
      </c>
      <c r="E14" s="4" t="s">
        <v>11</v>
      </c>
      <c r="F14" s="4" t="s">
        <v>12</v>
      </c>
      <c r="G14" s="4" t="s">
        <v>13</v>
      </c>
      <c r="H14" s="4" t="s">
        <v>14</v>
      </c>
      <c r="I14" s="4" t="s">
        <v>203</v>
      </c>
      <c r="J14" s="4" t="s">
        <v>16</v>
      </c>
      <c r="K14" s="4" t="s">
        <v>17</v>
      </c>
      <c r="L14" s="4" t="s">
        <v>18</v>
      </c>
      <c r="M14" s="4" t="s">
        <v>19</v>
      </c>
      <c r="N14" s="4" t="s">
        <v>20</v>
      </c>
    </row>
    <row r="15" customFormat="false" ht="21.75" hidden="false" customHeight="true" outlineLevel="0" collapsed="false">
      <c r="A15" s="69" t="s">
        <v>211</v>
      </c>
      <c r="B15" s="41" t="n">
        <v>0.55</v>
      </c>
      <c r="C15" s="41" t="n">
        <v>0.55</v>
      </c>
      <c r="D15" s="41" t="n">
        <v>0.55</v>
      </c>
      <c r="E15" s="41" t="n">
        <v>0.55</v>
      </c>
      <c r="F15" s="41" t="n">
        <v>0.55</v>
      </c>
      <c r="G15" s="41" t="n">
        <v>0.55</v>
      </c>
      <c r="H15" s="41" t="n">
        <v>0.55</v>
      </c>
      <c r="I15" s="41" t="n">
        <v>0.6</v>
      </c>
      <c r="J15" s="41" t="n">
        <v>0.65</v>
      </c>
      <c r="K15" s="41" t="n">
        <v>0.65</v>
      </c>
      <c r="L15" s="41" t="n">
        <v>0.65</v>
      </c>
      <c r="M15" s="41" t="n">
        <v>0.63</v>
      </c>
      <c r="N15" s="41" t="n">
        <v>0.6</v>
      </c>
    </row>
    <row r="16" customFormat="false" ht="21.75" hidden="false" customHeight="true" outlineLevel="0" collapsed="false">
      <c r="A16" s="69" t="s">
        <v>212</v>
      </c>
      <c r="B16" s="41" t="n">
        <v>0.2</v>
      </c>
      <c r="C16" s="41" t="n">
        <v>0.2</v>
      </c>
      <c r="D16" s="41" t="n">
        <v>0.2</v>
      </c>
      <c r="E16" s="41" t="n">
        <v>0.22</v>
      </c>
      <c r="F16" s="41" t="n">
        <v>0.25</v>
      </c>
      <c r="G16" s="41" t="n">
        <v>0.3</v>
      </c>
      <c r="H16" s="41" t="n">
        <v>0.35</v>
      </c>
      <c r="I16" s="41" t="n">
        <v>0.4</v>
      </c>
      <c r="J16" s="41" t="n">
        <v>0.45</v>
      </c>
      <c r="K16" s="41" t="n">
        <v>0.42</v>
      </c>
      <c r="L16" s="41" t="n">
        <v>0.38</v>
      </c>
      <c r="M16" s="41" t="n">
        <v>0.35</v>
      </c>
      <c r="N16" s="41" t="n">
        <v>0.33</v>
      </c>
    </row>
    <row r="17" customFormat="false" ht="15" hidden="false" customHeight="true" outlineLevel="0" collapsed="false">
      <c r="A17" s="34" t="s">
        <v>213</v>
      </c>
      <c r="B17" s="70" t="n">
        <f aca="false">B8*B15</f>
        <v>27.5</v>
      </c>
      <c r="C17" s="70" t="n">
        <f aca="false">C8*C15</f>
        <v>30.25</v>
      </c>
      <c r="D17" s="70" t="n">
        <f aca="false">D8*D15</f>
        <v>33</v>
      </c>
      <c r="E17" s="70" t="n">
        <f aca="false">E8*E15</f>
        <v>47.3</v>
      </c>
      <c r="F17" s="70" t="n">
        <f aca="false">F8*F15</f>
        <v>86.9</v>
      </c>
      <c r="G17" s="70" t="n">
        <f aca="false">G8*G15</f>
        <v>84.7</v>
      </c>
      <c r="H17" s="70" t="n">
        <f aca="false">H8*H15</f>
        <v>130.35</v>
      </c>
      <c r="I17" s="70" t="n">
        <f aca="false">I8*I15</f>
        <v>247.2</v>
      </c>
      <c r="J17" s="70" t="n">
        <f aca="false">J8*J15</f>
        <v>490.75</v>
      </c>
      <c r="K17" s="70" t="n">
        <f aca="false">K8*K15</f>
        <v>579.8</v>
      </c>
      <c r="L17" s="70" t="n">
        <f aca="false">L8*L15</f>
        <v>617.5</v>
      </c>
      <c r="M17" s="70" t="n">
        <f aca="false">M8*M15</f>
        <v>617.4</v>
      </c>
      <c r="N17" s="70" t="n">
        <f aca="false">N8*N15</f>
        <v>600</v>
      </c>
    </row>
    <row r="18" customFormat="false" ht="15" hidden="false" customHeight="true" outlineLevel="0" collapsed="false">
      <c r="A18" s="34" t="s">
        <v>214</v>
      </c>
      <c r="B18" s="70" t="n">
        <f aca="false">B17*B16</f>
        <v>5.5</v>
      </c>
      <c r="C18" s="70" t="n">
        <f aca="false">C17*C16</f>
        <v>6.05</v>
      </c>
      <c r="D18" s="70" t="n">
        <f aca="false">D17*D16</f>
        <v>6.6</v>
      </c>
      <c r="E18" s="70" t="n">
        <f aca="false">E17*E16</f>
        <v>10.406</v>
      </c>
      <c r="F18" s="70" t="n">
        <f aca="false">F17*F16</f>
        <v>21.725</v>
      </c>
      <c r="G18" s="70" t="n">
        <f aca="false">G17*G16</f>
        <v>25.41</v>
      </c>
      <c r="H18" s="70" t="n">
        <f aca="false">H17*H16</f>
        <v>45.6225</v>
      </c>
      <c r="I18" s="70" t="n">
        <f aca="false">I17*I16</f>
        <v>98.88</v>
      </c>
      <c r="J18" s="70" t="n">
        <f aca="false">J17*J16</f>
        <v>220.8375</v>
      </c>
      <c r="K18" s="70" t="n">
        <f aca="false">K17*K16</f>
        <v>243.516</v>
      </c>
      <c r="L18" s="70" t="n">
        <f aca="false">L17*L16</f>
        <v>234.65</v>
      </c>
      <c r="M18" s="70" t="n">
        <f aca="false">M17*M16</f>
        <v>216.09</v>
      </c>
      <c r="N18" s="70" t="n">
        <f aca="false">N17*N16</f>
        <v>198</v>
      </c>
    </row>
    <row r="19" customFormat="false" ht="15" hidden="false" customHeight="true" outlineLevel="0" collapsed="false">
      <c r="A19" s="34" t="s">
        <v>215</v>
      </c>
      <c r="B19" s="70" t="n">
        <f aca="false">B6*7.7</f>
        <v>1247.4</v>
      </c>
      <c r="C19" s="70" t="n">
        <f aca="false">C6*7.7</f>
        <v>1262.8</v>
      </c>
      <c r="D19" s="70" t="n">
        <f aca="false">D6*7.7</f>
        <v>1078</v>
      </c>
      <c r="E19" s="70" t="n">
        <f aca="false">E6*7.7</f>
        <v>1609.3</v>
      </c>
      <c r="F19" s="70" t="n">
        <f aca="false">F6*7.7</f>
        <v>1686.3</v>
      </c>
      <c r="G19" s="70" t="n">
        <f aca="false">G6*7.7</f>
        <v>1701.7</v>
      </c>
      <c r="H19" s="70" t="n">
        <f aca="false">H6*7.7</f>
        <v>1894.2</v>
      </c>
      <c r="I19" s="70" t="n">
        <f aca="false">I6*7.7</f>
        <v>2117.5</v>
      </c>
      <c r="J19" s="70" t="n">
        <f aca="false">J6*7.7</f>
        <v>2379.3</v>
      </c>
      <c r="K19" s="70" t="n">
        <f aca="false">K6*7.7</f>
        <v>2633.4</v>
      </c>
      <c r="L19" s="70" t="n">
        <f aca="false">L6*7.7</f>
        <v>2849</v>
      </c>
      <c r="M19" s="70" t="n">
        <f aca="false">M6*7.7</f>
        <v>3049.2</v>
      </c>
      <c r="N19" s="70" t="n">
        <f aca="false">N6*7.7</f>
        <v>3234</v>
      </c>
    </row>
    <row r="20" customFormat="false" ht="15" hidden="false" customHeight="true" outlineLevel="0" collapsed="false">
      <c r="A20" s="71" t="s">
        <v>216</v>
      </c>
      <c r="B20" s="72" t="n">
        <f aca="false">B18/7.7</f>
        <v>0.714285714285714</v>
      </c>
      <c r="C20" s="72" t="n">
        <f aca="false">C18/7.7</f>
        <v>0.785714285714286</v>
      </c>
      <c r="D20" s="72" t="n">
        <f aca="false">D18/7.7</f>
        <v>0.857142857142857</v>
      </c>
      <c r="E20" s="72" t="n">
        <f aca="false">E18/7.7</f>
        <v>1.35142857142857</v>
      </c>
      <c r="F20" s="72" t="n">
        <f aca="false">F18/7.7</f>
        <v>2.82142857142857</v>
      </c>
      <c r="G20" s="72" t="n">
        <f aca="false">G18/7.7</f>
        <v>3.3</v>
      </c>
      <c r="H20" s="72" t="n">
        <f aca="false">H18/7.7</f>
        <v>5.925</v>
      </c>
      <c r="I20" s="72" t="n">
        <f aca="false">I18/7.7</f>
        <v>12.8415584415584</v>
      </c>
      <c r="J20" s="72" t="n">
        <f aca="false">J18/7.7</f>
        <v>28.6801948051948</v>
      </c>
      <c r="K20" s="72" t="n">
        <f aca="false">K18/7.7</f>
        <v>31.6254545454546</v>
      </c>
      <c r="L20" s="72" t="n">
        <f aca="false">L18/7.7</f>
        <v>30.474025974026</v>
      </c>
      <c r="M20" s="72" t="n">
        <f aca="false">M18/7.7</f>
        <v>28.0636363636364</v>
      </c>
      <c r="N20" s="72" t="n">
        <f aca="false">N18/7.7</f>
        <v>25.7142857142857</v>
      </c>
    </row>
    <row r="21" customFormat="false" ht="15" hidden="false" customHeight="true" outlineLevel="0" collapsed="false">
      <c r="A21" s="73" t="s">
        <v>217</v>
      </c>
      <c r="B21" s="74" t="n">
        <f aca="false">B6-B20</f>
        <v>161.285714285714</v>
      </c>
      <c r="C21" s="74" t="n">
        <f aca="false">C6-C20</f>
        <v>163.214285714286</v>
      </c>
      <c r="D21" s="74" t="n">
        <f aca="false">D6-D20</f>
        <v>139.142857142857</v>
      </c>
      <c r="E21" s="74" t="n">
        <f aca="false">E6-E20</f>
        <v>207.648571428571</v>
      </c>
      <c r="F21" s="74" t="n">
        <f aca="false">F6-F20</f>
        <v>216.178571428571</v>
      </c>
      <c r="G21" s="74" t="n">
        <f aca="false">G6-G20</f>
        <v>217.7</v>
      </c>
      <c r="H21" s="74" t="n">
        <f aca="false">H6-H20</f>
        <v>240.075</v>
      </c>
      <c r="I21" s="74" t="n">
        <f aca="false">I6-I20</f>
        <v>262.158441558442</v>
      </c>
      <c r="J21" s="74" t="n">
        <f aca="false">J6-J20</f>
        <v>280.319805194805</v>
      </c>
      <c r="K21" s="74" t="n">
        <f aca="false">K6-K20</f>
        <v>310.374545454545</v>
      </c>
      <c r="L21" s="74" t="n">
        <f aca="false">L6-L20</f>
        <v>339.525974025974</v>
      </c>
      <c r="M21" s="74" t="n">
        <f aca="false">M6-M20</f>
        <v>367.936363636364</v>
      </c>
      <c r="N21" s="74" t="n">
        <f aca="false">N6-N20</f>
        <v>394.285714285714</v>
      </c>
    </row>
    <row r="22" customFormat="false" ht="15" hidden="false" customHeight="true" outlineLevel="0" collapsed="false">
      <c r="A22" s="34" t="s">
        <v>218</v>
      </c>
      <c r="B22" s="75" t="n">
        <f aca="false">IFERROR(B20/B6,"")</f>
        <v>0.00440917107583774</v>
      </c>
      <c r="C22" s="75" t="n">
        <f aca="false">IFERROR(C20/C6,"")</f>
        <v>0.00479094076655052</v>
      </c>
      <c r="D22" s="75" t="n">
        <f aca="false">IFERROR(D20/D6,"")</f>
        <v>0.00612244897959184</v>
      </c>
      <c r="E22" s="75" t="n">
        <f aca="false">IFERROR(E20/E6,"")</f>
        <v>0.00646616541353383</v>
      </c>
      <c r="F22" s="75" t="n">
        <f aca="false">IFERROR(F20/F6,"")</f>
        <v>0.0128832354859752</v>
      </c>
      <c r="G22" s="75" t="n">
        <f aca="false">IFERROR(G20/G6,"")</f>
        <v>0.0149321266968326</v>
      </c>
      <c r="H22" s="75" t="n">
        <f aca="false">IFERROR(H20/H6,"")</f>
        <v>0.0240853658536585</v>
      </c>
      <c r="I22" s="75" t="n">
        <f aca="false">IFERROR(I20/I6,"")</f>
        <v>0.0466965761511216</v>
      </c>
      <c r="J22" s="75" t="n">
        <f aca="false">IFERROR(J20/J6,"")</f>
        <v>0.0928161644181062</v>
      </c>
      <c r="K22" s="75" t="n">
        <f aca="false">IFERROR(K20/K6,"")</f>
        <v>0.0924720893141946</v>
      </c>
      <c r="L22" s="75" t="n">
        <f aca="false">IFERROR(L20/L6,"")</f>
        <v>0.0823622323622324</v>
      </c>
      <c r="M22" s="75" t="n">
        <f aca="false">IFERROR(M20/M6,"")</f>
        <v>0.0708677685950413</v>
      </c>
      <c r="N22" s="75" t="n">
        <f aca="false">IFERROR(N20/N6,"")</f>
        <v>0.0612244897959184</v>
      </c>
    </row>
    <row r="23" customFormat="false" ht="15" hidden="false" customHeight="true" outlineLevel="0" collapsed="false">
      <c r="A23" s="34" t="s">
        <v>219</v>
      </c>
      <c r="B23" s="76"/>
      <c r="C23" s="27" t="n">
        <f aca="false">IFERROR(C20/B20-1,"")</f>
        <v>0.0999999999999999</v>
      </c>
      <c r="D23" s="27" t="n">
        <f aca="false">IFERROR(D20/C20-1,"")</f>
        <v>0.0909090909090908</v>
      </c>
      <c r="E23" s="27" t="n">
        <f aca="false">IFERROR(E20/D20-1,"")</f>
        <v>0.576666666666666</v>
      </c>
      <c r="F23" s="27" t="n">
        <f aca="false">IFERROR(F20/E20-1,"")</f>
        <v>1.0877378435518</v>
      </c>
      <c r="G23" s="27" t="n">
        <f aca="false">IFERROR(G20/F20-1,"")</f>
        <v>0.169620253164557</v>
      </c>
      <c r="H23" s="27" t="n">
        <f aca="false">IFERROR(H20/G20-1,"")</f>
        <v>0.795454545454545</v>
      </c>
      <c r="I23" s="27" t="n">
        <f aca="false">IFERROR(I20/H20-1,"")</f>
        <v>1.16735163570607</v>
      </c>
      <c r="J23" s="27" t="n">
        <f aca="false">IFERROR(J20/I20-1,"")</f>
        <v>1.23338895631068</v>
      </c>
      <c r="K23" s="27" t="n">
        <f aca="false">IFERROR(K20/J20-1,"")</f>
        <v>0.102693156732892</v>
      </c>
      <c r="L23" s="27" t="n">
        <f aca="false">IFERROR(L20/K20-1,"")</f>
        <v>-0.0364082852872092</v>
      </c>
      <c r="M23" s="27" t="n">
        <f aca="false">IFERROR(M20/L20-1,"")</f>
        <v>-0.0790965267419562</v>
      </c>
      <c r="N23" s="27" t="n">
        <f aca="false">IFERROR(N20/M20-1,"")</f>
        <v>-0.0837151187005413</v>
      </c>
    </row>
    <row r="25" customFormat="false" ht="15" hidden="false" customHeight="true" outlineLevel="0" collapsed="false">
      <c r="A25" s="21" t="s">
        <v>220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customFormat="false" ht="15" hidden="false" customHeight="true" outlineLevel="0" collapsed="false">
      <c r="A26" s="77" t="s">
        <v>221</v>
      </c>
      <c r="B26" s="78" t="n">
        <v>18</v>
      </c>
    </row>
    <row r="27" customFormat="false" ht="15" hidden="false" customHeight="true" outlineLevel="0" collapsed="false">
      <c r="A27" s="77" t="s">
        <v>222</v>
      </c>
      <c r="B27" s="78" t="n">
        <v>35</v>
      </c>
    </row>
    <row r="29" customFormat="false" ht="15" hidden="false" customHeight="true" outlineLevel="0" collapsed="false">
      <c r="A29" s="4" t="s">
        <v>223</v>
      </c>
      <c r="B29" s="4" t="s">
        <v>14</v>
      </c>
      <c r="C29" s="4" t="s">
        <v>203</v>
      </c>
      <c r="D29" s="4" t="s">
        <v>16</v>
      </c>
      <c r="E29" s="4" t="s">
        <v>17</v>
      </c>
      <c r="F29" s="4" t="s">
        <v>18</v>
      </c>
      <c r="G29" s="4" t="s">
        <v>19</v>
      </c>
      <c r="H29" s="4" t="s">
        <v>20</v>
      </c>
    </row>
    <row r="30" customFormat="false" ht="15" hidden="false" customHeight="true" outlineLevel="0" collapsed="false">
      <c r="A30" s="79" t="s">
        <v>224</v>
      </c>
      <c r="B30" s="70" t="n">
        <f aca="false">H21*$B$26</f>
        <v>4321.35</v>
      </c>
      <c r="C30" s="70" t="n">
        <f aca="false">I21*$B$26</f>
        <v>4718.85194805195</v>
      </c>
      <c r="D30" s="70" t="n">
        <f aca="false">J21*$B$26</f>
        <v>5045.75649350649</v>
      </c>
      <c r="E30" s="70" t="n">
        <f aca="false">K21*$B$26</f>
        <v>5586.74181818182</v>
      </c>
      <c r="F30" s="70" t="n">
        <f aca="false">L21*$B$26</f>
        <v>6111.46753246753</v>
      </c>
      <c r="G30" s="70" t="n">
        <f aca="false">M21*$B$26</f>
        <v>6622.85454545455</v>
      </c>
      <c r="H30" s="70" t="n">
        <f aca="false">N21*$B$26</f>
        <v>7097.14285714286</v>
      </c>
    </row>
    <row r="31" customFormat="false" ht="15" hidden="false" customHeight="true" outlineLevel="0" collapsed="false">
      <c r="A31" s="79" t="s">
        <v>225</v>
      </c>
      <c r="B31" s="70" t="n">
        <f aca="false">H20*$B$27</f>
        <v>207.375</v>
      </c>
      <c r="C31" s="70" t="n">
        <f aca="false">I20*$B$27</f>
        <v>449.454545454545</v>
      </c>
      <c r="D31" s="70" t="n">
        <f aca="false">J20*$B$27</f>
        <v>1003.80681818182</v>
      </c>
      <c r="E31" s="70" t="n">
        <f aca="false">K20*$B$27</f>
        <v>1106.89090909091</v>
      </c>
      <c r="F31" s="70" t="n">
        <f aca="false">L20*$B$27</f>
        <v>1066.59090909091</v>
      </c>
      <c r="G31" s="70" t="n">
        <f aca="false">M20*$B$27</f>
        <v>982.227272727273</v>
      </c>
      <c r="H31" s="70" t="n">
        <f aca="false">N20*$B$27</f>
        <v>900</v>
      </c>
    </row>
    <row r="32" customFormat="false" ht="15" hidden="false" customHeight="true" outlineLevel="0" collapsed="false">
      <c r="A32" s="80" t="s">
        <v>226</v>
      </c>
      <c r="B32" s="81" t="n">
        <f aca="false">B30+B31</f>
        <v>4528.725</v>
      </c>
      <c r="C32" s="81" t="n">
        <f aca="false">C30+C31</f>
        <v>5168.30649350649</v>
      </c>
      <c r="D32" s="81" t="n">
        <f aca="false">D30+D31</f>
        <v>6049.56331168831</v>
      </c>
      <c r="E32" s="81" t="n">
        <f aca="false">E30+E31</f>
        <v>6693.63272727273</v>
      </c>
      <c r="F32" s="81" t="n">
        <f aca="false">F30+F31</f>
        <v>7178.05844155844</v>
      </c>
      <c r="G32" s="81" t="n">
        <f aca="false">G30+G31</f>
        <v>7605.08181818182</v>
      </c>
      <c r="H32" s="81" t="n">
        <f aca="false">H30+H31</f>
        <v>7997.14285714286</v>
      </c>
    </row>
    <row r="33" customFormat="false" ht="15" hidden="false" customHeight="true" outlineLevel="0" collapsed="false">
      <c r="A33" s="79" t="s">
        <v>227</v>
      </c>
      <c r="B33" s="82" t="n">
        <f aca="false">IFERROR(B32/H6,"")</f>
        <v>18.4094512195122</v>
      </c>
      <c r="C33" s="82" t="n">
        <f aca="false">IFERROR(C32/I6,"")</f>
        <v>18.7938417945691</v>
      </c>
      <c r="D33" s="82" t="n">
        <f aca="false">IFERROR(D32/J6,"")</f>
        <v>19.5778747951078</v>
      </c>
      <c r="E33" s="82" t="n">
        <f aca="false">IFERROR(E32/K6,"")</f>
        <v>19.5720255183413</v>
      </c>
      <c r="F33" s="82" t="n">
        <f aca="false">IFERROR(F32/L6,"")</f>
        <v>19.400157950158</v>
      </c>
      <c r="G33" s="82" t="n">
        <f aca="false">IFERROR(G32/M6,"")</f>
        <v>19.2047520661157</v>
      </c>
      <c r="H33" s="82" t="n">
        <f aca="false">IFERROR(H32/N6,"")</f>
        <v>19.0408163265306</v>
      </c>
    </row>
    <row r="35" customFormat="false" ht="15" hidden="false" customHeight="true" outlineLevel="0" collapsed="false">
      <c r="A35" s="21" t="s">
        <v>228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customFormat="false" ht="15" hidden="false" customHeight="true" outlineLevel="0" collapsed="false">
      <c r="A36" s="66" t="s">
        <v>229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</row>
    <row r="37" customFormat="false" ht="15" hidden="false" customHeight="true" outlineLevel="0" collapsed="false">
      <c r="A37" s="4" t="s">
        <v>230</v>
      </c>
      <c r="B37" s="83" t="s">
        <v>231</v>
      </c>
      <c r="C37" s="83" t="s">
        <v>232</v>
      </c>
      <c r="D37" s="83" t="s">
        <v>233</v>
      </c>
      <c r="E37" s="83" t="s">
        <v>234</v>
      </c>
      <c r="F37" s="83" t="s">
        <v>235</v>
      </c>
    </row>
    <row r="38" customFormat="false" ht="15" hidden="false" customHeight="true" outlineLevel="0" collapsed="false">
      <c r="A38" s="40" t="s">
        <v>236</v>
      </c>
      <c r="B38" s="51" t="n">
        <f aca="false">J21*22+J20*40</f>
        <v>7314.24350649351</v>
      </c>
      <c r="C38" s="51" t="n">
        <f aca="false">J21*20+J20*40</f>
        <v>6753.6038961039</v>
      </c>
      <c r="D38" s="51" t="n">
        <f aca="false">J21*18+J20*40</f>
        <v>6192.96428571429</v>
      </c>
      <c r="E38" s="51" t="n">
        <f aca="false">J21*16+J20*40</f>
        <v>5632.32467532468</v>
      </c>
      <c r="F38" s="51" t="n">
        <f aca="false">J21*14+J20*40</f>
        <v>5071.68506493507</v>
      </c>
    </row>
    <row r="39" customFormat="false" ht="15" hidden="false" customHeight="true" outlineLevel="0" collapsed="false">
      <c r="A39" s="40" t="s">
        <v>237</v>
      </c>
      <c r="B39" s="51" t="n">
        <f aca="false">J21*22+J20*35</f>
        <v>7170.84253246753</v>
      </c>
      <c r="C39" s="51" t="n">
        <f aca="false">J21*20+J20*35</f>
        <v>6610.20292207792</v>
      </c>
      <c r="D39" s="51" t="n">
        <f aca="false">J21*18+J20*35</f>
        <v>6049.56331168831</v>
      </c>
      <c r="E39" s="51" t="n">
        <f aca="false">J21*16+J20*35</f>
        <v>5488.9237012987</v>
      </c>
      <c r="F39" s="51" t="n">
        <f aca="false">J21*14+J20*35</f>
        <v>4928.28409090909</v>
      </c>
    </row>
    <row r="40" customFormat="false" ht="15" hidden="false" customHeight="true" outlineLevel="0" collapsed="false">
      <c r="A40" s="40" t="s">
        <v>238</v>
      </c>
      <c r="B40" s="51" t="n">
        <f aca="false">J21*22+J20*30</f>
        <v>7027.44155844156</v>
      </c>
      <c r="C40" s="51" t="n">
        <f aca="false">J21*20+J20*30</f>
        <v>6466.80194805195</v>
      </c>
      <c r="D40" s="51" t="n">
        <f aca="false">J21*18+J20*30</f>
        <v>5906.16233766234</v>
      </c>
      <c r="E40" s="51" t="n">
        <f aca="false">J21*16+J20*30</f>
        <v>5345.52272727273</v>
      </c>
      <c r="F40" s="51" t="n">
        <f aca="false">J21*14+J20*30</f>
        <v>4784.88311688312</v>
      </c>
    </row>
    <row r="41" customFormat="false" ht="15" hidden="false" customHeight="true" outlineLevel="0" collapsed="false">
      <c r="A41" s="40" t="s">
        <v>239</v>
      </c>
      <c r="B41" s="51" t="n">
        <f aca="false">J21*22+J20*25</f>
        <v>6884.04058441559</v>
      </c>
      <c r="C41" s="51" t="n">
        <f aca="false">J21*20+J20*25</f>
        <v>6323.40097402597</v>
      </c>
      <c r="D41" s="51" t="n">
        <f aca="false">J21*18+J20*25</f>
        <v>5762.76136363636</v>
      </c>
      <c r="E41" s="51" t="n">
        <f aca="false">J21*16+J20*25</f>
        <v>5202.12175324675</v>
      </c>
      <c r="F41" s="51" t="n">
        <f aca="false">J21*14+J20*25</f>
        <v>4641.48214285714</v>
      </c>
    </row>
    <row r="42" customFormat="false" ht="15" hidden="false" customHeight="true" outlineLevel="0" collapsed="false">
      <c r="A42" s="40" t="s">
        <v>232</v>
      </c>
      <c r="B42" s="51" t="n">
        <f aca="false">J21*22+J20*20</f>
        <v>6740.63961038961</v>
      </c>
      <c r="C42" s="51" t="n">
        <f aca="false">J21*20+J20*20</f>
        <v>6180</v>
      </c>
      <c r="D42" s="51" t="n">
        <f aca="false">J21*18+J20*20</f>
        <v>5619.36038961039</v>
      </c>
      <c r="E42" s="51" t="n">
        <f aca="false">J21*16+J20*20</f>
        <v>5058.72077922078</v>
      </c>
      <c r="F42" s="51" t="n">
        <f aca="false">J21*14+J20*20</f>
        <v>4498.08116883117</v>
      </c>
    </row>
    <row r="43" customFormat="false" ht="15" hidden="false" customHeight="true" outlineLevel="0" collapsed="false">
      <c r="A43" s="40" t="s">
        <v>240</v>
      </c>
      <c r="B43" s="51" t="n">
        <f aca="false">J21*22+J20*15</f>
        <v>6597.23863636364</v>
      </c>
      <c r="C43" s="51" t="n">
        <f aca="false">J21*20+J20*15</f>
        <v>6036.59902597403</v>
      </c>
      <c r="D43" s="51" t="n">
        <f aca="false">J21*18+J20*15</f>
        <v>5475.95941558442</v>
      </c>
      <c r="E43" s="51" t="n">
        <f aca="false">J21*16+J20*15</f>
        <v>4915.31980519481</v>
      </c>
      <c r="F43" s="51" t="n">
        <f aca="false">J21*14+J20*15</f>
        <v>4354.6801948052</v>
      </c>
    </row>
    <row r="44" customFormat="false" ht="15" hidden="false" customHeight="true" outlineLevel="0" collapsed="false">
      <c r="A44" s="40" t="s">
        <v>241</v>
      </c>
      <c r="B44" s="51" t="n">
        <f aca="false">J21*22+J20*10</f>
        <v>6453.83766233766</v>
      </c>
      <c r="C44" s="51" t="n">
        <f aca="false">J21*20+J20*10</f>
        <v>5893.19805194805</v>
      </c>
      <c r="D44" s="51" t="n">
        <f aca="false">J21*18+J20*10</f>
        <v>5332.55844155844</v>
      </c>
      <c r="E44" s="51" t="n">
        <f aca="false">J21*16+J20*10</f>
        <v>4771.91883116883</v>
      </c>
      <c r="F44" s="51" t="n">
        <f aca="false">J21*14+J20*10</f>
        <v>4211.27922077922</v>
      </c>
    </row>
    <row r="46" customFormat="false" ht="15" hidden="false" customHeight="true" outlineLevel="0" collapsed="false">
      <c r="A46" s="21" t="s">
        <v>242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 customFormat="false" ht="15" hidden="false" customHeight="true" outlineLevel="0" collapsed="false">
      <c r="A47" s="49" t="s">
        <v>243</v>
      </c>
      <c r="B47" s="49"/>
      <c r="C47" s="49"/>
      <c r="D47" s="49"/>
      <c r="E47" s="49"/>
      <c r="F47" s="49"/>
      <c r="G47" s="49"/>
      <c r="H47" s="49"/>
    </row>
    <row r="48" customFormat="false" ht="15" hidden="false" customHeight="true" outlineLevel="0" collapsed="false">
      <c r="A48" s="66" t="s">
        <v>244</v>
      </c>
      <c r="B48" s="66"/>
      <c r="C48" s="66"/>
      <c r="D48" s="66"/>
      <c r="E48" s="66"/>
      <c r="F48" s="66"/>
      <c r="G48" s="66"/>
      <c r="H48" s="66"/>
    </row>
    <row r="49" customFormat="false" ht="15" hidden="false" customHeight="true" outlineLevel="0" collapsed="false">
      <c r="A49" s="84"/>
      <c r="B49" s="4" t="s">
        <v>14</v>
      </c>
      <c r="C49" s="4" t="s">
        <v>203</v>
      </c>
      <c r="D49" s="4" t="s">
        <v>16</v>
      </c>
      <c r="E49" s="4" t="s">
        <v>17</v>
      </c>
      <c r="F49" s="4" t="s">
        <v>18</v>
      </c>
      <c r="G49" s="4" t="s">
        <v>19</v>
      </c>
      <c r="H49" s="4" t="s">
        <v>20</v>
      </c>
    </row>
    <row r="50" customFormat="false" ht="15" hidden="false" customHeight="true" outlineLevel="0" collapsed="false">
      <c r="A50" s="79" t="s">
        <v>245</v>
      </c>
      <c r="B50" s="85" t="n">
        <v>5.9</v>
      </c>
      <c r="C50" s="85" t="n">
        <v>12.8</v>
      </c>
      <c r="D50" s="85" t="n">
        <v>28.7</v>
      </c>
      <c r="E50" s="85" t="n">
        <v>31.6</v>
      </c>
      <c r="F50" s="85" t="n">
        <v>30.5</v>
      </c>
      <c r="G50" s="85" t="n">
        <v>28.1</v>
      </c>
      <c r="H50" s="85" t="n">
        <v>25.7</v>
      </c>
    </row>
    <row r="51" customFormat="false" ht="15" hidden="false" customHeight="true" outlineLevel="0" collapsed="false">
      <c r="A51" s="79" t="s">
        <v>246</v>
      </c>
      <c r="B51" s="86" t="n">
        <f aca="false">H21</f>
        <v>240.075</v>
      </c>
      <c r="C51" s="86" t="n">
        <f aca="false">I21</f>
        <v>262.158441558442</v>
      </c>
      <c r="D51" s="86" t="n">
        <f aca="false">J21</f>
        <v>280.319805194805</v>
      </c>
      <c r="E51" s="86" t="n">
        <f aca="false">K21</f>
        <v>310.374545454545</v>
      </c>
      <c r="F51" s="86" t="n">
        <f aca="false">L21</f>
        <v>339.525974025974</v>
      </c>
      <c r="G51" s="86" t="n">
        <f aca="false">M21</f>
        <v>367.936363636364</v>
      </c>
      <c r="H51" s="86" t="n">
        <f aca="false">N21</f>
        <v>394.285714285714</v>
      </c>
    </row>
    <row r="52" customFormat="false" ht="15" hidden="false" customHeight="true" outlineLevel="0" collapsed="false">
      <c r="A52" s="80" t="s">
        <v>247</v>
      </c>
      <c r="B52" s="81" t="n">
        <f aca="false">B50*35+B51*18</f>
        <v>4527.85</v>
      </c>
      <c r="C52" s="81" t="n">
        <f aca="false">C50*35+C51*18</f>
        <v>5166.85194805195</v>
      </c>
      <c r="D52" s="81" t="n">
        <f aca="false">D50*35+D51*18</f>
        <v>6050.25649350649</v>
      </c>
      <c r="E52" s="81" t="n">
        <f aca="false">E50*35+E51*18</f>
        <v>6692.74181818182</v>
      </c>
      <c r="F52" s="81" t="n">
        <f aca="false">F50*35+F51*18</f>
        <v>7178.96753246753</v>
      </c>
      <c r="G52" s="81" t="n">
        <f aca="false">G50*35+G51*18</f>
        <v>7606.35454545455</v>
      </c>
      <c r="H52" s="81" t="n">
        <f aca="false">H50*35+H51*18</f>
        <v>7996.64285714286</v>
      </c>
    </row>
    <row r="54" customFormat="false" ht="15" hidden="false" customHeight="true" outlineLevel="0" collapsed="false">
      <c r="A54" s="55" t="s">
        <v>248</v>
      </c>
      <c r="B54" s="55"/>
      <c r="C54" s="55"/>
      <c r="D54" s="55"/>
      <c r="E54" s="55"/>
      <c r="F54" s="55"/>
      <c r="G54" s="55"/>
      <c r="H54" s="55"/>
    </row>
    <row r="55" customFormat="false" ht="15" hidden="false" customHeight="true" outlineLevel="0" collapsed="false">
      <c r="A55" s="66" t="s">
        <v>249</v>
      </c>
      <c r="B55" s="66"/>
      <c r="C55" s="66"/>
      <c r="D55" s="66"/>
      <c r="E55" s="66"/>
      <c r="F55" s="66"/>
      <c r="G55" s="66"/>
      <c r="H55" s="66"/>
    </row>
    <row r="56" customFormat="false" ht="15" hidden="false" customHeight="true" outlineLevel="0" collapsed="false">
      <c r="A56" s="84"/>
      <c r="B56" s="4" t="s">
        <v>14</v>
      </c>
      <c r="C56" s="4" t="s">
        <v>203</v>
      </c>
      <c r="D56" s="4" t="s">
        <v>16</v>
      </c>
      <c r="E56" s="4" t="s">
        <v>17</v>
      </c>
      <c r="F56" s="4" t="s">
        <v>18</v>
      </c>
      <c r="G56" s="4" t="s">
        <v>19</v>
      </c>
      <c r="H56" s="4" t="s">
        <v>20</v>
      </c>
    </row>
    <row r="57" customFormat="false" ht="15" hidden="false" customHeight="true" outlineLevel="0" collapsed="false">
      <c r="A57" s="79" t="s">
        <v>245</v>
      </c>
      <c r="B57" s="85" t="n">
        <v>5.9</v>
      </c>
      <c r="C57" s="85" t="n">
        <v>12.8</v>
      </c>
      <c r="D57" s="85" t="n">
        <v>26.8</v>
      </c>
      <c r="E57" s="85" t="n">
        <v>26.6</v>
      </c>
      <c r="F57" s="85" t="n">
        <v>23.8</v>
      </c>
      <c r="G57" s="85" t="n">
        <v>21.5</v>
      </c>
      <c r="H57" s="85" t="n">
        <v>20</v>
      </c>
    </row>
    <row r="58" customFormat="false" ht="15" hidden="false" customHeight="true" outlineLevel="0" collapsed="false">
      <c r="A58" s="79" t="s">
        <v>246</v>
      </c>
      <c r="B58" s="86" t="n">
        <f aca="false">H21</f>
        <v>240.075</v>
      </c>
      <c r="C58" s="86" t="n">
        <f aca="false">I21</f>
        <v>262.158441558442</v>
      </c>
      <c r="D58" s="86" t="n">
        <f aca="false">J21</f>
        <v>280.319805194805</v>
      </c>
      <c r="E58" s="86" t="n">
        <f aca="false">K21</f>
        <v>310.374545454545</v>
      </c>
      <c r="F58" s="86" t="n">
        <f aca="false">L21</f>
        <v>339.525974025974</v>
      </c>
      <c r="G58" s="86" t="n">
        <f aca="false">M21</f>
        <v>367.936363636364</v>
      </c>
      <c r="H58" s="86" t="n">
        <f aca="false">N21</f>
        <v>394.285714285714</v>
      </c>
    </row>
    <row r="59" customFormat="false" ht="15" hidden="false" customHeight="true" outlineLevel="0" collapsed="false">
      <c r="A59" s="87" t="s">
        <v>247</v>
      </c>
      <c r="B59" s="88" t="n">
        <f aca="false">B57*25+B58*18</f>
        <v>4468.85</v>
      </c>
      <c r="C59" s="88" t="n">
        <f aca="false">C57*25+C58*18</f>
        <v>5038.85194805195</v>
      </c>
      <c r="D59" s="88" t="n">
        <f aca="false">D57*25+D58*18</f>
        <v>5715.75649350649</v>
      </c>
      <c r="E59" s="88" t="n">
        <f aca="false">E57*25+E58*18</f>
        <v>6251.74181818182</v>
      </c>
      <c r="F59" s="88" t="n">
        <f aca="false">F57*25+F58*18</f>
        <v>6706.46753246753</v>
      </c>
      <c r="G59" s="88" t="n">
        <f aca="false">G57*25+G58*18</f>
        <v>7160.35454545455</v>
      </c>
      <c r="H59" s="88" t="n">
        <f aca="false">H57*25+H58*18</f>
        <v>7597.14285714286</v>
      </c>
    </row>
    <row r="60" customFormat="false" ht="15" hidden="false" customHeight="true" outlineLevel="0" collapsed="false">
      <c r="A60" s="89" t="s">
        <v>250</v>
      </c>
      <c r="B60" s="90" t="n">
        <f aca="false">IFERROR(B59/B52-1,"")</f>
        <v>-0.0130304669986859</v>
      </c>
      <c r="C60" s="90" t="n">
        <f aca="false">IFERROR(C59/C52-1,"")</f>
        <v>-0.0247733051550393</v>
      </c>
      <c r="D60" s="90" t="n">
        <f aca="false">IFERROR(D59/D52-1,"")</f>
        <v>-0.0552869122753731</v>
      </c>
      <c r="E60" s="90" t="n">
        <f aca="false">IFERROR(E59/E52-1,"")</f>
        <v>-0.0658922773327306</v>
      </c>
      <c r="F60" s="90" t="n">
        <f aca="false">IFERROR(F59/F52-1,"")</f>
        <v>-0.0658172638144797</v>
      </c>
      <c r="G60" s="90" t="n">
        <f aca="false">IFERROR(G59/G52-1,"")</f>
        <v>-0.0586351842179804</v>
      </c>
      <c r="H60" s="90" t="n">
        <f aca="false">IFERROR(H59/H52-1,"")</f>
        <v>-0.0499584647128706</v>
      </c>
    </row>
    <row r="62" customFormat="false" ht="15" hidden="false" customHeight="true" outlineLevel="0" collapsed="false">
      <c r="A62" s="56" t="s">
        <v>251</v>
      </c>
      <c r="B62" s="56"/>
      <c r="C62" s="56"/>
      <c r="D62" s="56"/>
      <c r="E62" s="56"/>
      <c r="F62" s="56"/>
      <c r="G62" s="56"/>
      <c r="H62" s="56"/>
    </row>
    <row r="63" customFormat="false" ht="15" hidden="false" customHeight="true" outlineLevel="0" collapsed="false">
      <c r="A63" s="66" t="s">
        <v>252</v>
      </c>
      <c r="B63" s="66"/>
      <c r="C63" s="66"/>
      <c r="D63" s="66"/>
      <c r="E63" s="66"/>
      <c r="F63" s="66"/>
      <c r="G63" s="66"/>
      <c r="H63" s="66"/>
    </row>
    <row r="64" customFormat="false" ht="15" hidden="false" customHeight="true" outlineLevel="0" collapsed="false">
      <c r="A64" s="84"/>
      <c r="B64" s="4" t="s">
        <v>14</v>
      </c>
      <c r="C64" s="4" t="s">
        <v>203</v>
      </c>
      <c r="D64" s="4" t="s">
        <v>16</v>
      </c>
      <c r="E64" s="4" t="s">
        <v>17</v>
      </c>
      <c r="F64" s="4" t="s">
        <v>18</v>
      </c>
      <c r="G64" s="4" t="s">
        <v>19</v>
      </c>
      <c r="H64" s="4" t="s">
        <v>20</v>
      </c>
    </row>
    <row r="65" customFormat="false" ht="15" hidden="false" customHeight="true" outlineLevel="0" collapsed="false">
      <c r="A65" s="79" t="s">
        <v>245</v>
      </c>
      <c r="B65" s="85" t="n">
        <v>5.9</v>
      </c>
      <c r="C65" s="85" t="n">
        <v>12.8</v>
      </c>
      <c r="D65" s="85" t="n">
        <v>28.7</v>
      </c>
      <c r="E65" s="85" t="n">
        <v>12.4</v>
      </c>
      <c r="F65" s="85" t="n">
        <v>7.1</v>
      </c>
      <c r="G65" s="85" t="n">
        <v>5.5</v>
      </c>
      <c r="H65" s="85" t="n">
        <v>4.5</v>
      </c>
    </row>
    <row r="66" customFormat="false" ht="15" hidden="false" customHeight="true" outlineLevel="0" collapsed="false">
      <c r="A66" s="79" t="s">
        <v>246</v>
      </c>
      <c r="B66" s="86" t="n">
        <f aca="false">H21</f>
        <v>240.075</v>
      </c>
      <c r="C66" s="86" t="n">
        <f aca="false">I21</f>
        <v>262.158441558442</v>
      </c>
      <c r="D66" s="86" t="n">
        <f aca="false">J21</f>
        <v>280.319805194805</v>
      </c>
      <c r="E66" s="86" t="n">
        <f aca="false">K21</f>
        <v>310.374545454545</v>
      </c>
      <c r="F66" s="86" t="n">
        <f aca="false">L21</f>
        <v>339.525974025974</v>
      </c>
      <c r="G66" s="86" t="n">
        <f aca="false">M21</f>
        <v>367.936363636364</v>
      </c>
      <c r="H66" s="86" t="n">
        <f aca="false">N21</f>
        <v>394.285714285714</v>
      </c>
    </row>
    <row r="67" customFormat="false" ht="15" hidden="false" customHeight="true" outlineLevel="0" collapsed="false">
      <c r="A67" s="91" t="s">
        <v>247</v>
      </c>
      <c r="B67" s="92" t="n">
        <f aca="false">B65*15+B66*17</f>
        <v>4169.775</v>
      </c>
      <c r="C67" s="92" t="n">
        <f aca="false">C65*15+C66*17</f>
        <v>4648.69350649351</v>
      </c>
      <c r="D67" s="92" t="n">
        <f aca="false">D65*15+D66*17</f>
        <v>5195.93668831169</v>
      </c>
      <c r="E67" s="92" t="n">
        <f aca="false">E65*15+E66*17</f>
        <v>5462.36727272727</v>
      </c>
      <c r="F67" s="92" t="n">
        <f aca="false">F65*15+F66*17</f>
        <v>5878.44155844156</v>
      </c>
      <c r="G67" s="92" t="n">
        <f aca="false">G65*15+G66*17</f>
        <v>6337.41818181818</v>
      </c>
      <c r="H67" s="92" t="n">
        <f aca="false">H65*15+H66*17</f>
        <v>6770.35714285714</v>
      </c>
    </row>
    <row r="68" customFormat="false" ht="15" hidden="false" customHeight="true" outlineLevel="0" collapsed="false">
      <c r="A68" s="89" t="s">
        <v>250</v>
      </c>
      <c r="B68" s="90" t="n">
        <f aca="false">IFERROR(B67/B52-1,"")</f>
        <v>-0.0790827876365162</v>
      </c>
      <c r="C68" s="90" t="n">
        <f aca="false">IFERROR(C67/C52-1,"")</f>
        <v>-0.10028513430771</v>
      </c>
      <c r="D68" s="90" t="n">
        <f aca="false">IFERROR(D67/D52-1,"")</f>
        <v>-0.141203898729205</v>
      </c>
      <c r="E68" s="90" t="n">
        <f aca="false">IFERROR(E67/E52-1,"")</f>
        <v>-0.183837144608216</v>
      </c>
      <c r="F68" s="90" t="n">
        <f aca="false">IFERROR(F67/F52-1,"")</f>
        <v>-0.181157801333441</v>
      </c>
      <c r="G68" s="90" t="n">
        <f aca="false">IFERROR(G67/G52-1,"")</f>
        <v>-0.166825823862584</v>
      </c>
      <c r="H68" s="90" t="n">
        <f aca="false">IFERROR(H67/H52-1,"")</f>
        <v>-0.153350066545783</v>
      </c>
    </row>
  </sheetData>
  <mergeCells count="15">
    <mergeCell ref="A1:N1"/>
    <mergeCell ref="A3:N3"/>
    <mergeCell ref="A4:N4"/>
    <mergeCell ref="A12:N12"/>
    <mergeCell ref="A13:N13"/>
    <mergeCell ref="A25:N25"/>
    <mergeCell ref="A35:N35"/>
    <mergeCell ref="A36:N36"/>
    <mergeCell ref="A46:N46"/>
    <mergeCell ref="A47:H47"/>
    <mergeCell ref="A48:H48"/>
    <mergeCell ref="A54:H54"/>
    <mergeCell ref="A55:H55"/>
    <mergeCell ref="A62:H62"/>
    <mergeCell ref="A63:H63"/>
  </mergeCells>
  <conditionalFormatting sqref="B38:F44">
    <cfRule type="colorScale" priority="2">
      <colorScale>
        <cfvo type="num" val="3500"/>
        <cfvo type="num" val="5500"/>
        <cfvo type="num" val="750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1" width="9"/>
  </cols>
  <sheetData>
    <row r="1" customFormat="false" ht="24" hidden="false" customHeight="true" outlineLevel="0" collapsed="false">
      <c r="A1" s="20" t="s">
        <v>253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3" customFormat="false" ht="15" hidden="false" customHeight="true" outlineLevel="0" collapsed="false">
      <c r="A3" s="93" t="s">
        <v>254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</row>
    <row r="4" customFormat="false" ht="15" hidden="false" customHeight="true" outlineLevel="0" collapsed="false">
      <c r="A4" s="76"/>
      <c r="B4" s="94" t="s">
        <v>255</v>
      </c>
      <c r="C4" s="94" t="s">
        <v>256</v>
      </c>
      <c r="D4" s="94" t="s">
        <v>257</v>
      </c>
      <c r="E4" s="94" t="s">
        <v>258</v>
      </c>
      <c r="F4" s="94" t="s">
        <v>259</v>
      </c>
      <c r="G4" s="94" t="s">
        <v>260</v>
      </c>
      <c r="H4" s="94" t="s">
        <v>261</v>
      </c>
      <c r="I4" s="94" t="s">
        <v>262</v>
      </c>
      <c r="J4" s="94" t="s">
        <v>263</v>
      </c>
      <c r="K4" s="94" t="s">
        <v>264</v>
      </c>
      <c r="L4" s="94" t="s">
        <v>265</v>
      </c>
      <c r="M4" s="94" t="s">
        <v>266</v>
      </c>
      <c r="N4" s="94" t="s">
        <v>267</v>
      </c>
      <c r="O4" s="94" t="s">
        <v>268</v>
      </c>
      <c r="P4" s="94" t="s">
        <v>269</v>
      </c>
      <c r="Q4" s="94" t="s">
        <v>270</v>
      </c>
      <c r="R4" s="94" t="s">
        <v>271</v>
      </c>
      <c r="S4" s="94" t="s">
        <v>272</v>
      </c>
    </row>
    <row r="5" customFormat="false" ht="15" hidden="false" customHeight="true" outlineLevel="0" collapsed="false">
      <c r="A5" s="95" t="s">
        <v>22</v>
      </c>
      <c r="B5" s="96" t="n">
        <f aca="false">IFERROR('0. Database'!C12/'0. Database'!C5,"")</f>
        <v>0.0546827833369729</v>
      </c>
      <c r="C5" s="96" t="n">
        <f aca="false">IFERROR('0. Database'!D12/'0. Database'!D5,"")</f>
        <v>0.0631672290488639</v>
      </c>
      <c r="D5" s="96" t="n">
        <f aca="false">IFERROR('0. Database'!E12/'0. Database'!E5,"")</f>
        <v>0.0635178456935243</v>
      </c>
      <c r="E5" s="96" t="n">
        <f aca="false">IFERROR('0. Database'!F12/'0. Database'!F5,"")</f>
        <v>0.104688232536334</v>
      </c>
      <c r="F5" s="96" t="n">
        <f aca="false">IFERROR('0. Database'!G12/'0. Database'!G5,"")</f>
        <v>0.105621770510816</v>
      </c>
      <c r="G5" s="96" t="n">
        <f aca="false">IFERROR('0. Database'!H12/'0. Database'!H5,"")</f>
        <v>0.123233055454875</v>
      </c>
      <c r="H5" s="96" t="n">
        <f aca="false">IFERROR('0. Database'!I12/'0. Database'!I5,"")</f>
        <v>0.134294319111909</v>
      </c>
      <c r="I5" s="96" t="n">
        <f aca="false">IFERROR('0. Database'!J12/'0. Database'!J5,"")</f>
        <v>0.132853197217075</v>
      </c>
      <c r="J5" s="96" t="n">
        <f aca="false">IFERROR('0. Database'!K12/'0. Database'!K5,"")</f>
        <v>0.143972205035458</v>
      </c>
      <c r="K5" s="96" t="n">
        <f aca="false">IFERROR('0. Database'!L12/'0. Database'!L5,"")</f>
        <v>0.147273919402835</v>
      </c>
      <c r="L5" s="96" t="n">
        <f aca="false">IFERROR('0. Database'!M12/'0. Database'!M5,"")</f>
        <v>0.150532052945757</v>
      </c>
      <c r="M5" s="96" t="n">
        <f aca="false">IFERROR('0. Database'!N12/'0. Database'!N5,"")</f>
        <v>0.227233785625117</v>
      </c>
      <c r="N5" s="96" t="n">
        <f aca="false">IFERROR('0. Database'!O12/'0. Database'!O5,"")</f>
        <v>0.313072368701282</v>
      </c>
      <c r="O5" s="96" t="n">
        <f aca="false">IFERROR('0. Database'!P12/'0. Database'!P5,"")</f>
        <v>0.442785313658101</v>
      </c>
      <c r="P5" s="96" t="n">
        <f aca="false">IFERROR('0. Database'!Q12/'0. Database'!Q5,"")</f>
        <v>0.633585893558086</v>
      </c>
      <c r="Q5" s="96" t="n">
        <f aca="false">IFERROR('0. Database'!R12/'0. Database'!R5,"")</f>
        <v>0.618719161846711</v>
      </c>
      <c r="R5" s="96" t="n">
        <f aca="false">IFERROR('0. Database'!S12/'0. Database'!S5,"")</f>
        <v>0.542176336643655</v>
      </c>
      <c r="S5" s="96" t="n">
        <f aca="false">IFERROR('0. Database'!T12/'0. Database'!T5,"")</f>
        <v>0.466649535637693</v>
      </c>
    </row>
    <row r="6" customFormat="false" ht="15" hidden="false" customHeight="true" outlineLevel="0" collapsed="false">
      <c r="A6" s="95" t="s">
        <v>38</v>
      </c>
      <c r="B6" s="96" t="n">
        <f aca="false">IFERROR('0. Database'!C28/'0. Database'!C21,"")</f>
        <v>0.0462439391293836</v>
      </c>
      <c r="C6" s="96" t="n">
        <f aca="false">IFERROR('0. Database'!D28/'0. Database'!D21,"")</f>
        <v>0.0549734572146482</v>
      </c>
      <c r="D6" s="96" t="n">
        <f aca="false">IFERROR('0. Database'!E28/'0. Database'!E21,"")</f>
        <v>0.0428758599936826</v>
      </c>
      <c r="E6" s="96" t="n">
        <f aca="false">IFERROR('0. Database'!F28/'0. Database'!F21,"")</f>
        <v>0.0495341466463706</v>
      </c>
      <c r="F6" s="96" t="n">
        <f aca="false">IFERROR('0. Database'!G28/'0. Database'!G21,"")</f>
        <v>0.0565425657517457</v>
      </c>
      <c r="G6" s="96" t="n">
        <f aca="false">IFERROR('0. Database'!H28/'0. Database'!H21,"")</f>
        <v>0.0486158523232297</v>
      </c>
      <c r="H6" s="96" t="n">
        <f aca="false">IFERROR('0. Database'!I28/'0. Database'!I21,"")</f>
        <v>0.0452370937038806</v>
      </c>
      <c r="I6" s="96" t="n">
        <f aca="false">IFERROR('0. Database'!J28/'0. Database'!J21,"")</f>
        <v>0.0907776948899664</v>
      </c>
      <c r="J6" s="96" t="n">
        <f aca="false">IFERROR('0. Database'!K28/'0. Database'!K21,"")</f>
        <v>0.117908484489871</v>
      </c>
      <c r="K6" s="96" t="n">
        <f aca="false">IFERROR('0. Database'!L28/'0. Database'!L21,"")</f>
        <v>0.113468733401688</v>
      </c>
      <c r="L6" s="96" t="n">
        <f aca="false">IFERROR('0. Database'!M28/'0. Database'!M21,"")</f>
        <v>0.0837408770235827</v>
      </c>
      <c r="M6" s="96" t="n">
        <f aca="false">IFERROR('0. Database'!N28/'0. Database'!N21,"")</f>
        <v>0.121728825833635</v>
      </c>
      <c r="N6" s="96" t="n">
        <f aca="false">IFERROR('0. Database'!O28/'0. Database'!O21,"")</f>
        <v>0.178986894008291</v>
      </c>
      <c r="O6" s="96" t="n">
        <f aca="false">IFERROR('0. Database'!P28/'0. Database'!P21,"")</f>
        <v>0.24178963083243</v>
      </c>
      <c r="P6" s="96" t="n">
        <f aca="false">IFERROR('0. Database'!Q28/'0. Database'!Q21,"")</f>
        <v>0.285371750643553</v>
      </c>
      <c r="Q6" s="96" t="n">
        <f aca="false">IFERROR('0. Database'!R28/'0. Database'!R21,"")</f>
        <v>0.266752546331369</v>
      </c>
      <c r="R6" s="96" t="n">
        <f aca="false">IFERROR('0. Database'!S28/'0. Database'!S21,"")</f>
        <v>0.251734248389078</v>
      </c>
      <c r="S6" s="96" t="n">
        <f aca="false">IFERROR('0. Database'!T28/'0. Database'!T21,"")</f>
        <v>0.2395580677502</v>
      </c>
    </row>
    <row r="7" customFormat="false" ht="15" hidden="false" customHeight="true" outlineLevel="0" collapsed="false">
      <c r="A7" s="95" t="s">
        <v>42</v>
      </c>
      <c r="B7" s="96" t="n">
        <f aca="false">IFERROR('0. Database'!C43/'0. Database'!C36,"")</f>
        <v>0.132531205533241</v>
      </c>
      <c r="C7" s="96" t="n">
        <f aca="false">IFERROR('0. Database'!D43/'0. Database'!D36,"")</f>
        <v>0.166042938743352</v>
      </c>
      <c r="D7" s="96" t="n">
        <f aca="false">IFERROR('0. Database'!E43/'0. Database'!E36,"")</f>
        <v>0.132219392177519</v>
      </c>
      <c r="E7" s="96" t="n">
        <f aca="false">IFERROR('0. Database'!F43/'0. Database'!F36,"")</f>
        <v>0.112803527118043</v>
      </c>
      <c r="F7" s="96" t="n">
        <f aca="false">IFERROR('0. Database'!G43/'0. Database'!G36,"")</f>
        <v>0.118930133958775</v>
      </c>
      <c r="G7" s="96" t="n">
        <f aca="false">IFERROR('0. Database'!H43/'0. Database'!H36,"")</f>
        <v>0.183739100563518</v>
      </c>
      <c r="H7" s="96" t="n">
        <f aca="false">IFERROR('0. Database'!I43/'0. Database'!I36,"")</f>
        <v>0.145486447913899</v>
      </c>
      <c r="I7" s="96" t="n">
        <f aca="false">IFERROR('0. Database'!J43/'0. Database'!J36,"")</f>
        <v>0.122069611619103</v>
      </c>
      <c r="J7" s="96" t="n">
        <f aca="false">IFERROR('0. Database'!K43/'0. Database'!K36,"")</f>
        <v>0.0956384370257378</v>
      </c>
      <c r="K7" s="96" t="n">
        <f aca="false">IFERROR('0. Database'!L43/'0. Database'!L36,"")</f>
        <v>0.111318926869281</v>
      </c>
      <c r="L7" s="96" t="n">
        <f aca="false">IFERROR('0. Database'!M43/'0. Database'!M36,"")</f>
        <v>0.104917467484726</v>
      </c>
      <c r="M7" s="96" t="n">
        <f aca="false">IFERROR('0. Database'!N43/'0. Database'!N36,"")</f>
        <v>0.150092280968407</v>
      </c>
      <c r="N7" s="96" t="n">
        <f aca="false">IFERROR('0. Database'!O43/'0. Database'!O36,"")</f>
        <v>0.227008013186508</v>
      </c>
      <c r="O7" s="96" t="n">
        <f aca="false">IFERROR('0. Database'!P43/'0. Database'!P36,"")</f>
        <v>0.37936186431271</v>
      </c>
      <c r="P7" s="96" t="n">
        <f aca="false">IFERROR('0. Database'!Q43/'0. Database'!Q36,"")</f>
        <v>0.438101591905905</v>
      </c>
      <c r="Q7" s="96" t="n">
        <f aca="false">IFERROR('0. Database'!R43/'0. Database'!R36,"")</f>
        <v>0.406693608510996</v>
      </c>
      <c r="R7" s="96" t="n">
        <f aca="false">IFERROR('0. Database'!S43/'0. Database'!S36,"")</f>
        <v>0.36738908872284</v>
      </c>
      <c r="S7" s="96" t="n">
        <f aca="false">IFERROR('0. Database'!T43/'0. Database'!T36,"")</f>
        <v>0.341152582570988</v>
      </c>
    </row>
    <row r="8" customFormat="false" ht="15" hidden="false" customHeight="true" outlineLevel="0" collapsed="false">
      <c r="A8" s="95" t="s">
        <v>48</v>
      </c>
      <c r="B8" s="96" t="n">
        <f aca="false">IFERROR('0. Database'!C60/'0. Database'!C53,"")</f>
        <v>0.173018292682927</v>
      </c>
      <c r="C8" s="96" t="n">
        <f aca="false">IFERROR('0. Database'!D60/'0. Database'!D53,"")</f>
        <v>0.146879512273384</v>
      </c>
      <c r="D8" s="96" t="n">
        <f aca="false">IFERROR('0. Database'!E60/'0. Database'!E53,"")</f>
        <v>0.140737435153679</v>
      </c>
      <c r="E8" s="96" t="n">
        <f aca="false">IFERROR('0. Database'!F60/'0. Database'!F53,"")</f>
        <v>0.162493668138071</v>
      </c>
      <c r="F8" s="96" t="n">
        <f aca="false">IFERROR('0. Database'!G60/'0. Database'!G53,"")</f>
        <v>0.165596634934691</v>
      </c>
      <c r="G8" s="96" t="n">
        <f aca="false">IFERROR('0. Database'!H60/'0. Database'!H53,"")</f>
        <v>0.25036713349332</v>
      </c>
      <c r="H8" s="96" t="n">
        <f aca="false">IFERROR('0. Database'!I60/'0. Database'!I53,"")</f>
        <v>0.213617364367402</v>
      </c>
      <c r="I8" s="96" t="n">
        <f aca="false">IFERROR('0. Database'!J60/'0. Database'!J53,"")</f>
        <v>0.17582532629179</v>
      </c>
      <c r="J8" s="96" t="n">
        <f aca="false">IFERROR('0. Database'!K60/'0. Database'!K53,"")</f>
        <v>0.157442189792163</v>
      </c>
      <c r="K8" s="96" t="n">
        <f aca="false">IFERROR('0. Database'!L60/'0. Database'!L53,"")</f>
        <v>0.267440763577425</v>
      </c>
      <c r="L8" s="96" t="n">
        <f aca="false">IFERROR('0. Database'!M60/'0. Database'!M53,"")</f>
        <v>0.200480352258323</v>
      </c>
      <c r="M8" s="96" t="n">
        <f aca="false">IFERROR('0. Database'!N60/'0. Database'!N53,"")</f>
        <v>0.226480243161094</v>
      </c>
      <c r="N8" s="96" t="n">
        <f aca="false">IFERROR('0. Database'!O60/'0. Database'!O53,"")</f>
        <v>0.346781777921529</v>
      </c>
      <c r="O8" s="96" t="n">
        <f aca="false">IFERROR('0. Database'!P60/'0. Database'!P53,"")</f>
        <v>0.531335014999085</v>
      </c>
      <c r="P8" s="96" t="n">
        <f aca="false">IFERROR('0. Database'!Q60/'0. Database'!Q53,"")</f>
        <v>0.540824903792468</v>
      </c>
      <c r="Q8" s="96" t="n">
        <f aca="false">IFERROR('0. Database'!R60/'0. Database'!R53,"")</f>
        <v>0.519399482957318</v>
      </c>
      <c r="R8" s="96" t="n">
        <f aca="false">IFERROR('0. Database'!S60/'0. Database'!S53,"")</f>
        <v>0.482963614978958</v>
      </c>
      <c r="S8" s="96" t="n">
        <f aca="false">IFERROR('0. Database'!T60/'0. Database'!T53,"")</f>
        <v>0.457132170555652</v>
      </c>
    </row>
    <row r="9" customFormat="false" ht="15" hidden="false" customHeight="true" outlineLevel="0" collapsed="false">
      <c r="A9" s="95" t="s">
        <v>55</v>
      </c>
      <c r="B9" s="96" t="n">
        <f aca="false">IFERROR('0. Database'!C78/'0. Database'!C71,"")</f>
        <v>0.0174482592006013</v>
      </c>
      <c r="C9" s="96" t="n">
        <f aca="false">IFERROR('0. Database'!D78/'0. Database'!D71,"")</f>
        <v>0.0151416264195275</v>
      </c>
      <c r="D9" s="96" t="n">
        <f aca="false">IFERROR('0. Database'!E78/'0. Database'!E71,"")</f>
        <v>0.0363631610592633</v>
      </c>
      <c r="E9" s="96" t="n">
        <f aca="false">IFERROR('0. Database'!F78/'0. Database'!F71,"")</f>
        <v>0.0320857058045713</v>
      </c>
      <c r="F9" s="96" t="n">
        <f aca="false">IFERROR('0. Database'!G78/'0. Database'!G71,"")</f>
        <v>0.0533259452756009</v>
      </c>
      <c r="G9" s="96" t="n">
        <f aca="false">IFERROR('0. Database'!H78/'0. Database'!H71,"")</f>
        <v>0.0440262737440085</v>
      </c>
      <c r="H9" s="96" t="n">
        <f aca="false">IFERROR('0. Database'!I78/'0. Database'!I71,"")</f>
        <v>0.0419987349778621</v>
      </c>
      <c r="I9" s="96" t="n">
        <f aca="false">IFERROR('0. Database'!J78/'0. Database'!J71,"")</f>
        <v>0.0400276405702147</v>
      </c>
      <c r="J9" s="96" t="n">
        <f aca="false">IFERROR('0. Database'!K78/'0. Database'!K71,"")</f>
        <v>0.0527407919764828</v>
      </c>
      <c r="K9" s="96" t="n">
        <f aca="false">IFERROR('0. Database'!L78/'0. Database'!L71,"")</f>
        <v>0.106288730237271</v>
      </c>
      <c r="L9" s="96" t="n">
        <f aca="false">IFERROR('0. Database'!M78/'0. Database'!M71,"")</f>
        <v>0.174056650985887</v>
      </c>
      <c r="M9" s="96" t="n">
        <f aca="false">IFERROR('0. Database'!N78/'0. Database'!N71,"")</f>
        <v>0.12964256717207</v>
      </c>
      <c r="N9" s="96" t="n">
        <f aca="false">IFERROR('0. Database'!O78/'0. Database'!O71,"")</f>
        <v>0.369605742260318</v>
      </c>
      <c r="O9" s="96" t="n">
        <f aca="false">IFERROR('0. Database'!P78/'0. Database'!P71,"")</f>
        <v>0.77105819496409</v>
      </c>
      <c r="P9" s="96" t="n">
        <f aca="false">IFERROR('0. Database'!Q78/'0. Database'!Q71,"")</f>
        <v>0.587296954946508</v>
      </c>
      <c r="Q9" s="96" t="n">
        <f aca="false">IFERROR('0. Database'!R78/'0. Database'!R71,"")</f>
        <v>0.556972873780193</v>
      </c>
      <c r="R9" s="96" t="n">
        <f aca="false">IFERROR('0. Database'!S78/'0. Database'!S71,"")</f>
        <v>0.490629927570763</v>
      </c>
      <c r="S9" s="96" t="n">
        <f aca="false">IFERROR('0. Database'!T78/'0. Database'!T71,"")</f>
        <v>0.358167828118745</v>
      </c>
    </row>
    <row r="12" customFormat="false" ht="15" hidden="false" customHeight="true" outlineLevel="0" collapsed="false">
      <c r="A12" s="93" t="s">
        <v>273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</row>
    <row r="13" customFormat="false" ht="15" hidden="false" customHeight="true" outlineLevel="0" collapsed="false">
      <c r="A13" s="76"/>
      <c r="B13" s="94" t="s">
        <v>255</v>
      </c>
      <c r="C13" s="94" t="s">
        <v>256</v>
      </c>
      <c r="D13" s="94" t="s">
        <v>257</v>
      </c>
      <c r="E13" s="94" t="s">
        <v>258</v>
      </c>
      <c r="F13" s="94" t="s">
        <v>259</v>
      </c>
      <c r="G13" s="94" t="s">
        <v>260</v>
      </c>
      <c r="H13" s="94" t="s">
        <v>261</v>
      </c>
      <c r="I13" s="94" t="s">
        <v>262</v>
      </c>
      <c r="J13" s="94" t="s">
        <v>263</v>
      </c>
      <c r="K13" s="94" t="s">
        <v>264</v>
      </c>
      <c r="L13" s="94" t="s">
        <v>265</v>
      </c>
      <c r="M13" s="94" t="s">
        <v>266</v>
      </c>
      <c r="N13" s="94" t="s">
        <v>267</v>
      </c>
      <c r="O13" s="94" t="s">
        <v>268</v>
      </c>
      <c r="P13" s="94" t="s">
        <v>269</v>
      </c>
      <c r="Q13" s="94" t="s">
        <v>270</v>
      </c>
      <c r="R13" s="94" t="s">
        <v>271</v>
      </c>
      <c r="S13" s="94" t="s">
        <v>272</v>
      </c>
    </row>
    <row r="14" customFormat="false" ht="15" hidden="false" customHeight="true" outlineLevel="0" collapsed="false">
      <c r="A14" s="95" t="s">
        <v>22</v>
      </c>
      <c r="B14" s="96" t="n">
        <f aca="false">IFERROR('0. Database'!C14/'0. Database'!C5,"")</f>
        <v>0.315688062788218</v>
      </c>
      <c r="C14" s="96" t="n">
        <f aca="false">IFERROR('0. Database'!D14/'0. Database'!D5,"")</f>
        <v>0.308016537491507</v>
      </c>
      <c r="D14" s="96" t="n">
        <f aca="false">IFERROR('0. Database'!E14/'0. Database'!E5,"")</f>
        <v>0.247232314597136</v>
      </c>
      <c r="E14" s="96" t="n">
        <f aca="false">IFERROR('0. Database'!F14/'0. Database'!F5,"")</f>
        <v>0.285900140646976</v>
      </c>
      <c r="F14" s="96" t="n">
        <f aca="false">IFERROR('0. Database'!G14/'0. Database'!G5,"")</f>
        <v>0.303476198858871</v>
      </c>
      <c r="G14" s="96" t="n">
        <f aca="false">IFERROR('0. Database'!H14/'0. Database'!H5,"")</f>
        <v>0.274411018484958</v>
      </c>
      <c r="H14" s="96" t="n">
        <f aca="false">IFERROR('0. Database'!I14/'0. Database'!I5,"")</f>
        <v>0.280389056204954</v>
      </c>
      <c r="I14" s="96" t="n">
        <f aca="false">IFERROR('0. Database'!J14/'0. Database'!J5,"")</f>
        <v>0.291402999685348</v>
      </c>
      <c r="J14" s="96" t="n">
        <f aca="false">IFERROR('0. Database'!K14/'0. Database'!K5,"")</f>
        <v>0.312574365808386</v>
      </c>
      <c r="K14" s="96" t="n">
        <f aca="false">IFERROR('0. Database'!L14/'0. Database'!L5,"")</f>
        <v>0.301785444091391</v>
      </c>
      <c r="L14" s="96" t="n">
        <f aca="false">IFERROR('0. Database'!M14/'0. Database'!M5,"")</f>
        <v>0.262756293797041</v>
      </c>
      <c r="M14" s="96" t="n">
        <f aca="false">IFERROR('0. Database'!N14/'0. Database'!N5,"")</f>
        <v>0.256394774846811</v>
      </c>
      <c r="N14" s="96" t="n">
        <f aca="false">IFERROR('0. Database'!O14/'0. Database'!O5,"")</f>
        <v>0.170244636594681</v>
      </c>
      <c r="O14" s="96" t="n">
        <f aca="false">IFERROR('0. Database'!P14/'0. Database'!P5,"")</f>
        <v>0.0870776441882145</v>
      </c>
      <c r="P14" s="96" t="n">
        <f aca="false">IFERROR('0. Database'!Q14/'0. Database'!Q5,"")</f>
        <v>-0.0340107047798638</v>
      </c>
      <c r="Q14" s="96" t="n">
        <f aca="false">IFERROR('0. Database'!R14/'0. Database'!R5,"")</f>
        <v>0.0168509930121888</v>
      </c>
      <c r="R14" s="96" t="n">
        <f aca="false">IFERROR('0. Database'!S14/'0. Database'!S5,"")</f>
        <v>0.107386474170842</v>
      </c>
      <c r="S14" s="96" t="n">
        <f aca="false">IFERROR('0. Database'!T14/'0. Database'!T5,"")</f>
        <v>0.205175364126026</v>
      </c>
    </row>
    <row r="15" customFormat="false" ht="15" hidden="false" customHeight="true" outlineLevel="0" collapsed="false">
      <c r="A15" s="95" t="s">
        <v>38</v>
      </c>
      <c r="B15" s="96" t="n">
        <f aca="false">IFERROR('0. Database'!C30/'0. Database'!C21,"")</f>
        <v>0.0272789545082132</v>
      </c>
      <c r="C15" s="96" t="n">
        <f aca="false">IFERROR('0. Database'!D30/'0. Database'!D21,"")</f>
        <v>0.0219062259800154</v>
      </c>
      <c r="D15" s="96" t="n">
        <f aca="false">IFERROR('0. Database'!E30/'0. Database'!E21,"")</f>
        <v>0.0685200725936531</v>
      </c>
      <c r="E15" s="96" t="n">
        <f aca="false">IFERROR('0. Database'!F30/'0. Database'!F21,"")</f>
        <v>0.0774706405759374</v>
      </c>
      <c r="F15" s="96" t="n">
        <f aca="false">IFERROR('0. Database'!G30/'0. Database'!G21,"")</f>
        <v>0.0470972529882046</v>
      </c>
      <c r="G15" s="96" t="n">
        <f aca="false">IFERROR('0. Database'!H30/'0. Database'!H21,"")</f>
        <v>0.0833107902115618</v>
      </c>
      <c r="H15" s="96" t="n">
        <f aca="false">IFERROR('0. Database'!I30/'0. Database'!I21,"")</f>
        <v>0.0920605157527752</v>
      </c>
      <c r="I15" s="96" t="n">
        <f aca="false">IFERROR('0. Database'!J30/'0. Database'!J21,"")</f>
        <v>0.0803441916366198</v>
      </c>
      <c r="J15" s="96" t="n">
        <f aca="false">IFERROR('0. Database'!K30/'0. Database'!K21,"")</f>
        <v>-0.0193030551996288</v>
      </c>
      <c r="K15" s="96" t="n">
        <f aca="false">IFERROR('0. Database'!L30/'0. Database'!L21,"")</f>
        <v>-0.0225085265465978</v>
      </c>
      <c r="L15" s="96" t="n">
        <f aca="false">IFERROR('0. Database'!M30/'0. Database'!M21,"")</f>
        <v>0.0640465565385318</v>
      </c>
      <c r="M15" s="96" t="n">
        <f aca="false">IFERROR('0. Database'!N30/'0. Database'!N21,"")</f>
        <v>0.0599082386172152</v>
      </c>
      <c r="N15" s="96" t="n">
        <f aca="false">IFERROR('0. Database'!O30/'0. Database'!O21,"")</f>
        <v>0.0156139283940836</v>
      </c>
      <c r="O15" s="96" t="n">
        <f aca="false">IFERROR('0. Database'!P30/'0. Database'!P21,"")</f>
        <v>-0.023079605254962</v>
      </c>
      <c r="P15" s="96" t="n">
        <f aca="false">IFERROR('0. Database'!Q30/'0. Database'!Q21,"")</f>
        <v>-0.0482743797157437</v>
      </c>
      <c r="Q15" s="96" t="n">
        <f aca="false">IFERROR('0. Database'!R30/'0. Database'!R21,"")</f>
        <v>-0.00204741549459708</v>
      </c>
      <c r="R15" s="96" t="n">
        <f aca="false">IFERROR('0. Database'!S30/'0. Database'!S21,"")</f>
        <v>0.0380208742034563</v>
      </c>
      <c r="S15" s="96" t="n">
        <f aca="false">IFERROR('0. Database'!T30/'0. Database'!T21,"")</f>
        <v>0.0676854238008576</v>
      </c>
    </row>
    <row r="16" customFormat="false" ht="15" hidden="false" customHeight="true" outlineLevel="0" collapsed="false">
      <c r="A16" s="95" t="s">
        <v>42</v>
      </c>
      <c r="B16" s="96" t="n">
        <f aca="false">IFERROR('0. Database'!C45/'0. Database'!C36,"")</f>
        <v>0.202201048289775</v>
      </c>
      <c r="C16" s="96" t="n">
        <f aca="false">IFERROR('0. Database'!D45/'0. Database'!D36,"")</f>
        <v>0.171406493841002</v>
      </c>
      <c r="D16" s="96" t="n">
        <f aca="false">IFERROR('0. Database'!E45/'0. Database'!E36,"")</f>
        <v>0.212217791942818</v>
      </c>
      <c r="E16" s="96" t="n">
        <f aca="false">IFERROR('0. Database'!F45/'0. Database'!F36,"")</f>
        <v>0.286390021269054</v>
      </c>
      <c r="F16" s="96" t="n">
        <f aca="false">IFERROR('0. Database'!G45/'0. Database'!G36,"")</f>
        <v>0.215660096522484</v>
      </c>
      <c r="G16" s="96" t="n">
        <f aca="false">IFERROR('0. Database'!H45/'0. Database'!H36,"")</f>
        <v>0.16687740737763</v>
      </c>
      <c r="H16" s="96" t="n">
        <f aca="false">IFERROR('0. Database'!I45/'0. Database'!I36,"")</f>
        <v>0.191354096517296</v>
      </c>
      <c r="I16" s="96" t="n">
        <f aca="false">IFERROR('0. Database'!J45/'0. Database'!J36,"")</f>
        <v>0.234721438472116</v>
      </c>
      <c r="J16" s="96" t="n">
        <f aca="false">IFERROR('0. Database'!K45/'0. Database'!K36,"")</f>
        <v>0.260102392125355</v>
      </c>
      <c r="K16" s="96" t="n">
        <f aca="false">IFERROR('0. Database'!L45/'0. Database'!L36,"")</f>
        <v>0.212172425009546</v>
      </c>
      <c r="L16" s="96" t="n">
        <f aca="false">IFERROR('0. Database'!M45/'0. Database'!M36,"")</f>
        <v>0.226077932555613</v>
      </c>
      <c r="M16" s="96" t="n">
        <f aca="false">IFERROR('0. Database'!N45/'0. Database'!N36,"")</f>
        <v>0.20788645155392</v>
      </c>
      <c r="N16" s="96" t="n">
        <f aca="false">IFERROR('0. Database'!O45/'0. Database'!O36,"")</f>
        <v>0.181875502685957</v>
      </c>
      <c r="O16" s="96" t="n">
        <f aca="false">IFERROR('0. Database'!P45/'0. Database'!P36,"")</f>
        <v>0.0547867344585653</v>
      </c>
      <c r="P16" s="96" t="n">
        <f aca="false">IFERROR('0. Database'!Q45/'0. Database'!Q36,"")</f>
        <v>0.038886349386506</v>
      </c>
      <c r="Q16" s="96" t="n">
        <f aca="false">IFERROR('0. Database'!R45/'0. Database'!R36,"")</f>
        <v>0.0964950267850896</v>
      </c>
      <c r="R16" s="96" t="n">
        <f aca="false">IFERROR('0. Database'!S45/'0. Database'!S36,"")</f>
        <v>0.152957839304851</v>
      </c>
      <c r="S16" s="96" t="n">
        <f aca="false">IFERROR('0. Database'!T45/'0. Database'!T36,"")</f>
        <v>0.191313724274643</v>
      </c>
    </row>
    <row r="17" customFormat="false" ht="15" hidden="false" customHeight="true" outlineLevel="0" collapsed="false">
      <c r="A17" s="95" t="s">
        <v>48</v>
      </c>
      <c r="B17" s="96" t="n">
        <f aca="false">IFERROR('0. Database'!C62/'0. Database'!C53,"")</f>
        <v>0.363313008130081</v>
      </c>
      <c r="C17" s="96" t="n">
        <f aca="false">IFERROR('0. Database'!D62/'0. Database'!D53,"")</f>
        <v>0.294946253810364</v>
      </c>
      <c r="D17" s="96" t="n">
        <f aca="false">IFERROR('0. Database'!E62/'0. Database'!E53,"")</f>
        <v>0.339376359680928</v>
      </c>
      <c r="E17" s="96" t="n">
        <f aca="false">IFERROR('0. Database'!F62/'0. Database'!F53,"")</f>
        <v>0.41862652869238</v>
      </c>
      <c r="F17" s="96" t="n">
        <f aca="false">IFERROR('0. Database'!G62/'0. Database'!G53,"")</f>
        <v>0.430078960962291</v>
      </c>
      <c r="G17" s="96" t="n">
        <f aca="false">IFERROR('0. Database'!H62/'0. Database'!H53,"")</f>
        <v>0.275063576775673</v>
      </c>
      <c r="H17" s="96" t="n">
        <f aca="false">IFERROR('0. Database'!I62/'0. Database'!I53,"")</f>
        <v>0.300021924706315</v>
      </c>
      <c r="I17" s="96" t="n">
        <f aca="false">IFERROR('0. Database'!J62/'0. Database'!J53,"")</f>
        <v>0.274899378824186</v>
      </c>
      <c r="J17" s="96" t="n">
        <f aca="false">IFERROR('0. Database'!K62/'0. Database'!K53,"")</f>
        <v>0.331691102273402</v>
      </c>
      <c r="K17" s="96" t="n">
        <f aca="false">IFERROR('0. Database'!L62/'0. Database'!L53,"")</f>
        <v>0.165416048503975</v>
      </c>
      <c r="L17" s="96" t="n">
        <f aca="false">IFERROR('0. Database'!M62/'0. Database'!M53,"")</f>
        <v>0.326669187033454</v>
      </c>
      <c r="M17" s="96" t="n">
        <f aca="false">IFERROR('0. Database'!N62/'0. Database'!N53,"")</f>
        <v>0.328705167173252</v>
      </c>
      <c r="N17" s="96" t="n">
        <f aca="false">IFERROR('0. Database'!O62/'0. Database'!O53,"")</f>
        <v>0.22943796183415</v>
      </c>
      <c r="O17" s="96" t="n">
        <f aca="false">IFERROR('0. Database'!P62/'0. Database'!P53,"")</f>
        <v>0.175043918782818</v>
      </c>
      <c r="P17" s="96" t="n">
        <f aca="false">IFERROR('0. Database'!Q62/'0. Database'!Q53,"")</f>
        <v>0.131811792884918</v>
      </c>
      <c r="Q17" s="96" t="n">
        <f aca="false">IFERROR('0. Database'!R62/'0. Database'!R53,"")</f>
        <v>0.161332271886239</v>
      </c>
      <c r="R17" s="96" t="n">
        <f aca="false">IFERROR('0. Database'!S62/'0. Database'!S53,"")</f>
        <v>0.201986994195707</v>
      </c>
      <c r="S17" s="96" t="n">
        <f aca="false">IFERROR('0. Database'!T62/'0. Database'!T53,"")</f>
        <v>0.232222402165681</v>
      </c>
    </row>
    <row r="18" customFormat="false" ht="15" hidden="false" customHeight="true" outlineLevel="0" collapsed="false">
      <c r="A18" s="95" t="s">
        <v>55</v>
      </c>
      <c r="B18" s="96" t="n">
        <f aca="false">IFERROR('0. Database'!C80/'0. Database'!C71,"")</f>
        <v>0.364400182535635</v>
      </c>
      <c r="C18" s="96" t="n">
        <f aca="false">IFERROR('0. Database'!D80/'0. Database'!D71,"")</f>
        <v>0.374389766349041</v>
      </c>
      <c r="D18" s="96" t="n">
        <f aca="false">IFERROR('0. Database'!E80/'0. Database'!E71,"")</f>
        <v>0.338404830993648</v>
      </c>
      <c r="E18" s="96" t="n">
        <f aca="false">IFERROR('0. Database'!F80/'0. Database'!F71,"")</f>
        <v>0.333837061823677</v>
      </c>
      <c r="F18" s="96" t="n">
        <f aca="false">IFERROR('0. Database'!G80/'0. Database'!G71,"")</f>
        <v>0.319375181403203</v>
      </c>
      <c r="G18" s="96" t="n">
        <f aca="false">IFERROR('0. Database'!H80/'0. Database'!H71,"")</f>
        <v>0.346174329842002</v>
      </c>
      <c r="H18" s="96" t="n">
        <f aca="false">IFERROR('0. Database'!I80/'0. Database'!I71,"")</f>
        <v>0.326148007590133</v>
      </c>
      <c r="I18" s="96" t="n">
        <f aca="false">IFERROR('0. Database'!J80/'0. Database'!J71,"")</f>
        <v>0.296240370588386</v>
      </c>
      <c r="J18" s="96" t="n">
        <f aca="false">IFERROR('0. Database'!K80/'0. Database'!K71,"")</f>
        <v>0.339739630937971</v>
      </c>
      <c r="K18" s="96" t="n">
        <f aca="false">IFERROR('0. Database'!L80/'0. Database'!L71,"")</f>
        <v>0.118493909191584</v>
      </c>
      <c r="L18" s="96" t="n">
        <f aca="false">IFERROR('0. Database'!M80/'0. Database'!M71,"")</f>
        <v>0.169572615353818</v>
      </c>
      <c r="M18" s="96" t="n">
        <f aca="false">IFERROR('0. Database'!N80/'0. Database'!N71,"")</f>
        <v>0.222937633352845</v>
      </c>
      <c r="N18" s="96" t="n">
        <f aca="false">IFERROR('0. Database'!O80/'0. Database'!O71,"")</f>
        <v>-0.00686423108416523</v>
      </c>
      <c r="O18" s="96" t="n">
        <f aca="false">IFERROR('0. Database'!P80/'0. Database'!P71,"")</f>
        <v>-0.392719666204713</v>
      </c>
      <c r="P18" s="96" t="n">
        <f aca="false">IFERROR('0. Database'!Q80/'0. Database'!Q71,"")</f>
        <v>-0.207778894870831</v>
      </c>
      <c r="Q18" s="96" t="n">
        <f aca="false">IFERROR('0. Database'!R80/'0. Database'!R71,"")</f>
        <v>-0.157332154596774</v>
      </c>
      <c r="R18" s="96" t="n">
        <f aca="false">IFERROR('0. Database'!S80/'0. Database'!S71,"")</f>
        <v>-0.0878947867996312</v>
      </c>
      <c r="S18" s="96" t="n">
        <f aca="false">IFERROR('0. Database'!T80/'0. Database'!T71,"")</f>
        <v>0.0997238124658188</v>
      </c>
    </row>
    <row r="21" customFormat="false" ht="15" hidden="false" customHeight="true" outlineLevel="0" collapsed="false">
      <c r="A21" s="93" t="s">
        <v>274</v>
      </c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</row>
    <row r="22" customFormat="false" ht="15" hidden="false" customHeight="true" outlineLevel="0" collapsed="false">
      <c r="A22" s="76"/>
      <c r="B22" s="94" t="s">
        <v>255</v>
      </c>
      <c r="C22" s="94" t="s">
        <v>256</v>
      </c>
      <c r="D22" s="94" t="s">
        <v>257</v>
      </c>
      <c r="E22" s="94" t="s">
        <v>258</v>
      </c>
      <c r="F22" s="94" t="s">
        <v>259</v>
      </c>
      <c r="G22" s="94" t="s">
        <v>260</v>
      </c>
      <c r="H22" s="94" t="s">
        <v>261</v>
      </c>
      <c r="I22" s="94" t="s">
        <v>262</v>
      </c>
      <c r="J22" s="94" t="s">
        <v>263</v>
      </c>
      <c r="K22" s="94" t="s">
        <v>264</v>
      </c>
      <c r="L22" s="94" t="s">
        <v>265</v>
      </c>
      <c r="M22" s="94" t="s">
        <v>266</v>
      </c>
      <c r="N22" s="94" t="s">
        <v>267</v>
      </c>
      <c r="O22" s="94" t="s">
        <v>268</v>
      </c>
      <c r="P22" s="94" t="s">
        <v>269</v>
      </c>
      <c r="Q22" s="94" t="s">
        <v>270</v>
      </c>
      <c r="R22" s="94" t="s">
        <v>271</v>
      </c>
      <c r="S22" s="94" t="s">
        <v>272</v>
      </c>
    </row>
    <row r="23" customFormat="false" ht="15" hidden="false" customHeight="true" outlineLevel="0" collapsed="false">
      <c r="A23" s="95" t="s">
        <v>22</v>
      </c>
      <c r="B23" s="97" t="n">
        <f aca="false">'0. Database'!C12</f>
        <v>4257</v>
      </c>
      <c r="C23" s="97" t="n">
        <f aca="false">'0. Database'!D12</f>
        <v>5485</v>
      </c>
      <c r="D23" s="97" t="n">
        <f aca="false">'0. Database'!E12</f>
        <v>5944</v>
      </c>
      <c r="E23" s="97" t="n">
        <f aca="false">'0. Database'!F12</f>
        <v>8932</v>
      </c>
      <c r="F23" s="97" t="n">
        <f aca="false">'0. Database'!G12</f>
        <v>10200</v>
      </c>
      <c r="G23" s="97" t="n">
        <f aca="false">'0. Database'!H12</f>
        <v>13600</v>
      </c>
      <c r="H23" s="97" t="n">
        <f aca="false">'0. Database'!I12</f>
        <v>16900</v>
      </c>
      <c r="I23" s="97" t="n">
        <f aca="false">'0. Database'!J12</f>
        <v>19000</v>
      </c>
      <c r="J23" s="97" t="n">
        <f aca="false">'0. Database'!K12</f>
        <v>24200</v>
      </c>
      <c r="K23" s="97" t="n">
        <f aca="false">'0. Database'!L12</f>
        <v>29200</v>
      </c>
      <c r="L23" s="97" t="n">
        <f aca="false">'0. Database'!M12</f>
        <v>31900</v>
      </c>
      <c r="M23" s="97" t="n">
        <f aca="false">'0. Database'!N12</f>
        <v>55700</v>
      </c>
      <c r="N23" s="97" t="n">
        <f aca="false">'0. Database'!O12</f>
        <v>88200</v>
      </c>
      <c r="O23" s="97" t="n">
        <f aca="false">'0. Database'!P12</f>
        <v>145871.3</v>
      </c>
      <c r="P23" s="97" t="n">
        <f aca="false">'0. Database'!Q12</f>
        <v>245263.45</v>
      </c>
      <c r="Q23" s="97" t="n">
        <f aca="false">'0. Database'!R12</f>
        <v>286760.35</v>
      </c>
      <c r="R23" s="97" t="n">
        <f aca="false">'0. Database'!S12</f>
        <v>300210.91</v>
      </c>
      <c r="S23" s="97" t="n">
        <f aca="false">'0. Database'!T12</f>
        <v>304616.04</v>
      </c>
    </row>
    <row r="24" customFormat="false" ht="15" hidden="false" customHeight="true" outlineLevel="0" collapsed="false">
      <c r="A24" s="95" t="s">
        <v>38</v>
      </c>
      <c r="B24" s="97" t="n">
        <f aca="false">'0. Database'!C28</f>
        <v>3443</v>
      </c>
      <c r="C24" s="97" t="n">
        <f aca="false">'0. Database'!D28</f>
        <v>4892</v>
      </c>
      <c r="D24" s="97" t="n">
        <f aca="false">'0. Database'!E28</f>
        <v>4588</v>
      </c>
      <c r="E24" s="97" t="n">
        <f aca="false">'0. Database'!F28</f>
        <v>6736</v>
      </c>
      <c r="F24" s="97" t="n">
        <f aca="false">'0. Database'!G28</f>
        <v>10057</v>
      </c>
      <c r="G24" s="97" t="n">
        <f aca="false">'0. Database'!H28</f>
        <v>11322</v>
      </c>
      <c r="H24" s="97" t="n">
        <f aca="false">'0. Database'!I28</f>
        <v>12690</v>
      </c>
      <c r="I24" s="97" t="n">
        <f aca="false">'0. Database'!J28</f>
        <v>35046</v>
      </c>
      <c r="J24" s="97" t="n">
        <f aca="false">'0. Database'!K28</f>
        <v>55396</v>
      </c>
      <c r="K24" s="97" t="n">
        <f aca="false">'0. Database'!L28</f>
        <v>58321</v>
      </c>
      <c r="L24" s="97" t="n">
        <f aca="false">'0. Database'!M28</f>
        <v>48133</v>
      </c>
      <c r="M24" s="97" t="n">
        <f aca="false">'0. Database'!N28</f>
        <v>77658</v>
      </c>
      <c r="N24" s="97" t="n">
        <f aca="false">'0. Database'!O28</f>
        <v>128320</v>
      </c>
      <c r="O24" s="97" t="n">
        <f aca="false">'0. Database'!P28</f>
        <v>200104.98</v>
      </c>
      <c r="P24" s="97" t="n">
        <f aca="false">'0. Database'!Q28</f>
        <v>270141.72</v>
      </c>
      <c r="Q24" s="97" t="n">
        <f aca="false">'0. Database'!R28</f>
        <v>283648.81</v>
      </c>
      <c r="R24" s="97" t="n">
        <f aca="false">'0. Database'!S28</f>
        <v>297831.25</v>
      </c>
      <c r="S24" s="97" t="n">
        <f aca="false">'0. Database'!T28</f>
        <v>312722.81</v>
      </c>
    </row>
    <row r="25" customFormat="false" ht="15" hidden="false" customHeight="true" outlineLevel="0" collapsed="false">
      <c r="A25" s="95" t="s">
        <v>42</v>
      </c>
      <c r="B25" s="97" t="n">
        <f aca="false">'0. Database'!C43</f>
        <v>7358</v>
      </c>
      <c r="C25" s="97" t="n">
        <f aca="false">'0. Database'!D43</f>
        <v>10959</v>
      </c>
      <c r="D25" s="97" t="n">
        <f aca="false">'0. Database'!E43</f>
        <v>9915</v>
      </c>
      <c r="E25" s="97" t="n">
        <f aca="false">'0. Database'!F43</f>
        <v>10183</v>
      </c>
      <c r="F25" s="97" t="n">
        <f aca="false">'0. Database'!G43</f>
        <v>13184</v>
      </c>
      <c r="G25" s="97" t="n">
        <f aca="false">'0. Database'!H43</f>
        <v>25139</v>
      </c>
      <c r="H25" s="97" t="n">
        <f aca="false">'0. Database'!I43</f>
        <v>23548</v>
      </c>
      <c r="I25" s="97" t="n">
        <f aca="false">'0. Database'!J43</f>
        <v>22281</v>
      </c>
      <c r="J25" s="97" t="n">
        <f aca="false">'0. Database'!K43</f>
        <v>24640</v>
      </c>
      <c r="K25" s="97" t="n">
        <f aca="false">'0. Database'!L43</f>
        <v>31485</v>
      </c>
      <c r="L25" s="97" t="n">
        <f aca="false">'0. Database'!M43</f>
        <v>32251</v>
      </c>
      <c r="M25" s="97" t="n">
        <f aca="false">'0. Database'!N43</f>
        <v>52535</v>
      </c>
      <c r="N25" s="97" t="n">
        <f aca="false">'0. Database'!O43</f>
        <v>91447</v>
      </c>
      <c r="O25" s="97" t="n">
        <f aca="false">'0. Database'!P43</f>
        <v>185234.28</v>
      </c>
      <c r="P25" s="97" t="n">
        <f aca="false">'0. Database'!Q43</f>
        <v>259327.99</v>
      </c>
      <c r="Q25" s="97" t="n">
        <f aca="false">'0. Database'!R43</f>
        <v>285260.79</v>
      </c>
      <c r="R25" s="97" t="n">
        <f aca="false">'0. Database'!S43</f>
        <v>299523.83</v>
      </c>
      <c r="S25" s="97" t="n">
        <f aca="false">'0. Database'!T43</f>
        <v>314500.02</v>
      </c>
    </row>
    <row r="26" customFormat="false" ht="15" hidden="false" customHeight="true" outlineLevel="0" collapsed="false">
      <c r="A26" s="95" t="s">
        <v>48</v>
      </c>
      <c r="B26" s="97" t="n">
        <f aca="false">'0. Database'!C60</f>
        <v>1362</v>
      </c>
      <c r="C26" s="97" t="n">
        <f aca="false">'0. Database'!D60</f>
        <v>1831</v>
      </c>
      <c r="D26" s="97" t="n">
        <f aca="false">'0. Database'!E60</f>
        <v>2523</v>
      </c>
      <c r="E26" s="97" t="n">
        <f aca="false">'0. Database'!F60</f>
        <v>4491</v>
      </c>
      <c r="F26" s="97" t="n">
        <f aca="false">'0. Database'!G60</f>
        <v>6732</v>
      </c>
      <c r="G26" s="97" t="n">
        <f aca="false">'0. Database'!H60</f>
        <v>13980</v>
      </c>
      <c r="H26" s="97" t="n">
        <f aca="false">'0. Database'!I60</f>
        <v>15102</v>
      </c>
      <c r="I26" s="97" t="n">
        <f aca="false">'0. Database'!J60</f>
        <v>15115</v>
      </c>
      <c r="J26" s="97" t="n">
        <f aca="false">'0. Database'!K60</f>
        <v>18567</v>
      </c>
      <c r="K26" s="97" t="n">
        <f aca="false">'0. Database'!L60</f>
        <v>31186</v>
      </c>
      <c r="L26" s="97" t="n">
        <f aca="false">'0. Database'!M60</f>
        <v>27045</v>
      </c>
      <c r="M26" s="97" t="n">
        <f aca="false">'0. Database'!N60</f>
        <v>37256</v>
      </c>
      <c r="N26" s="97" t="n">
        <f aca="false">'0. Database'!O60</f>
        <v>69691</v>
      </c>
      <c r="O26" s="97" t="n">
        <f aca="false">'0. Database'!P60</f>
        <v>135583.71</v>
      </c>
      <c r="P26" s="97" t="n">
        <f aca="false">'0. Database'!Q60</f>
        <v>165714.44</v>
      </c>
      <c r="Q26" s="97" t="n">
        <f aca="false">'0. Database'!R60</f>
        <v>185600.17</v>
      </c>
      <c r="R26" s="97" t="n">
        <f aca="false">'0. Database'!S60</f>
        <v>196736.18</v>
      </c>
      <c r="S26" s="97" t="n">
        <f aca="false">'0. Database'!T60</f>
        <v>208540.35</v>
      </c>
    </row>
    <row r="27" customFormat="false" ht="15" hidden="false" customHeight="true" outlineLevel="0" collapsed="false">
      <c r="A27" s="95" t="s">
        <v>55</v>
      </c>
      <c r="B27" s="97" t="n">
        <f aca="false">'0. Database'!C78</f>
        <v>650</v>
      </c>
      <c r="C27" s="97" t="n">
        <f aca="false">'0. Database'!D78</f>
        <v>580</v>
      </c>
      <c r="D27" s="97" t="n">
        <f aca="false">'0. Database'!E78</f>
        <v>1391</v>
      </c>
      <c r="E27" s="97" t="n">
        <f aca="false">'0. Database'!F78</f>
        <v>1189</v>
      </c>
      <c r="F27" s="97" t="n">
        <f aca="false">'0. Database'!G78</f>
        <v>2021</v>
      </c>
      <c r="G27" s="97" t="n">
        <f aca="false">'0. Database'!H78</f>
        <v>1736</v>
      </c>
      <c r="H27" s="97" t="n">
        <f aca="false">'0. Database'!I78</f>
        <v>1660</v>
      </c>
      <c r="I27" s="97" t="n">
        <f aca="false">'0. Database'!J78</f>
        <v>1564</v>
      </c>
      <c r="J27" s="97" t="n">
        <f aca="false">'0. Database'!K78</f>
        <v>2135</v>
      </c>
      <c r="K27" s="97" t="n">
        <f aca="false">'0. Database'!L78</f>
        <v>4511</v>
      </c>
      <c r="L27" s="97" t="n">
        <f aca="false">'0. Database'!M78</f>
        <v>8695</v>
      </c>
      <c r="M27" s="97" t="n">
        <f aca="false">'0. Database'!N78</f>
        <v>6866</v>
      </c>
      <c r="N27" s="97" t="n">
        <f aca="false">'0. Database'!O78</f>
        <v>21215</v>
      </c>
      <c r="O27" s="97" t="n">
        <f aca="false">'0. Database'!P78</f>
        <v>51882</v>
      </c>
      <c r="P27" s="97" t="n">
        <f aca="false">'0. Database'!Q78</f>
        <v>52141.41</v>
      </c>
      <c r="Q27" s="97" t="n">
        <f aca="false">'0. Database'!R78</f>
        <v>69869.49</v>
      </c>
      <c r="R27" s="97" t="n">
        <f aca="false">'0. Database'!S78</f>
        <v>81048.61</v>
      </c>
      <c r="S27" s="97" t="n">
        <f aca="false">'0. Database'!T78</f>
        <v>66459.86</v>
      </c>
    </row>
    <row r="30" customFormat="false" ht="15" hidden="false" customHeight="true" outlineLevel="0" collapsed="false">
      <c r="A30" s="93" t="s">
        <v>275</v>
      </c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</row>
    <row r="31" customFormat="false" ht="15" hidden="false" customHeight="true" outlineLevel="0" collapsed="false">
      <c r="A31" s="76"/>
      <c r="B31" s="94" t="s">
        <v>255</v>
      </c>
      <c r="C31" s="94" t="s">
        <v>256</v>
      </c>
      <c r="D31" s="94" t="s">
        <v>257</v>
      </c>
      <c r="E31" s="94" t="s">
        <v>258</v>
      </c>
      <c r="F31" s="94" t="s">
        <v>259</v>
      </c>
      <c r="G31" s="94" t="s">
        <v>260</v>
      </c>
      <c r="H31" s="94" t="s">
        <v>261</v>
      </c>
      <c r="I31" s="94" t="s">
        <v>262</v>
      </c>
      <c r="J31" s="94" t="s">
        <v>263</v>
      </c>
      <c r="K31" s="94" t="s">
        <v>264</v>
      </c>
      <c r="L31" s="94" t="s">
        <v>265</v>
      </c>
      <c r="M31" s="94" t="s">
        <v>266</v>
      </c>
      <c r="N31" s="94" t="s">
        <v>267</v>
      </c>
      <c r="O31" s="94" t="s">
        <v>268</v>
      </c>
      <c r="P31" s="94" t="s">
        <v>269</v>
      </c>
      <c r="Q31" s="94" t="s">
        <v>270</v>
      </c>
      <c r="R31" s="94" t="s">
        <v>271</v>
      </c>
      <c r="S31" s="94" t="s">
        <v>272</v>
      </c>
    </row>
    <row r="32" customFormat="false" ht="15" hidden="false" customHeight="true" outlineLevel="0" collapsed="false">
      <c r="A32" s="95" t="s">
        <v>22</v>
      </c>
      <c r="B32" s="96"/>
      <c r="C32" s="96" t="n">
        <f aca="false">IFERROR('0. Database'!D5/'0. Database'!C5-1,"")</f>
        <v>0.115402895348688</v>
      </c>
      <c r="D32" s="96" t="n">
        <f aca="false">IFERROR('0. Database'!E5/'0. Database'!D5-1,"")</f>
        <v>0.0777008740916472</v>
      </c>
      <c r="E32" s="96" t="n">
        <f aca="false">IFERROR('0. Database'!F5/'0. Database'!E5-1,"")</f>
        <v>-0.0882667236589014</v>
      </c>
      <c r="F32" s="96" t="n">
        <f aca="false">IFERROR('0. Database'!G5/'0. Database'!F5-1,"")</f>
        <v>0.131868260665729</v>
      </c>
      <c r="G32" s="96" t="n">
        <f aca="false">IFERROR('0. Database'!H5/'0. Database'!G5-1,"")</f>
        <v>0.142786136624867</v>
      </c>
      <c r="H32" s="96" t="n">
        <f aca="false">IFERROR('0. Database'!I5/'0. Database'!H5-1,"")</f>
        <v>0.140295396882929</v>
      </c>
      <c r="I32" s="96" t="n">
        <f aca="false">IFERROR('0. Database'!J5/'0. Database'!I5-1,"")</f>
        <v>0.136455742472764</v>
      </c>
      <c r="J32" s="96" t="n">
        <f aca="false">IFERROR('0. Database'!K5/'0. Database'!J5-1,"")</f>
        <v>0.175317274411775</v>
      </c>
      <c r="K32" s="96" t="n">
        <f aca="false">IFERROR('0. Database'!L5/'0. Database'!K5-1,"")</f>
        <v>0.179560706296702</v>
      </c>
      <c r="L32" s="96" t="n">
        <f aca="false">IFERROR('0. Database'!M5/'0. Database'!L5-1,"")</f>
        <v>0.0688202955565642</v>
      </c>
      <c r="M32" s="96" t="n">
        <f aca="false">IFERROR('0. Database'!N5/'0. Database'!M5-1,"")</f>
        <v>0.156699620130713</v>
      </c>
      <c r="N32" s="96" t="n">
        <f aca="false">IFERROR('0. Database'!O5/'0. Database'!N5-1,"")</f>
        <v>0.149321562324067</v>
      </c>
      <c r="O32" s="96" t="n">
        <f aca="false">IFERROR('0. Database'!P5/'0. Database'!O5-1,"")</f>
        <v>0.169372293450327</v>
      </c>
      <c r="P32" s="96" t="n">
        <f aca="false">IFERROR('0. Database'!Q5/'0. Database'!P5-1,"")</f>
        <v>0.175034689144228</v>
      </c>
      <c r="Q32" s="96" t="n">
        <f aca="false">IFERROR('0. Database'!R5/'0. Database'!Q5-1,"")</f>
        <v>0.197286820113401</v>
      </c>
      <c r="R32" s="96" t="n">
        <f aca="false">IFERROR('0. Database'!S5/'0. Database'!R5-1,"")</f>
        <v>0.19470416226216</v>
      </c>
      <c r="S32" s="96" t="n">
        <f aca="false">IFERROR('0. Database'!T5/'0. Database'!S5-1,"")</f>
        <v>0.178897421725549</v>
      </c>
    </row>
    <row r="33" customFormat="false" ht="15" hidden="false" customHeight="true" outlineLevel="0" collapsed="false">
      <c r="A33" s="95" t="s">
        <v>38</v>
      </c>
      <c r="B33" s="96"/>
      <c r="C33" s="96" t="n">
        <f aca="false">IFERROR('0. Database'!D21/'0. Database'!C21-1,"")</f>
        <v>0.195229205001813</v>
      </c>
      <c r="D33" s="96" t="n">
        <f aca="false">IFERROR('0. Database'!E21/'0. Database'!D21-1,"")</f>
        <v>0.202478075794149</v>
      </c>
      <c r="E33" s="96" t="n">
        <f aca="false">IFERROR('0. Database'!F21/'0. Database'!E21-1,"")</f>
        <v>0.270828154525048</v>
      </c>
      <c r="F33" s="96" t="n">
        <f aca="false">IFERROR('0. Database'!G21/'0. Database'!F21-1,"")</f>
        <v>0.307963261194085</v>
      </c>
      <c r="G33" s="96" t="n">
        <f aca="false">IFERROR('0. Database'!H21/'0. Database'!G21-1,"")</f>
        <v>0.309339615215949</v>
      </c>
      <c r="H33" s="96" t="n">
        <f aca="false">IFERROR('0. Database'!I21/'0. Database'!H21-1,"")</f>
        <v>0.20454125820677</v>
      </c>
      <c r="I33" s="96" t="n">
        <f aca="false">IFERROR('0. Database'!J21/'0. Database'!I21-1,"")</f>
        <v>0.376234306043733</v>
      </c>
      <c r="J33" s="96" t="n">
        <f aca="false">IFERROR('0. Database'!K21/'0. Database'!J21-1,"")</f>
        <v>0.216953665713457</v>
      </c>
      <c r="K33" s="96" t="n">
        <f aca="false">IFERROR('0. Database'!L21/'0. Database'!K21-1,"")</f>
        <v>0.0939951726398509</v>
      </c>
      <c r="L33" s="96" t="n">
        <f aca="false">IFERROR('0. Database'!M21/'0. Database'!L21-1,"")</f>
        <v>0.118295741298837</v>
      </c>
      <c r="M33" s="96" t="n">
        <f aca="false">IFERROR('0. Database'!N21/'0. Database'!M21-1,"")</f>
        <v>0.109908922466661</v>
      </c>
      <c r="N33" s="96" t="n">
        <f aca="false">IFERROR('0. Database'!O21/'0. Database'!N21-1,"")</f>
        <v>0.123777546832947</v>
      </c>
      <c r="O33" s="96" t="n">
        <f aca="false">IFERROR('0. Database'!P21/'0. Database'!O21-1,"")</f>
        <v>0.154375512606636</v>
      </c>
      <c r="P33" s="96" t="n">
        <f aca="false">IFERROR('0. Database'!Q21/'0. Database'!P21-1,"")</f>
        <v>0.143827296369472</v>
      </c>
      <c r="Q33" s="96" t="n">
        <f aca="false">IFERROR('0. Database'!R21/'0. Database'!Q21-1,"")</f>
        <v>0.123289530023903</v>
      </c>
      <c r="R33" s="96" t="n">
        <f aca="false">IFERROR('0. Database'!S21/'0. Database'!R21-1,"")</f>
        <v>0.112642300243612</v>
      </c>
      <c r="S33" s="96" t="n">
        <f aca="false">IFERROR('0. Database'!T21/'0. Database'!S21-1,"")</f>
        <v>0.103369054433569</v>
      </c>
    </row>
    <row r="34" customFormat="false" ht="15" hidden="false" customHeight="true" outlineLevel="0" collapsed="false">
      <c r="A34" s="95" t="s">
        <v>42</v>
      </c>
      <c r="B34" s="96"/>
      <c r="C34" s="96" t="n">
        <f aca="false">IFERROR('0. Database'!D36/'0. Database'!C36-1,"")</f>
        <v>0.188800230551703</v>
      </c>
      <c r="D34" s="96" t="n">
        <f aca="false">IFERROR('0. Database'!E36/'0. Database'!D36-1,"")</f>
        <v>0.136179754852199</v>
      </c>
      <c r="E34" s="96" t="n">
        <f aca="false">IFERROR('0. Database'!F36/'0. Database'!E36-1,"")</f>
        <v>0.203803224472923</v>
      </c>
      <c r="F34" s="96" t="n">
        <f aca="false">IFERROR('0. Database'!G36/'0. Database'!F36-1,"")</f>
        <v>0.228010900389933</v>
      </c>
      <c r="G34" s="96" t="n">
        <f aca="false">IFERROR('0. Database'!H36/'0. Database'!G36-1,"")</f>
        <v>0.23421586757476</v>
      </c>
      <c r="H34" s="96" t="n">
        <f aca="false">IFERROR('0. Database'!I36/'0. Database'!H36-1,"")</f>
        <v>0.183000898997946</v>
      </c>
      <c r="I34" s="96" t="n">
        <f aca="false">IFERROR('0. Database'!J36/'0. Database'!I36-1,"")</f>
        <v>0.127705320128261</v>
      </c>
      <c r="J34" s="96" t="n">
        <f aca="false">IFERROR('0. Database'!K36/'0. Database'!J36-1,"")</f>
        <v>0.411500764270492</v>
      </c>
      <c r="K34" s="96" t="n">
        <f aca="false">IFERROR('0. Database'!L36/'0. Database'!K36-1,"")</f>
        <v>0.0978081564371578</v>
      </c>
      <c r="L34" s="96" t="n">
        <f aca="false">IFERROR('0. Database'!M36/'0. Database'!L36-1,"")</f>
        <v>0.0868277022726951</v>
      </c>
      <c r="M34" s="96" t="n">
        <f aca="false">IFERROR('0. Database'!N36/'0. Database'!M36-1,"")</f>
        <v>0.138662433229016</v>
      </c>
      <c r="N34" s="96" t="n">
        <f aca="false">IFERROR('0. Database'!O36/'0. Database'!N36-1,"")</f>
        <v>0.150900810815444</v>
      </c>
      <c r="O34" s="96" t="n">
        <f aca="false">IFERROR('0. Database'!P36/'0. Database'!O36-1,"")</f>
        <v>0.212102691914327</v>
      </c>
      <c r="P34" s="96" t="n">
        <f aca="false">IFERROR('0. Database'!Q36/'0. Database'!P36-1,"")</f>
        <v>0.212290974865579</v>
      </c>
      <c r="Q34" s="96" t="n">
        <f aca="false">IFERROR('0. Database'!R36/'0. Database'!Q36-1,"")</f>
        <v>0.184950396811654</v>
      </c>
      <c r="R34" s="96" t="n">
        <f aca="false">IFERROR('0. Database'!S36/'0. Database'!R36-1,"")</f>
        <v>0.162332531795857</v>
      </c>
      <c r="S34" s="96" t="n">
        <f aca="false">IFERROR('0. Database'!T36/'0. Database'!S36-1,"")</f>
        <v>0.13075075795109</v>
      </c>
    </row>
    <row r="35" customFormat="false" ht="15" hidden="false" customHeight="true" outlineLevel="0" collapsed="false">
      <c r="A35" s="95" t="s">
        <v>48</v>
      </c>
      <c r="B35" s="96"/>
      <c r="C35" s="96" t="n">
        <f aca="false">IFERROR('0. Database'!D53/'0. Database'!C53-1,"")</f>
        <v>0.583587398373984</v>
      </c>
      <c r="D35" s="96" t="n">
        <f aca="false">IFERROR('0. Database'!E53/'0. Database'!D53-1,"")</f>
        <v>0.43807155462859</v>
      </c>
      <c r="E35" s="96" t="n">
        <f aca="false">IFERROR('0. Database'!F53/'0. Database'!E53-1,"")</f>
        <v>0.541696881798405</v>
      </c>
      <c r="F35" s="96" t="n">
        <f aca="false">IFERROR('0. Database'!G53/'0. Database'!F53-1,"")</f>
        <v>0.470909617193719</v>
      </c>
      <c r="G35" s="96" t="n">
        <f aca="false">IFERROR('0. Database'!H53/'0. Database'!G53-1,"")</f>
        <v>0.37352716896662</v>
      </c>
      <c r="H35" s="96" t="n">
        <f aca="false">IFERROR('0. Database'!I53/'0. Database'!H53-1,"")</f>
        <v>0.266100146853397</v>
      </c>
      <c r="I35" s="96" t="n">
        <f aca="false">IFERROR('0. Database'!J53/'0. Database'!I53-1,"")</f>
        <v>0.215986647146606</v>
      </c>
      <c r="J35" s="96" t="n">
        <f aca="false">IFERROR('0. Database'!K53/'0. Database'!J53-1,"")</f>
        <v>0.371809785263942</v>
      </c>
      <c r="K35" s="96" t="n">
        <f aca="false">IFERROR('0. Database'!L53/'0. Database'!K53-1,"")</f>
        <v>-0.0111931755547829</v>
      </c>
      <c r="L35" s="96" t="n">
        <f aca="false">IFERROR('0. Database'!M53/'0. Database'!L53-1,"")</f>
        <v>0.156866108104863</v>
      </c>
      <c r="M35" s="96" t="n">
        <f aca="false">IFERROR('0. Database'!N53/'0. Database'!M53-1,"")</f>
        <v>0.219412754538513</v>
      </c>
      <c r="N35" s="96" t="n">
        <f aca="false">IFERROR('0. Database'!O53/'0. Database'!N53-1,"")</f>
        <v>0.221671732522796</v>
      </c>
      <c r="O35" s="96" t="n">
        <f aca="false">IFERROR('0. Database'!P53/'0. Database'!O53-1,"")</f>
        <v>0.2697512502177</v>
      </c>
      <c r="P35" s="96" t="n">
        <f aca="false">IFERROR('0. Database'!Q53/'0. Database'!P53-1,"")</f>
        <v>0.20078317845173</v>
      </c>
      <c r="Q35" s="96" t="n">
        <f aca="false">IFERROR('0. Database'!R53/'0. Database'!Q53-1,"")</f>
        <v>0.166200396774889</v>
      </c>
      <c r="R35" s="96" t="n">
        <f aca="false">IFERROR('0. Database'!S53/'0. Database'!R53-1,"")</f>
        <v>0.13996879744046</v>
      </c>
      <c r="S35" s="96" t="n">
        <f aca="false">IFERROR('0. Database'!T53/'0. Database'!S53-1,"")</f>
        <v>0.119898057691976</v>
      </c>
    </row>
    <row r="36" customFormat="false" ht="15" hidden="false" customHeight="true" outlineLevel="0" collapsed="false">
      <c r="A36" s="95" t="s">
        <v>55</v>
      </c>
      <c r="B36" s="96"/>
      <c r="C36" s="96" t="n">
        <f aca="false">IFERROR('0. Database'!D71/'0. Database'!C71-1,"")</f>
        <v>0.0282393364292808</v>
      </c>
      <c r="D36" s="96" t="n">
        <f aca="false">IFERROR('0. Database'!E71/'0. Database'!D71-1,"")</f>
        <v>-0.00135752512726794</v>
      </c>
      <c r="E36" s="96" t="n">
        <f aca="false">IFERROR('0. Database'!F71/'0. Database'!E71-1,"")</f>
        <v>-0.031265521658432</v>
      </c>
      <c r="F36" s="96" t="n">
        <f aca="false">IFERROR('0. Database'!G71/'0. Database'!F71-1,"")</f>
        <v>0.0227217529751464</v>
      </c>
      <c r="G36" s="96" t="n">
        <f aca="false">IFERROR('0. Database'!H71/'0. Database'!G71-1,"")</f>
        <v>0.0404232301643843</v>
      </c>
      <c r="H36" s="96" t="n">
        <f aca="false">IFERROR('0. Database'!I71/'0. Database'!H71-1,"")</f>
        <v>0.0023839111359083</v>
      </c>
      <c r="I36" s="96" t="n">
        <f aca="false">IFERROR('0. Database'!J71/'0. Database'!I71-1,"")</f>
        <v>-0.0114358001265022</v>
      </c>
      <c r="J36" s="96" t="n">
        <f aca="false">IFERROR('0. Database'!K71/'0. Database'!J71-1,"")</f>
        <v>0.036035113761421</v>
      </c>
      <c r="K36" s="96" t="n">
        <f aca="false">IFERROR('0. Database'!L71/'0. Database'!K71-1,"")</f>
        <v>0.0484177762407054</v>
      </c>
      <c r="L36" s="96" t="n">
        <f aca="false">IFERROR('0. Database'!M71/'0. Database'!L71-1,"")</f>
        <v>0.17704578120214</v>
      </c>
      <c r="M36" s="96" t="n">
        <f aca="false">IFERROR('0. Database'!N71/'0. Database'!M71-1,"")</f>
        <v>0.060174156741067</v>
      </c>
      <c r="N36" s="96" t="n">
        <f aca="false">IFERROR('0. Database'!O71/'0. Database'!N71-1,"")</f>
        <v>0.0837975113762959</v>
      </c>
      <c r="O36" s="96" t="n">
        <f aca="false">IFERROR('0. Database'!P71/'0. Database'!O71-1,"")</f>
        <v>0.172263454067144</v>
      </c>
      <c r="P36" s="96" t="n">
        <f aca="false">IFERROR('0. Database'!Q71/'0. Database'!P71-1,"")</f>
        <v>0.319457694122543</v>
      </c>
      <c r="Q36" s="96" t="n">
        <f aca="false">IFERROR('0. Database'!R71/'0. Database'!Q71-1,"")</f>
        <v>0.412955573662325</v>
      </c>
      <c r="R36" s="96" t="n">
        <f aca="false">IFERROR('0. Database'!S71/'0. Database'!R71-1,"")</f>
        <v>0.316855148927758</v>
      </c>
      <c r="S36" s="96" t="n">
        <f aca="false">IFERROR('0. Database'!T71/'0. Database'!S71-1,"")</f>
        <v>0.123262637826697</v>
      </c>
    </row>
    <row r="39" customFormat="false" ht="15" hidden="false" customHeight="true" outlineLevel="0" collapsed="false">
      <c r="A39" s="93" t="s">
        <v>276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</row>
    <row r="40" customFormat="false" ht="15" hidden="false" customHeight="true" outlineLevel="0" collapsed="false">
      <c r="A40" s="76"/>
      <c r="B40" s="94" t="s">
        <v>255</v>
      </c>
      <c r="C40" s="94" t="s">
        <v>256</v>
      </c>
      <c r="D40" s="94" t="s">
        <v>257</v>
      </c>
      <c r="E40" s="94" t="s">
        <v>258</v>
      </c>
      <c r="F40" s="94" t="s">
        <v>259</v>
      </c>
      <c r="G40" s="94" t="s">
        <v>260</v>
      </c>
      <c r="H40" s="94" t="s">
        <v>261</v>
      </c>
      <c r="I40" s="94" t="s">
        <v>262</v>
      </c>
      <c r="J40" s="94" t="s">
        <v>263</v>
      </c>
      <c r="K40" s="94" t="s">
        <v>264</v>
      </c>
      <c r="L40" s="94" t="s">
        <v>265</v>
      </c>
      <c r="M40" s="94" t="s">
        <v>266</v>
      </c>
      <c r="N40" s="94" t="s">
        <v>267</v>
      </c>
      <c r="O40" s="94" t="s">
        <v>268</v>
      </c>
      <c r="P40" s="94" t="s">
        <v>269</v>
      </c>
      <c r="Q40" s="94" t="s">
        <v>270</v>
      </c>
      <c r="R40" s="94" t="s">
        <v>271</v>
      </c>
      <c r="S40" s="94" t="s">
        <v>272</v>
      </c>
    </row>
    <row r="41" customFormat="false" ht="15" hidden="false" customHeight="true" outlineLevel="0" collapsed="false">
      <c r="A41" s="95" t="s">
        <v>22</v>
      </c>
      <c r="B41" s="96" t="n">
        <f aca="false">IFERROR('0. Database'!C6/'0. Database'!C5,"")</f>
        <v>0.343793754576167</v>
      </c>
      <c r="C41" s="96" t="n">
        <f aca="false">IFERROR('0. Database'!D6/'0. Database'!D5,"")</f>
        <v>0.319682609146292</v>
      </c>
      <c r="D41" s="96" t="n">
        <f aca="false">IFERROR('0. Database'!E6/'0. Database'!E5,"")</f>
        <v>0.194069245565292</v>
      </c>
      <c r="E41" s="96" t="n">
        <f aca="false">IFERROR('0. Database'!F6/'0. Database'!F5,"")</f>
        <v>0.236544772620722</v>
      </c>
      <c r="F41" s="96" t="n">
        <f aca="false">IFERROR('0. Database'!G6/'0. Database'!G5,"")</f>
        <v>0.300556067556513</v>
      </c>
      <c r="G41" s="96" t="n">
        <f aca="false">IFERROR('0. Database'!H6/'0. Database'!H5,"")</f>
        <v>0.317669445451251</v>
      </c>
      <c r="H41" s="96" t="n">
        <f aca="false">IFERROR('0. Database'!I6/'0. Database'!I5,"")</f>
        <v>0.341369802054942</v>
      </c>
      <c r="I41" s="96" t="n">
        <f aca="false">IFERROR('0. Database'!J6/'0. Database'!J5,"")</f>
        <v>0.370303814285215</v>
      </c>
      <c r="J41" s="96" t="n">
        <f aca="false">IFERROR('0. Database'!K6/'0. Database'!K5,"")</f>
        <v>0.415948788729713</v>
      </c>
      <c r="K41" s="96" t="n">
        <f aca="false">IFERROR('0. Database'!L6/'0. Database'!L5,"")</f>
        <v>0.420552781560498</v>
      </c>
      <c r="L41" s="96" t="n">
        <f aca="false">IFERROR('0. Database'!M6/'0. Database'!M5,"")</f>
        <v>0.417728806361041</v>
      </c>
      <c r="M41" s="96" t="n">
        <f aca="false">IFERROR('0. Database'!N6/'0. Database'!N5,"")</f>
        <v>0.446442995732737</v>
      </c>
      <c r="N41" s="96" t="n">
        <f aca="false">IFERROR('0. Database'!O6/'0. Database'!O5,"")</f>
        <v>0.456219562408599</v>
      </c>
      <c r="O41" s="96" t="n">
        <f aca="false">IFERROR('0. Database'!P6/'0. Database'!P5,"")</f>
        <v>0.465802538269156</v>
      </c>
      <c r="P41" s="96" t="n">
        <f aca="false">IFERROR('0. Database'!Q6/'0. Database'!Q5,"")</f>
        <v>0.463117571257584</v>
      </c>
      <c r="Q41" s="96" t="n">
        <f aca="false">IFERROR('0. Database'!R6/'0. Database'!R5,"")</f>
        <v>0.469393623381428</v>
      </c>
      <c r="R41" s="96" t="n">
        <f aca="false">IFERROR('0. Database'!S6/'0. Database'!S5,"")</f>
        <v>0.480824089640994</v>
      </c>
      <c r="S41" s="96" t="n">
        <f aca="false">IFERROR('0. Database'!T6/'0. Database'!T5,"")</f>
        <v>0.487820996536282</v>
      </c>
    </row>
    <row r="42" customFormat="false" ht="15" hidden="false" customHeight="true" outlineLevel="0" collapsed="false">
      <c r="A42" s="95" t="s">
        <v>38</v>
      </c>
      <c r="B42" s="96" t="n">
        <f aca="false">IFERROR('0. Database'!C22/'0. Database'!C21,"")</f>
        <v>0.0100063127073456</v>
      </c>
      <c r="C42" s="96" t="n">
        <f aca="false">IFERROR('0. Database'!D22/'0. Database'!D21,"")</f>
        <v>0.0020047556760207</v>
      </c>
      <c r="D42" s="96" t="n">
        <f aca="false">IFERROR('0. Database'!E22/'0. Database'!E21,"")</f>
        <v>0.0208641336141883</v>
      </c>
      <c r="E42" s="96" t="n">
        <f aca="false">IFERROR('0. Database'!F22/'0. Database'!F21,"")</f>
        <v>0.0307823541956216</v>
      </c>
      <c r="F42" s="96" t="n">
        <f aca="false">IFERROR('0. Database'!G22/'0. Database'!G21,"")</f>
        <v>0.023090416380871</v>
      </c>
      <c r="G42" s="96" t="n">
        <f aca="false">IFERROR('0. Database'!H22/'0. Database'!H21,"")</f>
        <v>0.0533305852194412</v>
      </c>
      <c r="H42" s="96" t="n">
        <f aca="false">IFERROR('0. Database'!I22/'0. Database'!I21,"")</f>
        <v>0.0518319418797813</v>
      </c>
      <c r="I42" s="96" t="n">
        <f aca="false">IFERROR('0. Database'!J22/'0. Database'!J21,"")</f>
        <v>0.0593139997513366</v>
      </c>
      <c r="J42" s="96" t="n">
        <f aca="false">IFERROR('0. Database'!K22/'0. Database'!K21,"")</f>
        <v>0.0529540975092695</v>
      </c>
      <c r="K42" s="96" t="n">
        <f aca="false">IFERROR('0. Database'!L22/'0. Database'!L21,"")</f>
        <v>0.0238295819122422</v>
      </c>
      <c r="L42" s="96" t="n">
        <f aca="false">IFERROR('0. Database'!M22/'0. Database'!M21,"")</f>
        <v>0.0641144079960333</v>
      </c>
      <c r="M42" s="96" t="n">
        <f aca="false">IFERROR('0. Database'!N22/'0. Database'!N21,"")</f>
        <v>0.107519448742004</v>
      </c>
      <c r="N42" s="96" t="n">
        <f aca="false">IFERROR('0. Database'!O22/'0. Database'!O21,"")</f>
        <v>0.111552967957552</v>
      </c>
      <c r="O42" s="96" t="n">
        <f aca="false">IFERROR('0. Database'!P22/'0. Database'!P21,"")</f>
        <v>0.131708463674658</v>
      </c>
      <c r="P42" s="96" t="n">
        <f aca="false">IFERROR('0. Database'!Q22/'0. Database'!Q21,"")</f>
        <v>0.154365760146159</v>
      </c>
      <c r="Q42" s="96" t="n">
        <f aca="false">IFERROR('0. Database'!R22/'0. Database'!R21,"")</f>
        <v>0.172540408713261</v>
      </c>
      <c r="R42" s="96" t="n">
        <f aca="false">IFERROR('0. Database'!S22/'0. Database'!S21,"")</f>
        <v>0.188661589820496</v>
      </c>
      <c r="S42" s="96" t="n">
        <f aca="false">IFERROR('0. Database'!T22/'0. Database'!T21,"")</f>
        <v>0.202680597904355</v>
      </c>
    </row>
    <row r="43" customFormat="false" ht="15" hidden="false" customHeight="true" outlineLevel="0" collapsed="false">
      <c r="A43" s="95" t="s">
        <v>42</v>
      </c>
      <c r="B43" s="96" t="n">
        <f aca="false">IFERROR('0. Database'!C37/'0. Database'!C36,"")</f>
        <v>0.27743655325204</v>
      </c>
      <c r="C43" s="96" t="n">
        <f aca="false">IFERROR('0. Database'!D37/'0. Database'!D36,"")</f>
        <v>0.249935607036257</v>
      </c>
      <c r="D43" s="96" t="n">
        <f aca="false">IFERROR('0. Database'!E37/'0. Database'!E36,"")</f>
        <v>0.258171198442438</v>
      </c>
      <c r="E43" s="96" t="n">
        <f aca="false">IFERROR('0. Database'!F37/'0. Database'!F36,"")</f>
        <v>0.262717121588089</v>
      </c>
      <c r="F43" s="96" t="n">
        <f aca="false">IFERROR('0. Database'!G37/'0. Database'!G36,"")</f>
        <v>0.235857651887601</v>
      </c>
      <c r="G43" s="96" t="n">
        <f aca="false">IFERROR('0. Database'!H37/'0. Database'!H36,"")</f>
        <v>0.196997493038248</v>
      </c>
      <c r="H43" s="96" t="n">
        <f aca="false">IFERROR('0. Database'!I37/'0. Database'!I36,"")</f>
        <v>0.211489154006314</v>
      </c>
      <c r="I43" s="96" t="n">
        <f aca="false">IFERROR('0. Database'!J37/'0. Database'!J36,"")</f>
        <v>0.225851517857632</v>
      </c>
      <c r="J43" s="96" t="n">
        <f aca="false">IFERROR('0. Database'!K37/'0. Database'!K36,"")</f>
        <v>0.305522886852432</v>
      </c>
      <c r="K43" s="96" t="n">
        <f aca="false">IFERROR('0. Database'!L37/'0. Database'!L36,"")</f>
        <v>0.26461270842467</v>
      </c>
      <c r="L43" s="96" t="n">
        <f aca="false">IFERROR('0. Database'!M37/'0. Database'!M36,"")</f>
        <v>0.274218104452266</v>
      </c>
      <c r="M43" s="96" t="n">
        <f aca="false">IFERROR('0. Database'!N37/'0. Database'!N36,"")</f>
        <v>0.321097772114577</v>
      </c>
      <c r="N43" s="96" t="n">
        <f aca="false">IFERROR('0. Database'!O37/'0. Database'!O36,"")</f>
        <v>0.3203263859238</v>
      </c>
      <c r="O43" s="96" t="n">
        <f aca="false">IFERROR('0. Database'!P37/'0. Database'!P36,"")</f>
        <v>0.342669553816202</v>
      </c>
      <c r="P43" s="96" t="n">
        <f aca="false">IFERROR('0. Database'!Q37/'0. Database'!Q36,"")</f>
        <v>0.355253646282618</v>
      </c>
      <c r="Q43" s="96" t="n">
        <f aca="false">IFERROR('0. Database'!R37/'0. Database'!R36,"")</f>
        <v>0.36181091725094</v>
      </c>
      <c r="R43" s="96" t="n">
        <f aca="false">IFERROR('0. Database'!S37/'0. Database'!S36,"")</f>
        <v>0.366157445799273</v>
      </c>
      <c r="S43" s="96" t="n">
        <f aca="false">IFERROR('0. Database'!T37/'0. Database'!T36,"")</f>
        <v>0.367020570414675</v>
      </c>
    </row>
    <row r="44" customFormat="false" ht="15" hidden="false" customHeight="true" outlineLevel="0" collapsed="false">
      <c r="A44" s="95" t="s">
        <v>48</v>
      </c>
      <c r="B44" s="96" t="n">
        <f aca="false">IFERROR('0. Database'!C54/'0. Database'!C53,"")</f>
        <v>0.35619918699187</v>
      </c>
      <c r="C44" s="96" t="n">
        <f aca="false">IFERROR('0. Database'!D54/'0. Database'!D53,"")</f>
        <v>0.400673832825285</v>
      </c>
      <c r="D44" s="96" t="n">
        <f aca="false">IFERROR('0. Database'!E54/'0. Database'!E53,"")</f>
        <v>0.347241590896413</v>
      </c>
      <c r="E44" s="96" t="n">
        <f aca="false">IFERROR('0. Database'!F54/'0. Database'!F53,"")</f>
        <v>0.449634561111513</v>
      </c>
      <c r="F44" s="96" t="n">
        <f aca="false">IFERROR('0. Database'!G54/'0. Database'!G53,"")</f>
        <v>0.496937495387794</v>
      </c>
      <c r="G44" s="96" t="n">
        <f aca="false">IFERROR('0. Database'!H54/'0. Database'!H53,"")</f>
        <v>0.446165693613668</v>
      </c>
      <c r="H44" s="96" t="n">
        <f aca="false">IFERROR('0. Database'!I54/'0. Database'!I53,"")</f>
        <v>0.339274221496114</v>
      </c>
      <c r="I44" s="96" t="n">
        <f aca="false">IFERROR('0. Database'!J54/'0. Database'!J53,"")</f>
        <v>0.380045599423028</v>
      </c>
      <c r="J44" s="96" t="n">
        <f aca="false">IFERROR('0. Database'!K54/'0. Database'!K53,"")</f>
        <v>0.396450406600582</v>
      </c>
      <c r="K44" s="96" t="n">
        <f aca="false">IFERROR('0. Database'!L54/'0. Database'!L53,"")</f>
        <v>0.248222692931077</v>
      </c>
      <c r="L44" s="96" t="n">
        <f aca="false">IFERROR('0. Database'!M54/'0. Database'!M53,"")</f>
        <v>0.346557846124195</v>
      </c>
      <c r="M44" s="96" t="n">
        <f aca="false">IFERROR('0. Database'!N54/'0. Database'!N53,"")</f>
        <v>0.421762917933131</v>
      </c>
      <c r="N44" s="96" t="n">
        <f aca="false">IFERROR('0. Database'!O54/'0. Database'!O53,"")</f>
        <v>0.414380613539671</v>
      </c>
      <c r="O44" s="96" t="n">
        <f aca="false">IFERROR('0. Database'!P54/'0. Database'!P53,"")</f>
        <v>0.354617777658644</v>
      </c>
      <c r="P44" s="96" t="n">
        <f aca="false">IFERROR('0. Database'!Q54/'0. Database'!Q53,"")</f>
        <v>0.340842115995234</v>
      </c>
      <c r="Q44" s="96" t="n">
        <f aca="false">IFERROR('0. Database'!R54/'0. Database'!R53,"")</f>
        <v>0.331377350179063</v>
      </c>
      <c r="R44" s="96" t="n">
        <f aca="false">IFERROR('0. Database'!S54/'0. Database'!S53,"")</f>
        <v>0.32287495749683</v>
      </c>
      <c r="S44" s="96" t="n">
        <f aca="false">IFERROR('0. Database'!T54/'0. Database'!T53,"")</f>
        <v>0.313057785144646</v>
      </c>
    </row>
    <row r="45" customFormat="false" ht="15" hidden="false" customHeight="true" outlineLevel="0" collapsed="false">
      <c r="A45" s="95" t="s">
        <v>55</v>
      </c>
      <c r="B45" s="96" t="n">
        <f aca="false">IFERROR('0. Database'!C72/'0. Database'!C71,"")</f>
        <v>0.39416959707943</v>
      </c>
      <c r="C45" s="96" t="n">
        <f aca="false">IFERROR('0. Database'!D72/'0. Database'!D71,"")</f>
        <v>0.385276073619632</v>
      </c>
      <c r="D45" s="96" t="n">
        <f aca="false">IFERROR('0. Database'!E72/'0. Database'!E71,"")</f>
        <v>0.36258594097195</v>
      </c>
      <c r="E45" s="96" t="n">
        <f aca="false">IFERROR('0. Database'!F72/'0. Database'!F71,"")</f>
        <v>0.34012467280136</v>
      </c>
      <c r="F45" s="96" t="n">
        <f aca="false">IFERROR('0. Database'!G72/'0. Database'!G71,"")</f>
        <v>0.335365049209742</v>
      </c>
      <c r="G45" s="96" t="n">
        <f aca="false">IFERROR('0. Database'!H72/'0. Database'!H71,"")</f>
        <v>0.336385077730719</v>
      </c>
      <c r="H45" s="96" t="n">
        <f aca="false">IFERROR('0. Database'!I72/'0. Database'!I71,"")</f>
        <v>0.342441492726123</v>
      </c>
      <c r="I45" s="96" t="n">
        <f aca="false">IFERROR('0. Database'!J72/'0. Database'!J71,"")</f>
        <v>0.355667596550047</v>
      </c>
      <c r="J45" s="96" t="n">
        <f aca="false">IFERROR('0. Database'!K72/'0. Database'!K71,"")</f>
        <v>0.375830636594946</v>
      </c>
      <c r="K45" s="96" t="n">
        <f aca="false">IFERROR('0. Database'!L72/'0. Database'!L71,"")</f>
        <v>0.257463301995712</v>
      </c>
      <c r="L45" s="96" t="n">
        <f aca="false">IFERROR('0. Database'!M72/'0. Database'!M71,"")</f>
        <v>0.262115904313883</v>
      </c>
      <c r="M45" s="96" t="n">
        <f aca="false">IFERROR('0. Database'!N72/'0. Database'!N71,"")</f>
        <v>0.289911444270312</v>
      </c>
      <c r="N45" s="96" t="n">
        <f aca="false">IFERROR('0. Database'!O72/'0. Database'!O71,"")</f>
        <v>0.307984459659576</v>
      </c>
      <c r="O45" s="96" t="n">
        <f aca="false">IFERROR('0. Database'!P72/'0. Database'!P71,"")</f>
        <v>0.289246248332696</v>
      </c>
      <c r="P45" s="96" t="n">
        <f aca="false">IFERROR('0. Database'!Q72/'0. Database'!Q71,"")</f>
        <v>0.23797825280389</v>
      </c>
      <c r="Q45" s="96" t="n">
        <f aca="false">IFERROR('0. Database'!R72/'0. Database'!R71,"")</f>
        <v>0.294398702858343</v>
      </c>
      <c r="R45" s="96" t="n">
        <f aca="false">IFERROR('0. Database'!S72/'0. Database'!S71,"")</f>
        <v>0.32118626604911</v>
      </c>
      <c r="S45" s="96" t="n">
        <f aca="false">IFERROR('0. Database'!T72/'0. Database'!T71,"")</f>
        <v>0.312321387266789</v>
      </c>
    </row>
    <row r="48" customFormat="false" ht="15" hidden="false" customHeight="true" outlineLevel="0" collapsed="false">
      <c r="A48" s="93" t="s">
        <v>277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</row>
    <row r="49" customFormat="false" ht="15" hidden="false" customHeight="true" outlineLevel="0" collapsed="false">
      <c r="A49" s="76"/>
      <c r="B49" s="94" t="s">
        <v>255</v>
      </c>
      <c r="C49" s="94" t="s">
        <v>256</v>
      </c>
      <c r="D49" s="94" t="s">
        <v>257</v>
      </c>
      <c r="E49" s="94" t="s">
        <v>258</v>
      </c>
      <c r="F49" s="94" t="s">
        <v>259</v>
      </c>
      <c r="G49" s="94" t="s">
        <v>260</v>
      </c>
      <c r="H49" s="94" t="s">
        <v>261</v>
      </c>
      <c r="I49" s="94" t="s">
        <v>262</v>
      </c>
      <c r="J49" s="94" t="s">
        <v>263</v>
      </c>
      <c r="K49" s="94" t="s">
        <v>264</v>
      </c>
      <c r="L49" s="94" t="s">
        <v>265</v>
      </c>
      <c r="M49" s="94" t="s">
        <v>266</v>
      </c>
      <c r="N49" s="94" t="s">
        <v>267</v>
      </c>
      <c r="O49" s="94" t="s">
        <v>268</v>
      </c>
      <c r="P49" s="94" t="s">
        <v>269</v>
      </c>
      <c r="Q49" s="94" t="s">
        <v>270</v>
      </c>
      <c r="R49" s="94" t="s">
        <v>271</v>
      </c>
      <c r="S49" s="94" t="s">
        <v>272</v>
      </c>
    </row>
    <row r="50" customFormat="false" ht="15" hidden="false" customHeight="true" outlineLevel="0" collapsed="false">
      <c r="A50" s="95" t="s">
        <v>22</v>
      </c>
      <c r="B50" s="96" t="n">
        <f aca="false">IFERROR('0. Database'!C11/'0. Database'!C5,"")</f>
        <v>0.0428907243509872</v>
      </c>
      <c r="C50" s="96" t="n">
        <f aca="false">IFERROR('0. Database'!D11/'0. Database'!D5,"")</f>
        <v>0.0488869439038154</v>
      </c>
      <c r="D50" s="96" t="n">
        <f aca="false">IFERROR('0. Database'!E11/'0. Database'!E5,"")</f>
        <v>0.0577046377431075</v>
      </c>
      <c r="E50" s="96" t="n">
        <f aca="false">IFERROR('0. Database'!F11/'0. Database'!F5,"")</f>
        <v>0.0688935771214252</v>
      </c>
      <c r="F50" s="96" t="n">
        <f aca="false">IFERROR('0. Database'!G11/'0. Database'!G5,"")</f>
        <v>0.0807695892141533</v>
      </c>
      <c r="G50" s="96" t="n">
        <f aca="false">IFERROR('0. Database'!H11/'0. Database'!H5,"")</f>
        <v>0.0897064153678869</v>
      </c>
      <c r="H50" s="96" t="n">
        <f aca="false">IFERROR('0. Database'!I11/'0. Database'!I5,"")</f>
        <v>0.0921783492129081</v>
      </c>
      <c r="I50" s="96" t="n">
        <f aca="false">IFERROR('0. Database'!J11/'0. Database'!J5,"")</f>
        <v>0.0860049645142118</v>
      </c>
      <c r="J50" s="96" t="n">
        <f aca="false">IFERROR('0. Database'!K11/'0. Database'!K5,"")</f>
        <v>0.0648469849126648</v>
      </c>
      <c r="K50" s="96" t="n">
        <f aca="false">IFERROR('0. Database'!L11/'0. Database'!L5,"")</f>
        <v>0.0736369597014173</v>
      </c>
      <c r="L50" s="96" t="n">
        <f aca="false">IFERROR('0. Database'!M11/'0. Database'!M5,"")</f>
        <v>0.0637047872967935</v>
      </c>
      <c r="M50" s="96" t="n">
        <f aca="false">IFERROR('0. Database'!N11/'0. Database'!N5,"")</f>
        <v>0.0815920235637764</v>
      </c>
      <c r="N50" s="96" t="n">
        <f aca="false">IFERROR('0. Database'!O11/'0. Database'!O5,"")</f>
        <v>0.0993880535559626</v>
      </c>
      <c r="O50" s="96" t="n">
        <f aca="false">IFERROR('0. Database'!P11/'0. Database'!P5,"")</f>
        <v>0.120322156151902</v>
      </c>
      <c r="P50" s="96" t="n">
        <f aca="false">IFERROR('0. Database'!Q11/'0. Database'!Q5,"")</f>
        <v>0.161305506475254</v>
      </c>
      <c r="Q50" s="96" t="n">
        <f aca="false">IFERROR('0. Database'!R11/'0. Database'!R5,"")</f>
        <v>0.204963806289356</v>
      </c>
      <c r="R50" s="96" t="n">
        <f aca="false">IFERROR('0. Database'!S11/'0. Database'!S5,"")</f>
        <v>0.23749503625081</v>
      </c>
      <c r="S50" s="96" t="n">
        <f aca="false">IFERROR('0. Database'!T11/'0. Database'!T5,"")</f>
        <v>0.256198827702057</v>
      </c>
    </row>
    <row r="51" customFormat="false" ht="15" hidden="false" customHeight="true" outlineLevel="0" collapsed="false">
      <c r="A51" s="95" t="s">
        <v>38</v>
      </c>
      <c r="B51" s="96" t="n">
        <f aca="false">IFERROR('0. Database'!C27/'0. Database'!C21,"")</f>
        <v>0.0436919936067049</v>
      </c>
      <c r="C51" s="96" t="n">
        <f aca="false">IFERROR('0. Database'!D27/'0. Database'!D21,"")</f>
        <v>0.0533215565174787</v>
      </c>
      <c r="D51" s="96" t="n">
        <f aca="false">IFERROR('0. Database'!E27/'0. Database'!E21,"")</f>
        <v>0.0586973139974544</v>
      </c>
      <c r="E51" s="96" t="n">
        <f aca="false">IFERROR('0. Database'!F27/'0. Database'!F21,"")</f>
        <v>0.0596895291461684</v>
      </c>
      <c r="F51" s="96" t="n">
        <f aca="false">IFERROR('0. Database'!G27/'0. Database'!G21,"")</f>
        <v>0.0645317261309075</v>
      </c>
      <c r="G51" s="96" t="n">
        <f aca="false">IFERROR('0. Database'!H27/'0. Database'!H21,"")</f>
        <v>0.0658731487803098</v>
      </c>
      <c r="H51" s="96" t="n">
        <f aca="false">IFERROR('0. Database'!I27/'0. Database'!I21,"")</f>
        <v>0.0776730523809184</v>
      </c>
      <c r="I51" s="96" t="n">
        <f aca="false">IFERROR('0. Database'!J27/'0. Database'!J21,"")</f>
        <v>0.0654062538853662</v>
      </c>
      <c r="J51" s="96" t="n">
        <f aca="false">IFERROR('0. Database'!K27/'0. Database'!K21,"")</f>
        <v>0.0729978587635317</v>
      </c>
      <c r="K51" s="96" t="n">
        <f aca="false">IFERROR('0. Database'!L27/'0. Database'!L21,"")</f>
        <v>0.080666092069193</v>
      </c>
      <c r="L51" s="96" t="n">
        <f aca="false">IFERROR('0. Database'!M27/'0. Database'!M21,"")</f>
        <v>0.0846629609332185</v>
      </c>
      <c r="M51" s="96" t="n">
        <f aca="false">IFERROR('0. Database'!N27/'0. Database'!N21,"")</f>
        <v>0.0827561018811554</v>
      </c>
      <c r="N51" s="96" t="n">
        <f aca="false">IFERROR('0. Database'!O27/'0. Database'!O21,"")</f>
        <v>0.0917196243953334</v>
      </c>
      <c r="O51" s="96" t="n">
        <f aca="false">IFERROR('0. Database'!P27/'0. Database'!P21,"")</f>
        <v>0.0980858724771357</v>
      </c>
      <c r="P51" s="96" t="n">
        <f aca="false">IFERROR('0. Database'!Q27/'0. Database'!Q21,"")</f>
        <v>0.0958313626162915</v>
      </c>
      <c r="Q51" s="96" t="n">
        <f aca="false">IFERROR('0. Database'!R27/'0. Database'!R21,"")</f>
        <v>0.113353361221732</v>
      </c>
      <c r="R51" s="96" t="n">
        <f aca="false">IFERROR('0. Database'!S27/'0. Database'!S21,"")</f>
        <v>0.127377899470562</v>
      </c>
      <c r="S51" s="96" t="n">
        <f aca="false">IFERROR('0. Database'!T27/'0. Database'!T21,"")</f>
        <v>0.13440275735048</v>
      </c>
    </row>
    <row r="52" customFormat="false" ht="15" hidden="false" customHeight="true" outlineLevel="0" collapsed="false">
      <c r="A52" s="95" t="s">
        <v>42</v>
      </c>
      <c r="B52" s="96" t="n">
        <f aca="false">IFERROR('0. Database'!C42/'0. Database'!C36,"")</f>
        <v>0.0500909598515823</v>
      </c>
      <c r="C52" s="96" t="n">
        <f aca="false">IFERROR('0. Database'!D42/'0. Database'!D36,"")</f>
        <v>0.0533779791215285</v>
      </c>
      <c r="D52" s="96" t="n">
        <f aca="false">IFERROR('0. Database'!E42/'0. Database'!E36,"")</f>
        <v>0.0551014148741816</v>
      </c>
      <c r="E52" s="96" t="n">
        <f aca="false">IFERROR('0. Database'!F42/'0. Database'!F36,"")</f>
        <v>0.0583458879829848</v>
      </c>
      <c r="F52" s="96" t="n">
        <f aca="false">IFERROR('0. Database'!G42/'0. Database'!G36,"")</f>
        <v>0.055053899237743</v>
      </c>
      <c r="G52" s="96" t="n">
        <f aca="false">IFERROR('0. Database'!H42/'0. Database'!H36,"")</f>
        <v>0.059670075062674</v>
      </c>
      <c r="H52" s="96" t="n">
        <f aca="false">IFERROR('0. Database'!I42/'0. Database'!I36,"")</f>
        <v>0.0670715508133723</v>
      </c>
      <c r="I52" s="96" t="n">
        <f aca="false">IFERROR('0. Database'!J42/'0. Database'!J36,"")</f>
        <v>0.0707018687646211</v>
      </c>
      <c r="J52" s="96" t="n">
        <f aca="false">IFERROR('0. Database'!K42/'0. Database'!K36,"")</f>
        <v>0.0448499245061851</v>
      </c>
      <c r="K52" s="96" t="n">
        <f aca="false">IFERROR('0. Database'!L42/'0. Database'!L36,"")</f>
        <v>0.0540489895204288</v>
      </c>
      <c r="L52" s="96" t="n">
        <f aca="false">IFERROR('0. Database'!M42/'0. Database'!M36,"")</f>
        <v>0.0433515293076638</v>
      </c>
      <c r="M52" s="96" t="n">
        <f aca="false">IFERROR('0. Database'!N42/'0. Database'!N36,"")</f>
        <v>0.0437434646218194</v>
      </c>
      <c r="N52" s="96" t="n">
        <f aca="false">IFERROR('0. Database'!O42/'0. Database'!O36,"")</f>
        <v>0.0524680018667646</v>
      </c>
      <c r="O52" s="96" t="n">
        <f aca="false">IFERROR('0. Database'!P42/'0. Database'!P36,"")</f>
        <v>0.0878078621508295</v>
      </c>
      <c r="P52" s="96" t="n">
        <f aca="false">IFERROR('0. Database'!Q42/'0. Database'!Q36,"")</f>
        <v>0.117551138236728</v>
      </c>
      <c r="Q52" s="96" t="n">
        <f aca="false">IFERROR('0. Database'!R42/'0. Database'!R36,"")</f>
        <v>0.140202635391807</v>
      </c>
      <c r="R52" s="96" t="n">
        <f aca="false">IFERROR('0. Database'!S42/'0. Database'!S36,"")</f>
        <v>0.156603153029435</v>
      </c>
      <c r="S52" s="96" t="n">
        <f aca="false">IFERROR('0. Database'!T42/'0. Database'!T36,"")</f>
        <v>0.169388668170233</v>
      </c>
    </row>
    <row r="53" customFormat="false" ht="15" hidden="false" customHeight="true" outlineLevel="0" collapsed="false">
      <c r="A53" s="95" t="s">
        <v>48</v>
      </c>
      <c r="B53" s="96" t="n">
        <f aca="false">IFERROR('0. Database'!C59/'0. Database'!C53,"")</f>
        <v>0.12842987804878</v>
      </c>
      <c r="C53" s="96" t="n">
        <f aca="false">IFERROR('0. Database'!D59/'0. Database'!D53,"")</f>
        <v>0.0997112145034494</v>
      </c>
      <c r="D53" s="96" t="n">
        <f aca="false">IFERROR('0. Database'!E59/'0. Database'!E53,"")</f>
        <v>0.108495565348357</v>
      </c>
      <c r="E53" s="96" t="n">
        <f aca="false">IFERROR('0. Database'!F59/'0. Database'!F53,"")</f>
        <v>0.0847384036471525</v>
      </c>
      <c r="F53" s="96" t="n">
        <f aca="false">IFERROR('0. Database'!G59/'0. Database'!G53,"")</f>
        <v>0.0744102526258825</v>
      </c>
      <c r="G53" s="96" t="n">
        <f aca="false">IFERROR('0. Database'!H59/'0. Database'!H53,"")</f>
        <v>0.0772771231061284</v>
      </c>
      <c r="H53" s="96" t="n">
        <f aca="false">IFERROR('0. Database'!I59/'0. Database'!I53,"")</f>
        <v>0.0812062831964807</v>
      </c>
      <c r="I53" s="96" t="n">
        <f aca="false">IFERROR('0. Database'!J59/'0. Database'!J53,"")</f>
        <v>0.0798222553102389</v>
      </c>
      <c r="J53" s="96" t="n">
        <f aca="false">IFERROR('0. Database'!K59/'0. Database'!K53,"")</f>
        <v>0.0675491185374251</v>
      </c>
      <c r="K53" s="96" t="n">
        <f aca="false">IFERROR('0. Database'!L59/'0. Database'!L53,"")</f>
        <v>0.0744882470478265</v>
      </c>
      <c r="L53" s="96" t="n">
        <f aca="false">IFERROR('0. Database'!M59/'0. Database'!M53,"")</f>
        <v>0.0828533517171852</v>
      </c>
      <c r="M53" s="96" t="n">
        <f aca="false">IFERROR('0. Database'!N59/'0. Database'!N53,"")</f>
        <v>0.0942127659574468</v>
      </c>
      <c r="N53" s="96" t="n">
        <f aca="false">IFERROR('0. Database'!O59/'0. Database'!O53,"")</f>
        <v>0.0926330455551962</v>
      </c>
      <c r="O53" s="96" t="n">
        <f aca="false">IFERROR('0. Database'!P59/'0. Database'!P53,"")</f>
        <v>0.140906872115809</v>
      </c>
      <c r="P53" s="96" t="n">
        <f aca="false">IFERROR('0. Database'!Q59/'0. Database'!Q53,"")</f>
        <v>0.184728970793823</v>
      </c>
      <c r="Q53" s="96" t="n">
        <f aca="false">IFERROR('0. Database'!R59/'0. Database'!R53,"")</f>
        <v>0.22007811861814</v>
      </c>
      <c r="R53" s="96" t="n">
        <f aca="false">IFERROR('0. Database'!S59/'0. Database'!S53,"")</f>
        <v>0.245661608068325</v>
      </c>
      <c r="S53" s="96" t="n">
        <f aca="false">IFERROR('0. Database'!T59/'0. Database'!T53,"")</f>
        <v>0.265100899909223</v>
      </c>
    </row>
    <row r="54" customFormat="false" ht="15" hidden="false" customHeight="true" outlineLevel="0" collapsed="false">
      <c r="A54" s="95" t="s">
        <v>55</v>
      </c>
      <c r="B54" s="96" t="n">
        <f aca="false">IFERROR('0. Database'!C77/'0. Database'!C71,"")</f>
        <v>0.0146565377285051</v>
      </c>
      <c r="C54" s="96" t="n">
        <f aca="false">IFERROR('0. Database'!D77/'0. Database'!D71,"")</f>
        <v>0.0158726014880564</v>
      </c>
      <c r="D54" s="96" t="n">
        <f aca="false">IFERROR('0. Database'!E77/'0. Database'!E71,"")</f>
        <v>0.0186129192481635</v>
      </c>
      <c r="E54" s="96" t="n">
        <f aca="false">IFERROR('0. Database'!F77/'0. Database'!F71,"")</f>
        <v>0.0235043311655018</v>
      </c>
      <c r="F54" s="96" t="n">
        <f aca="false">IFERROR('0. Database'!G77/'0. Database'!G71,"")</f>
        <v>0.0263859204728357</v>
      </c>
      <c r="G54" s="96" t="n">
        <f aca="false">IFERROR('0. Database'!H77/'0. Database'!H71,"")</f>
        <v>0.0295452816312039</v>
      </c>
      <c r="H54" s="96" t="n">
        <f aca="false">IFERROR('0. Database'!I77/'0. Database'!I71,"")</f>
        <v>0.0311195445920304</v>
      </c>
      <c r="I54" s="96" t="n">
        <f aca="false">IFERROR('0. Database'!J77/'0. Database'!J71,"")</f>
        <v>0.035369692626622</v>
      </c>
      <c r="J54" s="96" t="n">
        <f aca="false">IFERROR('0. Database'!K77/'0. Database'!K71,"")</f>
        <v>0.0379684296336553</v>
      </c>
      <c r="K54" s="96" t="n">
        <f aca="false">IFERROR('0. Database'!L77/'0. Database'!L71,"")</f>
        <v>0.0464645036639099</v>
      </c>
      <c r="L54" s="96" t="n">
        <f aca="false">IFERROR('0. Database'!M77/'0. Database'!M71,"")</f>
        <v>0.0505655089580623</v>
      </c>
      <c r="M54" s="96" t="n">
        <f aca="false">IFERROR('0. Database'!N77/'0. Database'!N71,"")</f>
        <v>0.0590812107022148</v>
      </c>
      <c r="N54" s="96" t="n">
        <f aca="false">IFERROR('0. Database'!O77/'0. Database'!O71,"")</f>
        <v>0.0673705116813882</v>
      </c>
      <c r="O54" s="96" t="n">
        <f aca="false">IFERROR('0. Database'!P77/'0. Database'!P71,"")</f>
        <v>0.111485990926891</v>
      </c>
      <c r="P54" s="96" t="n">
        <f aca="false">IFERROR('0. Database'!Q77/'0. Database'!Q71,"")</f>
        <v>0.189999957198541</v>
      </c>
      <c r="Q54" s="96" t="n">
        <f aca="false">IFERROR('0. Database'!R77/'0. Database'!R71,"")</f>
        <v>0.219999992028382</v>
      </c>
      <c r="R54" s="96" t="n">
        <f aca="false">IFERROR('0. Database'!S77/'0. Database'!S71,"")</f>
        <v>0.239999997578589</v>
      </c>
      <c r="S54" s="96" t="n">
        <f aca="false">IFERROR('0. Database'!T77/'0. Database'!T71,"")</f>
        <v>0.259999995688612</v>
      </c>
    </row>
  </sheetData>
  <mergeCells count="7">
    <mergeCell ref="A1:T1"/>
    <mergeCell ref="A3:S3"/>
    <mergeCell ref="A12:S12"/>
    <mergeCell ref="A21:S21"/>
    <mergeCell ref="A30:S30"/>
    <mergeCell ref="A39:S39"/>
    <mergeCell ref="A48:S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2026-05-07T01:12:34Z</dcterms:created>
  <dc:creator>openpyxl</dc:creator>
  <dc:description/>
  <dc:language>en-US</dc:language>
  <cp:lastModifiedBy/>
  <dcterms:modified xsi:type="dcterms:W3CDTF">2026-05-11T02:13:45Z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
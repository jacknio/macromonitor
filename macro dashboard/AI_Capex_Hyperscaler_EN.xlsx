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Database" sheetId="1" state="visible" r:id="rId3"/>
    <sheet name="1. Summary" sheetId="2" state="visible" r:id="rId4"/>
    <sheet name="2. Revenue" sheetId="3" state="visible" r:id="rId5"/>
    <sheet name="3. Capex &amp; D&amp;A" sheetId="4" state="visible" r:id="rId6"/>
    <sheet name="4. FCF &amp; Cash" sheetId="5" state="visible" r:id="rId7"/>
    <sheet name="5. EPS &amp; Margins" sheetId="6" state="visible" r:id="rId8"/>
    <sheet name="6. Burry Sensitivity" sheetId="7" state="visible" r:id="rId9"/>
    <sheet name="7. Cross-Company" sheetId="8" state="visible" r:id="rId10"/>
    <sheet name="8. Bubble Analysis" sheetId="9" state="visible" r:id="rId11"/>
    <sheet name="9. Char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<sst xmlns="http://schemas.openxmlformats.org/spreadsheetml/2006/main" count="1072" uniqueCount="230">
  <si>
    <t xml:space="preserve">Centralized Database — All analysis sheets reference this via formulas (USD mm except EPS/shares)</t>
  </si>
  <si>
    <t xml:space="preserve">MSFT FY=Jun; ORCL FY=May; AMZN/GOOGL/META=CY. Blue text=hardcoded input. Green text=cross-sheet formula.</t>
  </si>
  <si>
    <t xml:space="preserve">Ticker</t>
  </si>
  <si>
    <t xml:space="preserve">Metric</t>
  </si>
  <si>
    <t xml:space="preserve">2013A</t>
  </si>
  <si>
    <t xml:space="preserve">2014A</t>
  </si>
  <si>
    <t xml:space="preserve">2015A</t>
  </si>
  <si>
    <t xml:space="preserve">2016A</t>
  </si>
  <si>
    <t xml:space="preserve">2017A</t>
  </si>
  <si>
    <t xml:space="preserve">2018A</t>
  </si>
  <si>
    <t xml:space="preserve">2019A</t>
  </si>
  <si>
    <t xml:space="preserve">2020A</t>
  </si>
  <si>
    <t xml:space="preserve">2021A</t>
  </si>
  <si>
    <t xml:space="preserve">2022A</t>
  </si>
  <si>
    <t xml:space="preserve">2023A</t>
  </si>
  <si>
    <t xml:space="preserve">2024A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</si>
  <si>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</si>
  <si>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</si>
  <si>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</si>
  <si>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</si>
  <si>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</si>
  <si>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</si>
  <si>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</si>
  <si>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MSFT  (FY(Jun))</t>
  </si>
  <si>
    <t xml:space="preserve">MSFT</t>
  </si>
  <si>
    <t xml:space="preserve">Revenue</t>
  </si>
  <si>
    <t xml:space="preserve">Operating Income (GAAP)</t>
  </si>
  <si>
    <t xml:space="preserve">Net Income</t>
  </si>
  <si>
    <t xml:space="preserve">EPS (GAAP)</t>
  </si>
  <si>
    <t xml:space="preserve">Diluted Shares (mm)</t>
  </si>
  <si>
    <t xml:space="preserve">Stock-Based Comp</t>
  </si>
  <si>
    <t xml:space="preserve">D&amp;A</t>
  </si>
  <si>
    <t xml:space="preserve">Capex</t>
  </si>
  <si>
    <t xml:space="preserve">PP&amp;E Net</t>
  </si>
  <si>
    <t xml:space="preserve">PP&amp;E Useful Life (yrs)</t>
  </si>
  <si>
    <t xml:space="preserve">Cash from Operations</t>
  </si>
  <si>
    <t xml:space="preserve">Free Cash Flow</t>
  </si>
  <si>
    <t xml:space="preserve">Buybacks</t>
  </si>
  <si>
    <t xml:space="preserve">Dividends</t>
  </si>
  <si>
    <t xml:space="preserve">Intelligent Cloud</t>
  </si>
  <si>
    <t xml:space="preserve">Productivity &amp; Business</t>
  </si>
  <si>
    <t xml:space="preserve">More Personal Computing</t>
  </si>
  <si>
    <t xml:space="preserve">AMZN  (CY)</t>
  </si>
  <si>
    <t xml:space="preserve">AMZN</t>
  </si>
  <si>
    <t xml:space="preserve">AWS Revenue</t>
  </si>
  <si>
    <t xml:space="preserve">AWS Operating Income</t>
  </si>
  <si>
    <t xml:space="preserve">N. America Revenue</t>
  </si>
  <si>
    <t xml:space="preserve">Int'l Revenue</t>
  </si>
  <si>
    <t xml:space="preserve">GOOGL  (CY)</t>
  </si>
  <si>
    <t xml:space="preserve">GOOGL</t>
  </si>
  <si>
    <t xml:space="preserve">Cloud Revenue</t>
  </si>
  <si>
    <t xml:space="preserve">Search Revenue</t>
  </si>
  <si>
    <t xml:space="preserve">YouTube Revenue</t>
  </si>
  <si>
    <t xml:space="preserve">Google Cloud OI</t>
  </si>
  <si>
    <t xml:space="preserve">Google Services Revenue</t>
  </si>
  <si>
    <t xml:space="preserve">Google Services OI</t>
  </si>
  <si>
    <t xml:space="preserve">META  (CY)</t>
  </si>
  <si>
    <t xml:space="preserve">META</t>
  </si>
  <si>
    <t xml:space="preserve">Family of Apps Revenue</t>
  </si>
  <si>
    <t xml:space="preserve">Family of Apps OI</t>
  </si>
  <si>
    <t xml:space="preserve">Advertising Revenue</t>
  </si>
  <si>
    <t xml:space="preserve">Reality Labs Revenue</t>
  </si>
  <si>
    <t xml:space="preserve">Reality Labs OI</t>
  </si>
  <si>
    <t xml:space="preserve">ORCL  (FY(May))</t>
  </si>
  <si>
    <t xml:space="preserve">ORCL</t>
  </si>
  <si>
    <t xml:space="preserve">Operating Income (Adj)</t>
  </si>
  <si>
    <t xml:space="preserve">EPS (Adjusted)</t>
  </si>
  <si>
    <t xml:space="preserve">Cloud Total (ORCL)</t>
  </si>
  <si>
    <t xml:space="preserve">IaaS / OCI Revenue</t>
  </si>
  <si>
    <t xml:space="preserve">SaaS Revenue</t>
  </si>
  <si>
    <t xml:space="preserve">Cloud Services Revenue</t>
  </si>
  <si>
    <t xml:space="preserve">RPO Backlog</t>
  </si>
  <si>
    <t xml:space="preserve">AI Capex Cycle: Hyperscaler Deep-Dive</t>
  </si>
  <si>
    <t xml:space="preserve">MSFT | AMZN | GOOGL | META | ORCL  —  2013-2031E  —  Source: broker financial models</t>
  </si>
  <si>
    <t xml:space="preserve">KEY TAKEAWAYS</t>
  </si>
  <si>
    <t xml:space="preserve">1. Revenue acceleration is real: all 5 show 2026E growth re-accelerating. Cloud/AI metrics (RPO, IaaS) confirm demand.</t>
  </si>
  <si>
    <t xml:space="preserve">2. Capex intensity unprecedented: Capex/Rev 24-77% in 2026E. ORCL 77%, META 55% — telecom-bubble territory.</t>
  </si>
  <si>
    <t xml:space="preserve">3. FCF breaking down at ORCL (-39%) and AMZN (-2%). Buybacks paused at META/GOOGL/ORCL in 2026E.</t>
  </si>
  <si>
    <t xml:space="preserve">4. EPS bifurcating: MSFT/GOOGL=high quality. ORCL=low (FY27E EPS -17% per own model).</t>
  </si>
  <si>
    <t xml:space="preserve">5. Burry GPU thesis: 3yr life → ORCL EPS -60%, AMZN -66%, META -37%, MSFT -25%, GOOGL -21%.</t>
  </si>
  <si>
    <t xml:space="preserve">6. GS Q1'26 insight: 'other income' from private equity stakes = record 34% of hyperscaler Q1'26 profit. Strip → EPS growth 61%→25%. Circular financing warning.</t>
  </si>
  <si>
    <t xml:space="preserve">7. Most likely burst window: 2027H1-H2 (D&amp;A wave + concentration risk). Base case 45% probability.</t>
  </si>
  <si>
    <t xml:space="preserve">8. Strategy: hold MSFT/GOOGL (defensible); reduce ORCL (floor); watch AMZN/META (threshold).</t>
  </si>
  <si>
    <t xml:space="preserve">SHEETS</t>
  </si>
  <si>
    <t xml:space="preserve">0. Database — Centralized 2013-2031 data (blue=input, green=formula). All other sheets reference this.</t>
  </si>
  <si>
    <t xml:space="preserve">1. Summary — This page</t>
  </si>
  <si>
    <t xml:space="preserve">2. Revenue — Total rev, YoY%, Cloud/AI segment (19yr)</t>
  </si>
  <si>
    <t xml:space="preserve">3. Capex &amp; D&amp;A — Capex, Capex/Rev, D&amp;A, D&amp;A/Rev (19yr)</t>
  </si>
  <si>
    <t xml:space="preserve">4. FCF — CFO, FCF, FCF margin, buybacks (19yr)</t>
  </si>
  <si>
    <t xml:space="preserve">5. EPS — OpInc, OpMargin, NI, EPS, shares (19yr)</t>
  </si>
  <si>
    <t xml:space="preserve">6. Burry Sensitivity — GPU life compression on 2026E EPS (editable)</t>
  </si>
  <si>
    <t xml:space="preserve">7. Cross-Company — 2024A/2025E/2026E side-by-side</t>
  </si>
  <si>
    <t xml:space="preserve">8. Bubble Analysis — History, scale, self-funding, triggers, scenarios, watch list</t>
  </si>
  <si>
    <t xml:space="preserve">9. Charts — 6 visualizations (formula-linked)</t>
  </si>
  <si>
    <t xml:space="preserve">Revenue &amp; AI/Cloud Detail (2013-2031E)</t>
  </si>
  <si>
    <t xml:space="preserve">A. Total Revenue ($mm)</t>
  </si>
  <si>
    <t xml:space="preserve">Company</t>
  </si>
  <si>
    <t xml:space="preserve">B. Revenue YoY %</t>
  </si>
  <si>
    <t xml:space="preserve">C. Cloud/AI Proxy Revenue ($mm) — AWS|GCloud|Azure|OCI|Ads</t>
  </si>
  <si>
    <t xml:space="preserve">Capex &amp; Depreciation (2013-2031E)</t>
  </si>
  <si>
    <t xml:space="preserve">A. Capex ($mm)</t>
  </si>
  <si>
    <t xml:space="preserve">B. Capex YoY %</t>
  </si>
  <si>
    <t xml:space="preserve">C. Capex / Revenue %</t>
  </si>
  <si>
    <t xml:space="preserve">D. D&amp;A ($mm)</t>
  </si>
  <si>
    <t xml:space="preserve">E. D&amp;A / Revenue %</t>
  </si>
  <si>
    <t xml:space="preserve">F. D&amp;A YoY %</t>
  </si>
  <si>
    <t xml:space="preserve">FCF &amp; Cash Quality (2013-2031E)</t>
  </si>
  <si>
    <t xml:space="preserve">A. CFO ($mm)</t>
  </si>
  <si>
    <t xml:space="preserve">B. FCF ($mm)</t>
  </si>
  <si>
    <t xml:space="preserve">C. FCF Margin %</t>
  </si>
  <si>
    <t xml:space="preserve">D. FCF / Net Income %</t>
  </si>
  <si>
    <t xml:space="preserve">E. Buybacks ($mm)</t>
  </si>
  <si>
    <t xml:space="preserve">F. Capex / CFO %</t>
  </si>
  <si>
    <t xml:space="preserve">EPS, OpMargin &amp; Profitability (2013-2031E)</t>
  </si>
  <si>
    <t xml:space="preserve">A. Operating Income ($mm)</t>
  </si>
  <si>
    <t xml:space="preserve">B. Operating Margin %</t>
  </si>
  <si>
    <t xml:space="preserve">C. Net Income ($mm)</t>
  </si>
  <si>
    <t xml:space="preserve">D. EPS ($)</t>
  </si>
  <si>
    <t xml:space="preserve">E. EPS YoY %</t>
  </si>
  <si>
    <t xml:space="preserve">F. Diluted Shares (mm)</t>
  </si>
  <si>
    <t xml:space="preserve">G. SBC ($mm)</t>
  </si>
  <si>
    <t xml:space="preserve">Burry Bear Case — GPU Useful Life Compression (2026E EPS)</t>
  </si>
  <si>
    <t xml:space="preserve">THESIS: 5-6yr accounting life vs ~3yr economic life. If compressed, D&amp;A accelerates → EPS declines. Yellow tax cells are editable.</t>
  </si>
  <si>
    <t xml:space="preserve">MSFT Tax</t>
  </si>
  <si>
    <t xml:space="preserve">AMZN Tax</t>
  </si>
  <si>
    <t xml:space="preserve">GOOGL Tax</t>
  </si>
  <si>
    <t xml:space="preserve">META Tax</t>
  </si>
  <si>
    <t xml:space="preserve">ORCL Tax</t>
  </si>
  <si>
    <t xml:space="preserve">Base EPS</t>
  </si>
  <si>
    <t xml:space="preserve">NI</t>
  </si>
  <si>
    <t xml:space="preserve">Tax</t>
  </si>
  <si>
    <t xml:space="preserve">+50% Extra</t>
  </si>
  <si>
    <t xml:space="preserve">+50% Hit</t>
  </si>
  <si>
    <t xml:space="preserve">+50% Adj EPS</t>
  </si>
  <si>
    <t xml:space="preserve">+50% Impact</t>
  </si>
  <si>
    <t xml:space="preserve">+100% Extra</t>
  </si>
  <si>
    <t xml:space="preserve">+100% Hit</t>
  </si>
  <si>
    <t xml:space="preserve">+100% Adj EPS</t>
  </si>
  <si>
    <t xml:space="preserve">+100% Impact</t>
  </si>
  <si>
    <t xml:space="preserve">Rating</t>
  </si>
  <si>
    <t xml:space="preserve">Cross-Company Comparison: 2024A / 2025E / 2026E</t>
  </si>
  <si>
    <t xml:space="preserve">Revenue ($mm)</t>
  </si>
  <si>
    <t xml:space="preserve">Rev YoY %</t>
  </si>
  <si>
    <t xml:space="preserve">OpInc ($mm)</t>
  </si>
  <si>
    <t xml:space="preserve">OpMargin %</t>
  </si>
  <si>
    <t xml:space="preserve">NI ($mm)</t>
  </si>
  <si>
    <t xml:space="preserve">EPS</t>
  </si>
  <si>
    <t xml:space="preserve">EPS YoY %</t>
  </si>
  <si>
    <t xml:space="preserve">Capex ($mm)</t>
  </si>
  <si>
    <t xml:space="preserve">Capex/Rev %</t>
  </si>
  <si>
    <t xml:space="preserve">D&amp;A ($mm)</t>
  </si>
  <si>
    <t xml:space="preserve">D&amp;A/Rev %</t>
  </si>
  <si>
    <t xml:space="preserve">CFO ($mm)</t>
  </si>
  <si>
    <t xml:space="preserve">FCF ($mm)</t>
  </si>
  <si>
    <t xml:space="preserve">FCF Margin %</t>
  </si>
  <si>
    <t xml:space="preserve">Shares (mm)</t>
  </si>
  <si>
    <t xml:space="preserve">Is the AI Capex a Bubble? When Might it Burst?</t>
  </si>
  <si>
    <t xml:space="preserve">A. Self-Funding: CFO - Capex Gap (formula-linked)</t>
  </si>
  <si>
    <t xml:space="preserve">Company / Metric</t>
  </si>
  <si>
    <t xml:space="preserve">MSFT CFO</t>
  </si>
  <si>
    <t xml:space="preserve">MSFT Capex(-)</t>
  </si>
  <si>
    <t xml:space="preserve">MSFT GAP</t>
  </si>
  <si>
    <t xml:space="preserve">MSFT Capex/CFO</t>
  </si>
  <si>
    <t xml:space="preserve">AMZN CFO</t>
  </si>
  <si>
    <t xml:space="preserve">AMZN Capex(-)</t>
  </si>
  <si>
    <t xml:space="preserve">AMZN GAP</t>
  </si>
  <si>
    <t xml:space="preserve">AMZN Capex/CFO</t>
  </si>
  <si>
    <t xml:space="preserve">GOOGL CFO</t>
  </si>
  <si>
    <t xml:space="preserve">GOOGL Capex(-)</t>
  </si>
  <si>
    <t xml:space="preserve">GOOGL GAP</t>
  </si>
  <si>
    <t xml:space="preserve">GOOGL Capex/CFO</t>
  </si>
  <si>
    <t xml:space="preserve">META CFO</t>
  </si>
  <si>
    <t xml:space="preserve">META Capex(-)</t>
  </si>
  <si>
    <t xml:space="preserve">META GAP</t>
  </si>
  <si>
    <t xml:space="preserve">META Capex/CFO</t>
  </si>
  <si>
    <t xml:space="preserve">ORCL CFO</t>
  </si>
  <si>
    <t xml:space="preserve">ORCL Capex(-)</t>
  </si>
  <si>
    <t xml:space="preserve">ORCL GAP</t>
  </si>
  <si>
    <t xml:space="preserve">ORCL Capex/CFO</t>
  </si>
  <si>
    <t xml:space="preserve">B. 2026E Aggregate Capex (formula-summed)</t>
  </si>
  <si>
    <t xml:space="preserve">Total 2026E Capex ($mm)</t>
  </si>
  <si>
    <t xml:space="preserve">C. Trigger Framework + Scenarios</t>
  </si>
  <si>
    <t xml:space="preserve">D&amp;A Wave (2027-28)</t>
  </si>
  <si>
    <t xml:space="preserve">85%</t>
  </si>
  <si>
    <t xml:space="preserve">HIGH — ORCL FY27E EPS -17% per model; all 5 names face D&amp;A surge; triggers P/E re-rating</t>
  </si>
  <si>
    <t xml:space="preserve">Power Constraint (2026-27)</t>
  </si>
  <si>
    <t xml:space="preserve">70%</t>
  </si>
  <si>
    <t xml:space="preserve">MIXED — acts as capex brake; delays D&amp;A; but proves plans exceed physics</t>
  </si>
  <si>
    <t xml:space="preserve">Macro Shock (6-12mo)</t>
  </si>
  <si>
    <t xml:space="preserve">20-30%</t>
  </si>
  <si>
    <t xml:space="preserve">MEDIUM — 10-15% correction; not fatal</t>
  </si>
  <si>
    <t xml:space="preserve">Demand Disappointment (12-24mo)</t>
  </si>
  <si>
    <t xml:space="preserve">15-25%</t>
  </si>
  <si>
    <t xml:space="preserve">HIGH — breaks thesis; 30-40% multiple compression</t>
  </si>
  <si>
    <t xml:space="preserve">Customer Crack (ongoing)</t>
  </si>
  <si>
    <t xml:space="preserve">10-15%</t>
  </si>
  <si>
    <t xml:space="preserve">EXTREME — ORCL -50%+; AMZN/GOOGL write-downs $20-50B</t>
  </si>
  <si>
    <t xml:space="preserve">Bull 30% (2026H2-28+)</t>
  </si>
  <si>
    <t xml:space="preserve">AI apps explode. FCF recovers 2028. Multiples hold. Winners: MSFT/GOOGL/AMZN.</t>
  </si>
  <si>
    <t xml:space="preserve">Base 45% (2027H1-28H1)</t>
  </si>
  <si>
    <t xml:space="preserve">D&amp;A wave hits EPS. ORCL -17% materializes. Multiples 30x→22-25x. Stocks -15-25%.</t>
  </si>
  <si>
    <t xml:space="preserve">Bear 25% (2026Q4-28)</t>
  </si>
  <si>
    <t xml:space="preserve">Customer crack + macro. ORCL -50%+. AMZN write-down $20-40B. AI sector -30-40%.</t>
  </si>
  <si>
    <t xml:space="preserve">D. Circular Financing Warning (GS Q1'26 insight)</t>
  </si>
  <si>
    <t xml:space="preserve">• GOOGL: $36.8B equity gain on Anthropic → Anthropic spends on GOOGL TPUs → revenue + gain on same flow</t>
  </si>
  <si>
    <t xml:space="preserve">• AMZN: $16.8B gain on Anthropic → Anthropic uses 5GW Trainium → same circular structure</t>
  </si>
  <si>
    <t xml:space="preserve">• MSFT: $5.9B OpenAI-related gains. OpenAI is simultaneously MSFT's largest Azure customer</t>
  </si>
  <si>
    <t xml:space="preserve">• 'Other income' = 34% of hyperscaler Q1'26 profit. Strip it → EPS growth 61%→~25% (GS Exhibit 16)</t>
  </si>
  <si>
    <t xml:space="preserve">• Mirrors 1999 Cisco vendor financing. When AI labs stumble: lost customer + investment write-down simultaneously</t>
  </si>
  <si>
    <t xml:space="preserve">• GS: reward for EPS beats is 20bp — smallest in 25 years. Market already skeptical of EPS quality</t>
  </si>
  <si>
    <t xml:space="preserve">Visual Summary (2013-2031)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</si>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</sst>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\$#,##0.00;&quot;($&quot;#,##0.00\);\-"/>
    <numFmt numFmtId="167" formatCode="0.00"/>
    <numFmt numFmtId="168" formatCode="#,##0;\(#,##0\);\-"/>
    <numFmt numFmtId="169" formatCode="0.0%;\(0.0%\);\-"/>
    <numFmt numFmtId="170" formatCode="0%;\(0%\);\-"/>
    <numFmt numFmtId="171" formatCode="0.0%"/>
    <numFmt numFmtId="172" formatCode="\$0.00"/>
    <numFmt numFmtId="173" formatCode="\$0.00;&quot;($&quot;0.00\);\-"/>
    <numFmt numFmtId="174" formatCode="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7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7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F5496"/>
        <bgColor rgb="FF1F3864"/>
      </patternFill>
    </fill>
    <fill>
      <patternFill patternType="solid">
        <fgColor rgb="FF0078D4"/>
        <bgColor rgb="FF0668E1"/>
      </patternFill>
    </fill>
    <fill>
      <patternFill patternType="solid">
        <fgColor rgb="FFF2F2F2"/>
        <bgColor rgb="FFF9F9F9"/>
      </patternFill>
    </fill>
    <fill>
      <patternFill patternType="solid">
        <fgColor rgb="FFFF9900"/>
        <bgColor rgb="FFFFCC00"/>
      </patternFill>
    </fill>
    <fill>
      <patternFill patternType="solid">
        <fgColor rgb="FF4285F4"/>
        <bgColor rgb="FF0078D4"/>
      </patternFill>
    </fill>
    <fill>
      <patternFill patternType="solid">
        <fgColor rgb="FF0668E1"/>
        <bgColor rgb="FF0078D4"/>
      </patternFill>
    </fill>
    <fill>
      <patternFill patternType="solid">
        <fgColor rgb="FFF80000"/>
        <bgColor rgb="FFC00000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F8CBAD"/>
        <bgColor rgb="FFE0BDBC"/>
      </patternFill>
    </fill>
    <fill>
      <patternFill patternType="solid">
        <fgColor rgb="FF404040"/>
        <bgColor rgb="FF1F386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2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8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AB4744"/>
      <rgbColor rgb="FFBE4B48"/>
      <rgbColor rgb="FF0078D4"/>
      <rgbColor rgb="FFBFBFBF"/>
      <rgbColor rgb="FF878787"/>
      <rgbColor rgb="FF9999FF"/>
      <rgbColor rgb="FF923C3A"/>
      <rgbColor rgb="FFF9F9F9"/>
      <rgbColor rgb="FFF2F2F2"/>
      <rgbColor rgb="FF660066"/>
      <rgbColor rgb="FFD09493"/>
      <rgbColor rgb="FF0668E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DCB7B6"/>
      <rgbColor rgb="FFE0BDBC"/>
      <rgbColor rgb="FFF8CBAD"/>
      <rgbColor rgb="FF4285F4"/>
      <rgbColor rgb="FF33CCCC"/>
      <rgbColor rgb="FF99CC00"/>
      <rgbColor rgb="FFFFCC00"/>
      <rgbColor rgb="FFFF9900"/>
      <rgbColor rgb="FFC0504D"/>
      <rgbColor rgb="FF595959"/>
      <rgbColor rgb="FFCC8F8E"/>
      <rgbColor rgb="FF1F3864"/>
      <rgbColor rgb="FF339966"/>
      <rgbColor rgb="FF003300"/>
      <rgbColor rgb="FF333300"/>
      <rgbColor rgb="FFAA433F"/>
      <rgbColor rgb="FF903836"/>
      <rgbColor rgb="FF2F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Capex/Revenue % (2013-2031)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'9. Charts'!A5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903836"/>
            </a:solidFill>
            <a:ln w="4752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Charts'!$B$4:$T$4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Charts'!$B$5:$T$5</c:f>
              <c:numCache>
                <c:formatCode>0.0%</c:formatCode>
                <c:ptCount val="19"/>
                <c:pt idx="0">
                  <c:v>0.0546827833369729</c:v>
                </c:pt>
                <c:pt idx="1">
                  <c:v>0.0631672290488639</c:v>
                </c:pt>
                <c:pt idx="2">
                  <c:v>0.0635178456935243</c:v>
                </c:pt>
                <c:pt idx="3">
                  <c:v>0.104688232536334</c:v>
                </c:pt>
                <c:pt idx="4">
                  <c:v>0.105621770510816</c:v>
                </c:pt>
                <c:pt idx="5">
                  <c:v>0.123233055454875</c:v>
                </c:pt>
                <c:pt idx="6">
                  <c:v>0.134294319111909</c:v>
                </c:pt>
                <c:pt idx="7">
                  <c:v>0.132853197217075</c:v>
                </c:pt>
                <c:pt idx="8">
                  <c:v>0.143972205035458</c:v>
                </c:pt>
                <c:pt idx="9">
                  <c:v>0.147273919402835</c:v>
                </c:pt>
                <c:pt idx="10">
                  <c:v>0.150532052945757</c:v>
                </c:pt>
                <c:pt idx="11">
                  <c:v>0.227233785625117</c:v>
                </c:pt>
                <c:pt idx="12">
                  <c:v>0.313072368701282</c:v>
                </c:pt>
                <c:pt idx="13">
                  <c:v>0.442785313658101</c:v>
                </c:pt>
                <c:pt idx="14">
                  <c:v>0.633585893558086</c:v>
                </c:pt>
                <c:pt idx="15">
                  <c:v>0.618719161846711</c:v>
                </c:pt>
                <c:pt idx="16">
                  <c:v>0.542176336643655</c:v>
                </c:pt>
                <c:pt idx="17">
                  <c:v>0.466649535637693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'9. Charts'!A6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Charts'!$B$4:$T$4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Charts'!$B$6:$T$6</c:f>
              <c:numCache>
                <c:formatCode>0.0%</c:formatCode>
                <c:ptCount val="19"/>
                <c:pt idx="0">
                  <c:v>0.0462439391293836</c:v>
                </c:pt>
                <c:pt idx="1">
                  <c:v>0.0549734572146482</c:v>
                </c:pt>
                <c:pt idx="2">
                  <c:v>0.0428758599936826</c:v>
                </c:pt>
                <c:pt idx="3">
                  <c:v>0.0495341466463706</c:v>
                </c:pt>
                <c:pt idx="4">
                  <c:v>0.0565425657517457</c:v>
                </c:pt>
                <c:pt idx="5">
                  <c:v>0.0486158523232297</c:v>
                </c:pt>
                <c:pt idx="6">
                  <c:v>0.0452370937038806</c:v>
                </c:pt>
                <c:pt idx="7">
                  <c:v>0.0907776948899664</c:v>
                </c:pt>
                <c:pt idx="8">
                  <c:v>0.117908484489871</c:v>
                </c:pt>
                <c:pt idx="9">
                  <c:v>0.113468733401688</c:v>
                </c:pt>
                <c:pt idx="10">
                  <c:v>0.0837408770235827</c:v>
                </c:pt>
                <c:pt idx="11">
                  <c:v>0.121728825833635</c:v>
                </c:pt>
                <c:pt idx="12">
                  <c:v>0.178986894008291</c:v>
                </c:pt>
                <c:pt idx="13">
                  <c:v>0.24178963083243</c:v>
                </c:pt>
                <c:pt idx="14">
                  <c:v>0.285371750643553</c:v>
                </c:pt>
                <c:pt idx="15">
                  <c:v>0.266752546331369</c:v>
                </c:pt>
                <c:pt idx="16">
                  <c:v>0.251734248389078</c:v>
                </c:pt>
                <c:pt idx="17">
                  <c:v>0.2395580677502</c:v>
                </c:pt>
                <c:pt idx="18">
                  <c:v>0.229957313494435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'9. Charts'!A7</c:f>
              <c:strCache>
                <c:ptCount val="1"/>
                <c:pt idx="0">
                  <c:v>GOOGL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Charts'!$B$4:$T$4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Charts'!$B$7:$T$7</c:f>
              <c:numCache>
                <c:formatCode>0.0%</c:formatCode>
                <c:ptCount val="19"/>
                <c:pt idx="0">
                  <c:v>0.132531205533241</c:v>
                </c:pt>
                <c:pt idx="1">
                  <c:v>0.166042938743352</c:v>
                </c:pt>
                <c:pt idx="2">
                  <c:v>0.132219392177519</c:v>
                </c:pt>
                <c:pt idx="3">
                  <c:v>0.112803527118043</c:v>
                </c:pt>
                <c:pt idx="4">
                  <c:v>0.118930133958775</c:v>
                </c:pt>
                <c:pt idx="5">
                  <c:v>0.183739100563518</c:v>
                </c:pt>
                <c:pt idx="6">
                  <c:v>0.145486447913899</c:v>
                </c:pt>
                <c:pt idx="7">
                  <c:v>0.122069611619103</c:v>
                </c:pt>
                <c:pt idx="8">
                  <c:v>0.0956384370257378</c:v>
                </c:pt>
                <c:pt idx="9">
                  <c:v>0.111318926869281</c:v>
                </c:pt>
                <c:pt idx="10">
                  <c:v>0.104917467484726</c:v>
                </c:pt>
                <c:pt idx="11">
                  <c:v>0.150092280968407</c:v>
                </c:pt>
                <c:pt idx="12">
                  <c:v>0.227008013186508</c:v>
                </c:pt>
                <c:pt idx="13">
                  <c:v>0.37936186431271</c:v>
                </c:pt>
                <c:pt idx="14">
                  <c:v>0.438101591905905</c:v>
                </c:pt>
                <c:pt idx="15">
                  <c:v>0.406693608510996</c:v>
                </c:pt>
                <c:pt idx="16">
                  <c:v>0.36738908872284</c:v>
                </c:pt>
                <c:pt idx="17">
                  <c:v>0.341152582570988</c:v>
                </c:pt>
                <c:pt idx="18">
                  <c:v>0.320846076371651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'9. Charts'!A8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Charts'!$B$4:$T$4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Charts'!$B$8:$T$8</c:f>
              <c:numCache>
                <c:formatCode>0.0%</c:formatCode>
                <c:ptCount val="19"/>
                <c:pt idx="0">
                  <c:v>0.173018292682927</c:v>
                </c:pt>
                <c:pt idx="1">
                  <c:v>0.146879512273384</c:v>
                </c:pt>
                <c:pt idx="2">
                  <c:v>0.140737435153679</c:v>
                </c:pt>
                <c:pt idx="3">
                  <c:v>0.162493668138071</c:v>
                </c:pt>
                <c:pt idx="4">
                  <c:v>0.165596634934691</c:v>
                </c:pt>
                <c:pt idx="5">
                  <c:v>0.25036713349332</c:v>
                </c:pt>
                <c:pt idx="6">
                  <c:v>0.213617364367402</c:v>
                </c:pt>
                <c:pt idx="7">
                  <c:v>0.17582532629179</c:v>
                </c:pt>
                <c:pt idx="8">
                  <c:v>0.157442189792163</c:v>
                </c:pt>
                <c:pt idx="9">
                  <c:v>0.267440763577425</c:v>
                </c:pt>
                <c:pt idx="10">
                  <c:v>0.200480352258323</c:v>
                </c:pt>
                <c:pt idx="11">
                  <c:v>0.226480243161094</c:v>
                </c:pt>
                <c:pt idx="12">
                  <c:v>0.346781777921529</c:v>
                </c:pt>
                <c:pt idx="13">
                  <c:v>0.531335014999085</c:v>
                </c:pt>
                <c:pt idx="14">
                  <c:v>0.540824903792468</c:v>
                </c:pt>
                <c:pt idx="15">
                  <c:v>0.519399482957318</c:v>
                </c:pt>
                <c:pt idx="16">
                  <c:v>0.482963614978958</c:v>
                </c:pt>
                <c:pt idx="17">
                  <c:v>0.457132170555652</c:v>
                </c:pt>
                <c:pt idx="18">
                  <c:v>0.438865126673392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'9. Charts'!A9</c:f>
              <c:strCache>
                <c:ptCount val="1"/>
                <c:pt idx="0">
                  <c:v>ORCL</c:v>
                </c:pt>
              </c:strCache>
            </c:strRef>
          </c:tx>
          <c:spPr>
            <a:solidFill>
              <a:srgbClr val="dcb7b6"/>
            </a:solidFill>
            <a:ln w="4752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Charts'!$B$4:$T$4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Charts'!$B$9:$T$9</c:f>
              <c:numCache>
                <c:formatCode>0.0%</c:formatCode>
                <c:ptCount val="19"/>
                <c:pt idx="0">
                  <c:v>0.0174482592006013</c:v>
                </c:pt>
                <c:pt idx="1">
                  <c:v>0.0151416264195275</c:v>
                </c:pt>
                <c:pt idx="2">
                  <c:v>0.0363631610592633</c:v>
                </c:pt>
                <c:pt idx="3">
                  <c:v>0.0320857058045713</c:v>
                </c:pt>
                <c:pt idx="4">
                  <c:v>0.0533259452756009</c:v>
                </c:pt>
                <c:pt idx="5">
                  <c:v>0.0440262737440085</c:v>
                </c:pt>
                <c:pt idx="6">
                  <c:v>0.0419987349778621</c:v>
                </c:pt>
                <c:pt idx="7">
                  <c:v>0.0400276405702147</c:v>
                </c:pt>
                <c:pt idx="8">
                  <c:v>0.0527407919764828</c:v>
                </c:pt>
                <c:pt idx="9">
                  <c:v>0.106288730237271</c:v>
                </c:pt>
                <c:pt idx="10">
                  <c:v>0.174056650985887</c:v>
                </c:pt>
                <c:pt idx="11">
                  <c:v>0.12964256717207</c:v>
                </c:pt>
                <c:pt idx="12">
                  <c:v>0.369605742260318</c:v>
                </c:pt>
                <c:pt idx="13">
                  <c:v>0.77105819496409</c:v>
                </c:pt>
                <c:pt idx="14">
                  <c:v>0.587296954946508</c:v>
                </c:pt>
                <c:pt idx="15">
                  <c:v>0.556972873780193</c:v>
                </c:pt>
                <c:pt idx="16">
                  <c:v>0.490629927570763</c:v>
                </c:pt>
                <c:pt idx="17">
                  <c:v>0.358167828118745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120764"/>
        <c:axId val="67173660"/>
      </c:lineChart>
      <c:catAx>
        <c:axId val="791207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73660"/>
        <c:crosses val="autoZero"/>
        <c:auto val="1"/>
        <c:lblAlgn val="ctr"/>
        <c:lblOffset val="100"/>
        <c:noMultiLvlLbl val="0"/>
      </c:catAx>
      <c:valAx>
        <c:axId val="671736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207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FCF Margin % (2013-2031)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'9. Charts'!A14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903836"/>
            </a:solidFill>
            <a:ln w="4752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Charts'!$B$13:$T$13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Charts'!$B$14:$T$14</c:f>
              <c:numCache>
                <c:formatCode>0.0%</c:formatCode>
                <c:ptCount val="19"/>
                <c:pt idx="0">
                  <c:v>0.315688062788218</c:v>
                </c:pt>
                <c:pt idx="1">
                  <c:v>0.308016537491507</c:v>
                </c:pt>
                <c:pt idx="2">
                  <c:v>0.247232314597136</c:v>
                </c:pt>
                <c:pt idx="3">
                  <c:v>0.285900140646976</c:v>
                </c:pt>
                <c:pt idx="4">
                  <c:v>0.303476198858871</c:v>
                </c:pt>
                <c:pt idx="5">
                  <c:v>0.274411018484958</c:v>
                </c:pt>
                <c:pt idx="6">
                  <c:v>0.280389056204954</c:v>
                </c:pt>
                <c:pt idx="7">
                  <c:v>0.291402999685348</c:v>
                </c:pt>
                <c:pt idx="8">
                  <c:v>0.312574365808386</c:v>
                </c:pt>
                <c:pt idx="9">
                  <c:v>0.301785444091391</c:v>
                </c:pt>
                <c:pt idx="10">
                  <c:v>0.262756293797041</c:v>
                </c:pt>
                <c:pt idx="11">
                  <c:v>0.256394774846811</c:v>
                </c:pt>
                <c:pt idx="12">
                  <c:v>0.170244636594681</c:v>
                </c:pt>
                <c:pt idx="13">
                  <c:v>0.0870776441882145</c:v>
                </c:pt>
                <c:pt idx="14">
                  <c:v>-0.0340107047798638</c:v>
                </c:pt>
                <c:pt idx="15">
                  <c:v>0.0168509930121888</c:v>
                </c:pt>
                <c:pt idx="16">
                  <c:v>0.107386474170842</c:v>
                </c:pt>
                <c:pt idx="17">
                  <c:v>0.205175364126026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'9. Charts'!A15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Charts'!$B$13:$T$13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Charts'!$B$15:$T$15</c:f>
              <c:numCache>
                <c:formatCode>0.0%</c:formatCode>
                <c:ptCount val="19"/>
                <c:pt idx="0">
                  <c:v>0.0272789545082132</c:v>
                </c:pt>
                <c:pt idx="1">
                  <c:v>0.0219062259800154</c:v>
                </c:pt>
                <c:pt idx="2">
                  <c:v>0.0685200725936531</c:v>
                </c:pt>
                <c:pt idx="3">
                  <c:v>0.0774706405759374</c:v>
                </c:pt>
                <c:pt idx="4">
                  <c:v>0.0470972529882046</c:v>
                </c:pt>
                <c:pt idx="5">
                  <c:v>0.0833107902115618</c:v>
                </c:pt>
                <c:pt idx="6">
                  <c:v>0.0920605157527752</c:v>
                </c:pt>
                <c:pt idx="7">
                  <c:v>0.0803441916366198</c:v>
                </c:pt>
                <c:pt idx="8">
                  <c:v>-0.0193030551996288</c:v>
                </c:pt>
                <c:pt idx="9">
                  <c:v>-0.0225085265465978</c:v>
                </c:pt>
                <c:pt idx="10">
                  <c:v>0.0640465565385318</c:v>
                </c:pt>
                <c:pt idx="11">
                  <c:v>0.0599082386172152</c:v>
                </c:pt>
                <c:pt idx="12">
                  <c:v>0.0156139283940836</c:v>
                </c:pt>
                <c:pt idx="13">
                  <c:v>-0.023079605254962</c:v>
                </c:pt>
                <c:pt idx="14">
                  <c:v>-0.0482743797157437</c:v>
                </c:pt>
                <c:pt idx="15">
                  <c:v>-0.00204741549459708</c:v>
                </c:pt>
                <c:pt idx="16">
                  <c:v>0.0380208742034563</c:v>
                </c:pt>
                <c:pt idx="17">
                  <c:v>0.0676854238008576</c:v>
                </c:pt>
                <c:pt idx="18">
                  <c:v>0.0865017916852643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'9. Charts'!A16</c:f>
              <c:strCache>
                <c:ptCount val="1"/>
                <c:pt idx="0">
                  <c:v>GOOGL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Charts'!$B$13:$T$13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Charts'!$B$16:$T$16</c:f>
              <c:numCache>
                <c:formatCode>0.0%</c:formatCode>
                <c:ptCount val="19"/>
                <c:pt idx="0">
                  <c:v>0.202201048289775</c:v>
                </c:pt>
                <c:pt idx="1">
                  <c:v>0.171406493841002</c:v>
                </c:pt>
                <c:pt idx="2">
                  <c:v>0.212217791942818</c:v>
                </c:pt>
                <c:pt idx="3">
                  <c:v>0.286390021269054</c:v>
                </c:pt>
                <c:pt idx="4">
                  <c:v>0.215660096522484</c:v>
                </c:pt>
                <c:pt idx="5">
                  <c:v>0.16687740737763</c:v>
                </c:pt>
                <c:pt idx="6">
                  <c:v>0.191354096517296</c:v>
                </c:pt>
                <c:pt idx="7">
                  <c:v>0.234721438472116</c:v>
                </c:pt>
                <c:pt idx="8">
                  <c:v>0.260102392125355</c:v>
                </c:pt>
                <c:pt idx="9">
                  <c:v>0.212172425009546</c:v>
                </c:pt>
                <c:pt idx="10">
                  <c:v>0.226077932555613</c:v>
                </c:pt>
                <c:pt idx="11">
                  <c:v>0.20788645155392</c:v>
                </c:pt>
                <c:pt idx="12">
                  <c:v>0.181875502685957</c:v>
                </c:pt>
                <c:pt idx="13">
                  <c:v>0.0547867344585653</c:v>
                </c:pt>
                <c:pt idx="14">
                  <c:v>0.038886349386506</c:v>
                </c:pt>
                <c:pt idx="15">
                  <c:v>0.0964950267850896</c:v>
                </c:pt>
                <c:pt idx="16">
                  <c:v>0.152957839304851</c:v>
                </c:pt>
                <c:pt idx="17">
                  <c:v>0.191313724274643</c:v>
                </c:pt>
                <c:pt idx="18">
                  <c:v>0.22051979519368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'9. Charts'!A17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Charts'!$B$13:$T$13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Charts'!$B$17:$T$17</c:f>
              <c:numCache>
                <c:formatCode>0.0%</c:formatCode>
                <c:ptCount val="19"/>
                <c:pt idx="0">
                  <c:v>0.363313008130081</c:v>
                </c:pt>
                <c:pt idx="1">
                  <c:v>0.294946253810364</c:v>
                </c:pt>
                <c:pt idx="2">
                  <c:v>0.339376359680928</c:v>
                </c:pt>
                <c:pt idx="3">
                  <c:v>0.41862652869238</c:v>
                </c:pt>
                <c:pt idx="4">
                  <c:v>0.430078960962291</c:v>
                </c:pt>
                <c:pt idx="5">
                  <c:v>0.275063576775673</c:v>
                </c:pt>
                <c:pt idx="6">
                  <c:v>0.300021924706315</c:v>
                </c:pt>
                <c:pt idx="7">
                  <c:v>0.274899378824186</c:v>
                </c:pt>
                <c:pt idx="8">
                  <c:v>0.331691102273402</c:v>
                </c:pt>
                <c:pt idx="9">
                  <c:v>0.165416048503975</c:v>
                </c:pt>
                <c:pt idx="10">
                  <c:v>0.326669187033454</c:v>
                </c:pt>
                <c:pt idx="11">
                  <c:v>0.328705167173252</c:v>
                </c:pt>
                <c:pt idx="12">
                  <c:v>0.22943796183415</c:v>
                </c:pt>
                <c:pt idx="13">
                  <c:v>0.175043918782818</c:v>
                </c:pt>
                <c:pt idx="14">
                  <c:v>0.131811792884918</c:v>
                </c:pt>
                <c:pt idx="15">
                  <c:v>0.161332271886239</c:v>
                </c:pt>
                <c:pt idx="16">
                  <c:v>0.201986994195707</c:v>
                </c:pt>
                <c:pt idx="17">
                  <c:v>0.232222402165681</c:v>
                </c:pt>
                <c:pt idx="18">
                  <c:v>0.237833348928187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'9. Charts'!A18</c:f>
              <c:strCache>
                <c:ptCount val="1"/>
                <c:pt idx="0">
                  <c:v>ORCL</c:v>
                </c:pt>
              </c:strCache>
            </c:strRef>
          </c:tx>
          <c:spPr>
            <a:solidFill>
              <a:srgbClr val="dcb7b6"/>
            </a:solidFill>
            <a:ln w="4752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Charts'!$B$13:$T$13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Charts'!$B$18:$T$18</c:f>
              <c:numCache>
                <c:formatCode>0.0%</c:formatCode>
                <c:ptCount val="19"/>
                <c:pt idx="0">
                  <c:v>0.364400182535635</c:v>
                </c:pt>
                <c:pt idx="1">
                  <c:v>0.374389766349041</c:v>
                </c:pt>
                <c:pt idx="2">
                  <c:v>0.338404830993648</c:v>
                </c:pt>
                <c:pt idx="3">
                  <c:v>0.333837061823677</c:v>
                </c:pt>
                <c:pt idx="4">
                  <c:v>0.319375181403203</c:v>
                </c:pt>
                <c:pt idx="5">
                  <c:v>0.346174329842002</c:v>
                </c:pt>
                <c:pt idx="6">
                  <c:v>0.326148007590133</c:v>
                </c:pt>
                <c:pt idx="7">
                  <c:v>0.296240370588386</c:v>
                </c:pt>
                <c:pt idx="8">
                  <c:v>0.339739630937971</c:v>
                </c:pt>
                <c:pt idx="9">
                  <c:v>0.118493909191584</c:v>
                </c:pt>
                <c:pt idx="10">
                  <c:v>0.169572615353818</c:v>
                </c:pt>
                <c:pt idx="11">
                  <c:v>0.222937633352845</c:v>
                </c:pt>
                <c:pt idx="12">
                  <c:v>-0.00686423108416523</c:v>
                </c:pt>
                <c:pt idx="13">
                  <c:v>-0.392719666204713</c:v>
                </c:pt>
                <c:pt idx="14">
                  <c:v>-0.207778894870831</c:v>
                </c:pt>
                <c:pt idx="15">
                  <c:v>-0.157332154596774</c:v>
                </c:pt>
                <c:pt idx="16">
                  <c:v>-0.0878947867996312</c:v>
                </c:pt>
                <c:pt idx="17">
                  <c:v>0.0997238124658188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828151"/>
        <c:axId val="57671085"/>
      </c:lineChart>
      <c:catAx>
        <c:axId val="42828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71085"/>
        <c:crosses val="autoZero"/>
        <c:auto val="1"/>
        <c:lblAlgn val="ctr"/>
        <c:lblOffset val="100"/>
        <c:noMultiLvlLbl val="0"/>
      </c:catAx>
      <c:valAx>
        <c:axId val="576710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281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Capex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'9. Charts'!A23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923c3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Charts'!$B$22:$T$22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Charts'!$B$23:$T$23</c:f>
              <c:numCache>
                <c:formatCode>#,##0</c:formatCode>
                <c:ptCount val="19"/>
                <c:pt idx="0">
                  <c:v>4257</c:v>
                </c:pt>
                <c:pt idx="1">
                  <c:v>5485</c:v>
                </c:pt>
                <c:pt idx="2">
                  <c:v>5944</c:v>
                </c:pt>
                <c:pt idx="3">
                  <c:v>8932</c:v>
                </c:pt>
                <c:pt idx="4">
                  <c:v>10200</c:v>
                </c:pt>
                <c:pt idx="5">
                  <c:v>13600</c:v>
                </c:pt>
                <c:pt idx="6">
                  <c:v>16900</c:v>
                </c:pt>
                <c:pt idx="7">
                  <c:v>19000</c:v>
                </c:pt>
                <c:pt idx="8">
                  <c:v>24200</c:v>
                </c:pt>
                <c:pt idx="9">
                  <c:v>29200</c:v>
                </c:pt>
                <c:pt idx="10">
                  <c:v>31900</c:v>
                </c:pt>
                <c:pt idx="11">
                  <c:v>55700</c:v>
                </c:pt>
                <c:pt idx="12">
                  <c:v>88200</c:v>
                </c:pt>
                <c:pt idx="13">
                  <c:v>145871.3</c:v>
                </c:pt>
                <c:pt idx="14">
                  <c:v>245263.45</c:v>
                </c:pt>
                <c:pt idx="15">
                  <c:v>286760.35</c:v>
                </c:pt>
                <c:pt idx="16">
                  <c:v>300210.91</c:v>
                </c:pt>
                <c:pt idx="17">
                  <c:v>304616.04</c:v>
                </c:pt>
                <c:pt idx="18">
                  <c:v>0</c:v>
                </c:pt>
              </c:numCache>
            </c:numRef>
          </c:val>
        </c:ser>
        <c:ser>
          <c:idx val="1"/>
          <c:order val="1"/>
          <c:tx>
            <c:strRef>
              <c:f>'9. Charts'!A24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Charts'!$B$22:$T$22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Charts'!$B$24:$T$24</c:f>
              <c:numCache>
                <c:formatCode>#,##0</c:formatCode>
                <c:ptCount val="19"/>
                <c:pt idx="0">
                  <c:v>3443</c:v>
                </c:pt>
                <c:pt idx="1">
                  <c:v>4892</c:v>
                </c:pt>
                <c:pt idx="2">
                  <c:v>4588</c:v>
                </c:pt>
                <c:pt idx="3">
                  <c:v>6736</c:v>
                </c:pt>
                <c:pt idx="4">
                  <c:v>10057</c:v>
                </c:pt>
                <c:pt idx="5">
                  <c:v>11322</c:v>
                </c:pt>
                <c:pt idx="6">
                  <c:v>12690</c:v>
                </c:pt>
                <c:pt idx="7">
                  <c:v>35046</c:v>
                </c:pt>
                <c:pt idx="8">
                  <c:v>55396</c:v>
                </c:pt>
                <c:pt idx="9">
                  <c:v>58321</c:v>
                </c:pt>
                <c:pt idx="10">
                  <c:v>48133</c:v>
                </c:pt>
                <c:pt idx="11">
                  <c:v>77658</c:v>
                </c:pt>
                <c:pt idx="12">
                  <c:v>128320</c:v>
                </c:pt>
                <c:pt idx="13">
                  <c:v>200104.98</c:v>
                </c:pt>
                <c:pt idx="14">
                  <c:v>270141.72</c:v>
                </c:pt>
                <c:pt idx="15">
                  <c:v>283648.81</c:v>
                </c:pt>
                <c:pt idx="16">
                  <c:v>297831.25</c:v>
                </c:pt>
                <c:pt idx="17">
                  <c:v>312722.81</c:v>
                </c:pt>
                <c:pt idx="18">
                  <c:v>328358.95</c:v>
                </c:pt>
              </c:numCache>
            </c:numRef>
          </c:val>
        </c:ser>
        <c:ser>
          <c:idx val="2"/>
          <c:order val="2"/>
          <c:tx>
            <c:strRef>
              <c:f>'9. Charts'!A25</c:f>
              <c:strCache>
                <c:ptCount val="1"/>
                <c:pt idx="0">
                  <c:v>GOOGL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Charts'!$B$22:$T$22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Charts'!$B$25:$T$25</c:f>
              <c:numCache>
                <c:formatCode>#,##0</c:formatCode>
                <c:ptCount val="19"/>
                <c:pt idx="0">
                  <c:v>7358</c:v>
                </c:pt>
                <c:pt idx="1">
                  <c:v>10959</c:v>
                </c:pt>
                <c:pt idx="2">
                  <c:v>9915</c:v>
                </c:pt>
                <c:pt idx="3">
                  <c:v>10183</c:v>
                </c:pt>
                <c:pt idx="4">
                  <c:v>13184</c:v>
                </c:pt>
                <c:pt idx="5">
                  <c:v>25139</c:v>
                </c:pt>
                <c:pt idx="6">
                  <c:v>23548</c:v>
                </c:pt>
                <c:pt idx="7">
                  <c:v>22281</c:v>
                </c:pt>
                <c:pt idx="8">
                  <c:v>24640</c:v>
                </c:pt>
                <c:pt idx="9">
                  <c:v>31485</c:v>
                </c:pt>
                <c:pt idx="10">
                  <c:v>32251</c:v>
                </c:pt>
                <c:pt idx="11">
                  <c:v>52535</c:v>
                </c:pt>
                <c:pt idx="12">
                  <c:v>91447</c:v>
                </c:pt>
                <c:pt idx="13">
                  <c:v>185234.28</c:v>
                </c:pt>
                <c:pt idx="14">
                  <c:v>259327.99</c:v>
                </c:pt>
                <c:pt idx="15">
                  <c:v>285260.79</c:v>
                </c:pt>
                <c:pt idx="16">
                  <c:v>299523.83</c:v>
                </c:pt>
                <c:pt idx="17">
                  <c:v>314500.02</c:v>
                </c:pt>
                <c:pt idx="18">
                  <c:v>330225.02</c:v>
                </c:pt>
              </c:numCache>
            </c:numRef>
          </c:val>
        </c:ser>
        <c:ser>
          <c:idx val="3"/>
          <c:order val="3"/>
          <c:tx>
            <c:strRef>
              <c:f>'9. Charts'!A26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Charts'!$B$22:$T$22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Charts'!$B$26:$T$26</c:f>
              <c:numCache>
                <c:formatCode>#,##0</c:formatCode>
                <c:ptCount val="19"/>
                <c:pt idx="0">
                  <c:v>1362</c:v>
                </c:pt>
                <c:pt idx="1">
                  <c:v>1831</c:v>
                </c:pt>
                <c:pt idx="2">
                  <c:v>2523</c:v>
                </c:pt>
                <c:pt idx="3">
                  <c:v>4491</c:v>
                </c:pt>
                <c:pt idx="4">
                  <c:v>6732</c:v>
                </c:pt>
                <c:pt idx="5">
                  <c:v>13980</c:v>
                </c:pt>
                <c:pt idx="6">
                  <c:v>15102</c:v>
                </c:pt>
                <c:pt idx="7">
                  <c:v>15115</c:v>
                </c:pt>
                <c:pt idx="8">
                  <c:v>18567</c:v>
                </c:pt>
                <c:pt idx="9">
                  <c:v>31186</c:v>
                </c:pt>
                <c:pt idx="10">
                  <c:v>27045</c:v>
                </c:pt>
                <c:pt idx="11">
                  <c:v>37256</c:v>
                </c:pt>
                <c:pt idx="12">
                  <c:v>69691</c:v>
                </c:pt>
                <c:pt idx="13">
                  <c:v>135583.71</c:v>
                </c:pt>
                <c:pt idx="14">
                  <c:v>165714.44</c:v>
                </c:pt>
                <c:pt idx="15">
                  <c:v>185600.17</c:v>
                </c:pt>
                <c:pt idx="16">
                  <c:v>196736.18</c:v>
                </c:pt>
                <c:pt idx="17">
                  <c:v>208540.35</c:v>
                </c:pt>
                <c:pt idx="18">
                  <c:v>221052.77</c:v>
                </c:pt>
              </c:numCache>
            </c:numRef>
          </c:val>
        </c:ser>
        <c:ser>
          <c:idx val="4"/>
          <c:order val="4"/>
          <c:tx>
            <c:strRef>
              <c:f>'9. Charts'!A27</c:f>
              <c:strCache>
                <c:ptCount val="1"/>
                <c:pt idx="0">
                  <c:v>ORCL</c:v>
                </c:pt>
              </c:strCache>
            </c:strRef>
          </c:tx>
          <c:spPr>
            <a:solidFill>
              <a:srgbClr val="e0bdb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Charts'!$B$22:$T$22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Charts'!$B$27:$T$27</c:f>
              <c:numCache>
                <c:formatCode>#,##0</c:formatCode>
                <c:ptCount val="19"/>
                <c:pt idx="0">
                  <c:v>650</c:v>
                </c:pt>
                <c:pt idx="1">
                  <c:v>580</c:v>
                </c:pt>
                <c:pt idx="2">
                  <c:v>1391</c:v>
                </c:pt>
                <c:pt idx="3">
                  <c:v>1189</c:v>
                </c:pt>
                <c:pt idx="4">
                  <c:v>2021</c:v>
                </c:pt>
                <c:pt idx="5">
                  <c:v>1736</c:v>
                </c:pt>
                <c:pt idx="6">
                  <c:v>1660</c:v>
                </c:pt>
                <c:pt idx="7">
                  <c:v>1564</c:v>
                </c:pt>
                <c:pt idx="8">
                  <c:v>2135</c:v>
                </c:pt>
                <c:pt idx="9">
                  <c:v>4511</c:v>
                </c:pt>
                <c:pt idx="10">
                  <c:v>8695</c:v>
                </c:pt>
                <c:pt idx="11">
                  <c:v>6866</c:v>
                </c:pt>
                <c:pt idx="12">
                  <c:v>21215</c:v>
                </c:pt>
                <c:pt idx="13">
                  <c:v>51882</c:v>
                </c:pt>
                <c:pt idx="14">
                  <c:v>52141.41</c:v>
                </c:pt>
                <c:pt idx="15">
                  <c:v>69869.49</c:v>
                </c:pt>
                <c:pt idx="16">
                  <c:v>81048.61</c:v>
                </c:pt>
                <c:pt idx="17">
                  <c:v>66459.86</c:v>
                </c:pt>
                <c:pt idx="18">
                  <c:v>0</c:v>
                </c:pt>
              </c:numCache>
            </c:numRef>
          </c:val>
        </c:ser>
        <c:gapWidth val="150"/>
        <c:overlap val="0"/>
        <c:axId val="38840260"/>
        <c:axId val="11655560"/>
      </c:barChart>
      <c:catAx>
        <c:axId val="38840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55560"/>
        <c:crosses val="autoZero"/>
        <c:auto val="1"/>
        <c:lblAlgn val="ctr"/>
        <c:lblOffset val="100"/>
        <c:noMultiLvlLbl val="0"/>
      </c:catAx>
      <c:valAx>
        <c:axId val="116555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402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YoY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'9. Charts'!A32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903836"/>
            </a:solidFill>
            <a:ln w="4752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Charts'!$B$31:$T$31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Charts'!$B$32:$T$32</c:f>
              <c:numCache>
                <c:formatCode>0.0%</c:formatCode>
                <c:ptCount val="19"/>
                <c:pt idx="1">
                  <c:v>0.115402895348688</c:v>
                </c:pt>
                <c:pt idx="2">
                  <c:v>0.0777008740916472</c:v>
                </c:pt>
                <c:pt idx="3">
                  <c:v>-0.0882667236589014</c:v>
                </c:pt>
                <c:pt idx="4">
                  <c:v>0.131868260665729</c:v>
                </c:pt>
                <c:pt idx="5">
                  <c:v>0.142786136624867</c:v>
                </c:pt>
                <c:pt idx="6">
                  <c:v>0.140295396882929</c:v>
                </c:pt>
                <c:pt idx="7">
                  <c:v>0.136455742472764</c:v>
                </c:pt>
                <c:pt idx="8">
                  <c:v>0.175317274411775</c:v>
                </c:pt>
                <c:pt idx="9">
                  <c:v>0.179560706296702</c:v>
                </c:pt>
                <c:pt idx="10">
                  <c:v>0.0688202955565642</c:v>
                </c:pt>
                <c:pt idx="11">
                  <c:v>0.156699620130713</c:v>
                </c:pt>
                <c:pt idx="12">
                  <c:v>0.149321562324067</c:v>
                </c:pt>
                <c:pt idx="13">
                  <c:v>0.169372293450327</c:v>
                </c:pt>
                <c:pt idx="14">
                  <c:v>0.175034689144228</c:v>
                </c:pt>
                <c:pt idx="15">
                  <c:v>0.197286820113401</c:v>
                </c:pt>
                <c:pt idx="16">
                  <c:v>0.19470416226216</c:v>
                </c:pt>
                <c:pt idx="17">
                  <c:v>0.178897421725549</c:v>
                </c:pt>
                <c:pt idx="18">
                  <c:v>-1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'9. Charts'!A33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Charts'!$B$31:$T$31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Charts'!$B$33:$T$33</c:f>
              <c:numCache>
                <c:formatCode>0.0%</c:formatCode>
                <c:ptCount val="19"/>
                <c:pt idx="1">
                  <c:v>0.195229205001813</c:v>
                </c:pt>
                <c:pt idx="2">
                  <c:v>0.202478075794149</c:v>
                </c:pt>
                <c:pt idx="3">
                  <c:v>0.270828154525048</c:v>
                </c:pt>
                <c:pt idx="4">
                  <c:v>0.307963261194085</c:v>
                </c:pt>
                <c:pt idx="5">
                  <c:v>0.309339615215949</c:v>
                </c:pt>
                <c:pt idx="6">
                  <c:v>0.20454125820677</c:v>
                </c:pt>
                <c:pt idx="7">
                  <c:v>0.376234306043733</c:v>
                </c:pt>
                <c:pt idx="8">
                  <c:v>0.216953665713457</c:v>
                </c:pt>
                <c:pt idx="9">
                  <c:v>0.0939951726398509</c:v>
                </c:pt>
                <c:pt idx="10">
                  <c:v>0.118295741298837</c:v>
                </c:pt>
                <c:pt idx="11">
                  <c:v>0.109908922466661</c:v>
                </c:pt>
                <c:pt idx="12">
                  <c:v>0.123777546832947</c:v>
                </c:pt>
                <c:pt idx="13">
                  <c:v>0.154375512606636</c:v>
                </c:pt>
                <c:pt idx="14">
                  <c:v>0.143827296369472</c:v>
                </c:pt>
                <c:pt idx="15">
                  <c:v>0.123289530023903</c:v>
                </c:pt>
                <c:pt idx="16">
                  <c:v>0.112642300243612</c:v>
                </c:pt>
                <c:pt idx="17">
                  <c:v>0.103369054433569</c:v>
                </c:pt>
                <c:pt idx="18">
                  <c:v>0.0938376646184709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'9. Charts'!A34</c:f>
              <c:strCache>
                <c:ptCount val="1"/>
                <c:pt idx="0">
                  <c:v>GOOGL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Charts'!$B$31:$T$31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Charts'!$B$34:$T$34</c:f>
              <c:numCache>
                <c:formatCode>0.0%</c:formatCode>
                <c:ptCount val="19"/>
                <c:pt idx="1">
                  <c:v>0.188800230551703</c:v>
                </c:pt>
                <c:pt idx="2">
                  <c:v>0.136179754852199</c:v>
                </c:pt>
                <c:pt idx="3">
                  <c:v>0.203803224472923</c:v>
                </c:pt>
                <c:pt idx="4">
                  <c:v>0.228010900389933</c:v>
                </c:pt>
                <c:pt idx="5">
                  <c:v>0.23421586757476</c:v>
                </c:pt>
                <c:pt idx="6">
                  <c:v>0.183000898997946</c:v>
                </c:pt>
                <c:pt idx="7">
                  <c:v>0.127705320128261</c:v>
                </c:pt>
                <c:pt idx="8">
                  <c:v>0.411500764270492</c:v>
                </c:pt>
                <c:pt idx="9">
                  <c:v>0.0978081564371578</c:v>
                </c:pt>
                <c:pt idx="10">
                  <c:v>0.0868277022726951</c:v>
                </c:pt>
                <c:pt idx="11">
                  <c:v>0.138662433229016</c:v>
                </c:pt>
                <c:pt idx="12">
                  <c:v>0.150900810815444</c:v>
                </c:pt>
                <c:pt idx="13">
                  <c:v>0.212102691914327</c:v>
                </c:pt>
                <c:pt idx="14">
                  <c:v>0.212290974865579</c:v>
                </c:pt>
                <c:pt idx="15">
                  <c:v>0.184950396811654</c:v>
                </c:pt>
                <c:pt idx="16">
                  <c:v>0.162332531795857</c:v>
                </c:pt>
                <c:pt idx="17">
                  <c:v>0.13075075795109</c:v>
                </c:pt>
                <c:pt idx="18">
                  <c:v>0.116455013773831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'9. Charts'!A35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Charts'!$B$31:$T$31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Charts'!$B$35:$T$35</c:f>
              <c:numCache>
                <c:formatCode>0.0%</c:formatCode>
                <c:ptCount val="19"/>
                <c:pt idx="1">
                  <c:v>0.583587398373984</c:v>
                </c:pt>
                <c:pt idx="2">
                  <c:v>0.43807155462859</c:v>
                </c:pt>
                <c:pt idx="3">
                  <c:v>0.541696881798405</c:v>
                </c:pt>
                <c:pt idx="4">
                  <c:v>0.470909617193719</c:v>
                </c:pt>
                <c:pt idx="5">
                  <c:v>0.37352716896662</c:v>
                </c:pt>
                <c:pt idx="6">
                  <c:v>0.266100146853397</c:v>
                </c:pt>
                <c:pt idx="7">
                  <c:v>0.215986647146606</c:v>
                </c:pt>
                <c:pt idx="8">
                  <c:v>0.371809785263942</c:v>
                </c:pt>
                <c:pt idx="9">
                  <c:v>-0.0111931755547829</c:v>
                </c:pt>
                <c:pt idx="10">
                  <c:v>0.156866108104863</c:v>
                </c:pt>
                <c:pt idx="11">
                  <c:v>0.219412754538513</c:v>
                </c:pt>
                <c:pt idx="12">
                  <c:v>0.221671732522796</c:v>
                </c:pt>
                <c:pt idx="13">
                  <c:v>0.2697512502177</c:v>
                </c:pt>
                <c:pt idx="14">
                  <c:v>0.20078317845173</c:v>
                </c:pt>
                <c:pt idx="15">
                  <c:v>0.166200396774889</c:v>
                </c:pt>
                <c:pt idx="16">
                  <c:v>0.13996879744046</c:v>
                </c:pt>
                <c:pt idx="17">
                  <c:v>0.119898057691976</c:v>
                </c:pt>
                <c:pt idx="18">
                  <c:v>0.104120763182785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'9. Charts'!A36</c:f>
              <c:strCache>
                <c:ptCount val="1"/>
                <c:pt idx="0">
                  <c:v>ORCL</c:v>
                </c:pt>
              </c:strCache>
            </c:strRef>
          </c:tx>
          <c:spPr>
            <a:solidFill>
              <a:srgbClr val="dcb7b6"/>
            </a:solidFill>
            <a:ln w="4752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Charts'!$B$31:$T$31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Charts'!$B$36:$T$36</c:f>
              <c:numCache>
                <c:formatCode>0.0%</c:formatCode>
                <c:ptCount val="19"/>
                <c:pt idx="1">
                  <c:v>0.0282393364292808</c:v>
                </c:pt>
                <c:pt idx="2">
                  <c:v>-0.00135752512726794</c:v>
                </c:pt>
                <c:pt idx="3">
                  <c:v>-0.031265521658432</c:v>
                </c:pt>
                <c:pt idx="4">
                  <c:v>0.0227217529751464</c:v>
                </c:pt>
                <c:pt idx="5">
                  <c:v>0.0404232301643843</c:v>
                </c:pt>
                <c:pt idx="6">
                  <c:v>0.0023839111359083</c:v>
                </c:pt>
                <c:pt idx="7">
                  <c:v>-0.0114358001265022</c:v>
                </c:pt>
                <c:pt idx="8">
                  <c:v>0.036035113761421</c:v>
                </c:pt>
                <c:pt idx="9">
                  <c:v>0.0484177762407054</c:v>
                </c:pt>
                <c:pt idx="10">
                  <c:v>0.17704578120214</c:v>
                </c:pt>
                <c:pt idx="11">
                  <c:v>0.060174156741067</c:v>
                </c:pt>
                <c:pt idx="12">
                  <c:v>0.0837975113762959</c:v>
                </c:pt>
                <c:pt idx="13">
                  <c:v>0.172263454067144</c:v>
                </c:pt>
                <c:pt idx="14">
                  <c:v>0.319457694122543</c:v>
                </c:pt>
                <c:pt idx="15">
                  <c:v>0.412955573662325</c:v>
                </c:pt>
                <c:pt idx="16">
                  <c:v>0.316855148927758</c:v>
                </c:pt>
                <c:pt idx="17">
                  <c:v>0.123262637826697</c:v>
                </c:pt>
                <c:pt idx="18">
                  <c:v>-1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334135"/>
        <c:axId val="74314342"/>
      </c:lineChart>
      <c:catAx>
        <c:axId val="35334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14342"/>
        <c:crosses val="autoZero"/>
        <c:auto val="1"/>
        <c:lblAlgn val="ctr"/>
        <c:lblOffset val="100"/>
        <c:noMultiLvlLbl val="0"/>
      </c:catAx>
      <c:valAx>
        <c:axId val="743143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341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'9. Charts'!A41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903836"/>
            </a:solidFill>
            <a:ln w="4752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Charts'!$B$40:$T$40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Charts'!$B$41:$T$41</c:f>
              <c:numCache>
                <c:formatCode>0.0%</c:formatCode>
                <c:ptCount val="19"/>
                <c:pt idx="0">
                  <c:v>0.343793754576167</c:v>
                </c:pt>
                <c:pt idx="1">
                  <c:v>0.319682609146292</c:v>
                </c:pt>
                <c:pt idx="2">
                  <c:v>0.194069245565292</c:v>
                </c:pt>
                <c:pt idx="3">
                  <c:v>0.236544772620722</c:v>
                </c:pt>
                <c:pt idx="4">
                  <c:v>0.300556067556513</c:v>
                </c:pt>
                <c:pt idx="5">
                  <c:v>0.317669445451251</c:v>
                </c:pt>
                <c:pt idx="6">
                  <c:v>0.341369802054942</c:v>
                </c:pt>
                <c:pt idx="7">
                  <c:v>0.370303814285215</c:v>
                </c:pt>
                <c:pt idx="8">
                  <c:v>0.415948788729713</c:v>
                </c:pt>
                <c:pt idx="9">
                  <c:v>0.420552781560498</c:v>
                </c:pt>
                <c:pt idx="10">
                  <c:v>0.417728806361041</c:v>
                </c:pt>
                <c:pt idx="11">
                  <c:v>0.446442995732737</c:v>
                </c:pt>
                <c:pt idx="12">
                  <c:v>0.456219562408599</c:v>
                </c:pt>
                <c:pt idx="13">
                  <c:v>0.465802538269156</c:v>
                </c:pt>
                <c:pt idx="14">
                  <c:v>0.463117571257584</c:v>
                </c:pt>
                <c:pt idx="15">
                  <c:v>0.469393623381428</c:v>
                </c:pt>
                <c:pt idx="16">
                  <c:v>0.480824089640994</c:v>
                </c:pt>
                <c:pt idx="17">
                  <c:v>0.487820996536282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'9. Charts'!A42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Charts'!$B$40:$T$40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Charts'!$B$42:$T$42</c:f>
              <c:numCache>
                <c:formatCode>0.0%</c:formatCode>
                <c:ptCount val="19"/>
                <c:pt idx="0">
                  <c:v>0.0100063127073456</c:v>
                </c:pt>
                <c:pt idx="1">
                  <c:v>0.0020047556760207</c:v>
                </c:pt>
                <c:pt idx="2">
                  <c:v>0.0208641336141883</c:v>
                </c:pt>
                <c:pt idx="3">
                  <c:v>0.0307823541956216</c:v>
                </c:pt>
                <c:pt idx="4">
                  <c:v>0.023090416380871</c:v>
                </c:pt>
                <c:pt idx="5">
                  <c:v>0.0533305852194412</c:v>
                </c:pt>
                <c:pt idx="6">
                  <c:v>0.0518319418797813</c:v>
                </c:pt>
                <c:pt idx="7">
                  <c:v>0.0593139997513366</c:v>
                </c:pt>
                <c:pt idx="8">
                  <c:v>0.0529540975092695</c:v>
                </c:pt>
                <c:pt idx="9">
                  <c:v>0.0238295819122422</c:v>
                </c:pt>
                <c:pt idx="10">
                  <c:v>0.0641144079960333</c:v>
                </c:pt>
                <c:pt idx="11">
                  <c:v>0.107519448742004</c:v>
                </c:pt>
                <c:pt idx="12">
                  <c:v>0.111552967957552</c:v>
                </c:pt>
                <c:pt idx="13">
                  <c:v>0.131708463674658</c:v>
                </c:pt>
                <c:pt idx="14">
                  <c:v>0.154365760146159</c:v>
                </c:pt>
                <c:pt idx="15">
                  <c:v>0.172540408713261</c:v>
                </c:pt>
                <c:pt idx="16">
                  <c:v>0.188661589820496</c:v>
                </c:pt>
                <c:pt idx="17">
                  <c:v>0.202680597904355</c:v>
                </c:pt>
                <c:pt idx="18">
                  <c:v>0.213888220975314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'9. Charts'!A43</c:f>
              <c:strCache>
                <c:ptCount val="1"/>
                <c:pt idx="0">
                  <c:v>GOOGL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Charts'!$B$40:$T$40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Charts'!$B$43:$T$43</c:f>
              <c:numCache>
                <c:formatCode>0.0%</c:formatCode>
                <c:ptCount val="19"/>
                <c:pt idx="0">
                  <c:v>0.27743655325204</c:v>
                </c:pt>
                <c:pt idx="1">
                  <c:v>0.249935607036257</c:v>
                </c:pt>
                <c:pt idx="2">
                  <c:v>0.258171198442438</c:v>
                </c:pt>
                <c:pt idx="3">
                  <c:v>0.262717121588089</c:v>
                </c:pt>
                <c:pt idx="4">
                  <c:v>0.235857651887601</c:v>
                </c:pt>
                <c:pt idx="5">
                  <c:v>0.196997493038248</c:v>
                </c:pt>
                <c:pt idx="6">
                  <c:v>0.211489154006314</c:v>
                </c:pt>
                <c:pt idx="7">
                  <c:v>0.225851517857632</c:v>
                </c:pt>
                <c:pt idx="8">
                  <c:v>0.305522886852432</c:v>
                </c:pt>
                <c:pt idx="9">
                  <c:v>0.26461270842467</c:v>
                </c:pt>
                <c:pt idx="10">
                  <c:v>0.274218104452266</c:v>
                </c:pt>
                <c:pt idx="11">
                  <c:v>0.321097772114577</c:v>
                </c:pt>
                <c:pt idx="12">
                  <c:v>0.3203263859238</c:v>
                </c:pt>
                <c:pt idx="13">
                  <c:v>0.342669553816202</c:v>
                </c:pt>
                <c:pt idx="14">
                  <c:v>0.355253646282618</c:v>
                </c:pt>
                <c:pt idx="15">
                  <c:v>0.36181091725094</c:v>
                </c:pt>
                <c:pt idx="16">
                  <c:v>0.366157445799273</c:v>
                </c:pt>
                <c:pt idx="17">
                  <c:v>0.367020570414675</c:v>
                </c:pt>
                <c:pt idx="18">
                  <c:v>0.369485813940611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'9. Charts'!A44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Charts'!$B$40:$T$40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Charts'!$B$44:$T$44</c:f>
              <c:numCache>
                <c:formatCode>0.0%</c:formatCode>
                <c:ptCount val="19"/>
                <c:pt idx="0">
                  <c:v>0.35619918699187</c:v>
                </c:pt>
                <c:pt idx="1">
                  <c:v>0.400673832825285</c:v>
                </c:pt>
                <c:pt idx="2">
                  <c:v>0.347241590896413</c:v>
                </c:pt>
                <c:pt idx="3">
                  <c:v>0.449634561111513</c:v>
                </c:pt>
                <c:pt idx="4">
                  <c:v>0.496937495387794</c:v>
                </c:pt>
                <c:pt idx="5">
                  <c:v>0.446165693613668</c:v>
                </c:pt>
                <c:pt idx="6">
                  <c:v>0.339274221496114</c:v>
                </c:pt>
                <c:pt idx="7">
                  <c:v>0.380045599423028</c:v>
                </c:pt>
                <c:pt idx="8">
                  <c:v>0.396450406600582</c:v>
                </c:pt>
                <c:pt idx="9">
                  <c:v>0.248222692931077</c:v>
                </c:pt>
                <c:pt idx="10">
                  <c:v>0.346557846124195</c:v>
                </c:pt>
                <c:pt idx="11">
                  <c:v>0.421762917933131</c:v>
                </c:pt>
                <c:pt idx="12">
                  <c:v>0.414380613539671</c:v>
                </c:pt>
                <c:pt idx="13">
                  <c:v>0.354617777658644</c:v>
                </c:pt>
                <c:pt idx="14">
                  <c:v>0.340842115995234</c:v>
                </c:pt>
                <c:pt idx="15">
                  <c:v>0.331377350179063</c:v>
                </c:pt>
                <c:pt idx="16">
                  <c:v>0.32287495749683</c:v>
                </c:pt>
                <c:pt idx="17">
                  <c:v>0.313057785144646</c:v>
                </c:pt>
                <c:pt idx="18">
                  <c:v>0.313563982706012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'9. Charts'!A45</c:f>
              <c:strCache>
                <c:ptCount val="1"/>
                <c:pt idx="0">
                  <c:v>ORCL</c:v>
                </c:pt>
              </c:strCache>
            </c:strRef>
          </c:tx>
          <c:spPr>
            <a:solidFill>
              <a:srgbClr val="dcb7b6"/>
            </a:solidFill>
            <a:ln w="4752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Charts'!$B$40:$T$40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Charts'!$B$45:$T$45</c:f>
              <c:numCache>
                <c:formatCode>0.0%</c:formatCode>
                <c:ptCount val="19"/>
                <c:pt idx="0">
                  <c:v>0.39416959707943</c:v>
                </c:pt>
                <c:pt idx="1">
                  <c:v>0.385276073619632</c:v>
                </c:pt>
                <c:pt idx="2">
                  <c:v>0.36258594097195</c:v>
                </c:pt>
                <c:pt idx="3">
                  <c:v>0.34012467280136</c:v>
                </c:pt>
                <c:pt idx="4">
                  <c:v>0.335365049209742</c:v>
                </c:pt>
                <c:pt idx="5">
                  <c:v>0.336385077730719</c:v>
                </c:pt>
                <c:pt idx="6">
                  <c:v>0.342441492726123</c:v>
                </c:pt>
                <c:pt idx="7">
                  <c:v>0.355667596550047</c:v>
                </c:pt>
                <c:pt idx="8">
                  <c:v>0.375830636594946</c:v>
                </c:pt>
                <c:pt idx="9">
                  <c:v>0.257463301995712</c:v>
                </c:pt>
                <c:pt idx="10">
                  <c:v>0.262115904313883</c:v>
                </c:pt>
                <c:pt idx="11">
                  <c:v>0.289911444270312</c:v>
                </c:pt>
                <c:pt idx="12">
                  <c:v>0.307984459659576</c:v>
                </c:pt>
                <c:pt idx="13">
                  <c:v>0.289246248332696</c:v>
                </c:pt>
                <c:pt idx="14">
                  <c:v>0.23797825280389</c:v>
                </c:pt>
                <c:pt idx="15">
                  <c:v>0.294398702858343</c:v>
                </c:pt>
                <c:pt idx="16">
                  <c:v>0.32118626604911</c:v>
                </c:pt>
                <c:pt idx="17">
                  <c:v>0.312321387266789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931194"/>
        <c:axId val="47701980"/>
      </c:lineChart>
      <c:catAx>
        <c:axId val="769311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01980"/>
        <c:crosses val="autoZero"/>
        <c:auto val="1"/>
        <c:lblAlgn val="ctr"/>
        <c:lblOffset val="100"/>
        <c:noMultiLvlLbl val="0"/>
      </c:catAx>
      <c:valAx>
        <c:axId val="477019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311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D&amp;A / Revenue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'9. Charts'!A50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903836"/>
            </a:solidFill>
            <a:ln w="4752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Charts'!$B$49:$T$49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Charts'!$B$50:$T$50</c:f>
              <c:numCache>
                <c:formatCode>0.0%</c:formatCode>
                <c:ptCount val="19"/>
                <c:pt idx="0">
                  <c:v>0.0428907243509872</c:v>
                </c:pt>
                <c:pt idx="1">
                  <c:v>0.0488869439038154</c:v>
                </c:pt>
                <c:pt idx="2">
                  <c:v>0.0577046377431075</c:v>
                </c:pt>
                <c:pt idx="3">
                  <c:v>0.0688935771214252</c:v>
                </c:pt>
                <c:pt idx="4">
                  <c:v>0.0807695892141533</c:v>
                </c:pt>
                <c:pt idx="5">
                  <c:v>0.0897064153678869</c:v>
                </c:pt>
                <c:pt idx="6">
                  <c:v>0.0921783492129081</c:v>
                </c:pt>
                <c:pt idx="7">
                  <c:v>0.0860049645142118</c:v>
                </c:pt>
                <c:pt idx="8">
                  <c:v>0.0648469849126648</c:v>
                </c:pt>
                <c:pt idx="9">
                  <c:v>0.0736369597014173</c:v>
                </c:pt>
                <c:pt idx="10">
                  <c:v>0.0637047872967935</c:v>
                </c:pt>
                <c:pt idx="11">
                  <c:v>0.0815920235637764</c:v>
                </c:pt>
                <c:pt idx="12">
                  <c:v>0.0993880535559626</c:v>
                </c:pt>
                <c:pt idx="13">
                  <c:v>0.120322156151902</c:v>
                </c:pt>
                <c:pt idx="14">
                  <c:v>0.161305506475254</c:v>
                </c:pt>
                <c:pt idx="15">
                  <c:v>0.204963806289356</c:v>
                </c:pt>
                <c:pt idx="16">
                  <c:v>0.23749503625081</c:v>
                </c:pt>
                <c:pt idx="17">
                  <c:v>0.256198827702057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'9. Charts'!A51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Charts'!$B$49:$T$49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Charts'!$B$51:$T$51</c:f>
              <c:numCache>
                <c:formatCode>0.0%</c:formatCode>
                <c:ptCount val="19"/>
                <c:pt idx="0">
                  <c:v>0.0436919936067049</c:v>
                </c:pt>
                <c:pt idx="1">
                  <c:v>0.0533215565174787</c:v>
                </c:pt>
                <c:pt idx="2">
                  <c:v>0.0586973139974544</c:v>
                </c:pt>
                <c:pt idx="3">
                  <c:v>0.0596895291461684</c:v>
                </c:pt>
                <c:pt idx="4">
                  <c:v>0.0645317261309075</c:v>
                </c:pt>
                <c:pt idx="5">
                  <c:v>0.0658731487803098</c:v>
                </c:pt>
                <c:pt idx="6">
                  <c:v>0.0776730523809184</c:v>
                </c:pt>
                <c:pt idx="7">
                  <c:v>0.0654062538853662</c:v>
                </c:pt>
                <c:pt idx="8">
                  <c:v>0.0729978587635317</c:v>
                </c:pt>
                <c:pt idx="9">
                  <c:v>0.080666092069193</c:v>
                </c:pt>
                <c:pt idx="10">
                  <c:v>0.0846629609332185</c:v>
                </c:pt>
                <c:pt idx="11">
                  <c:v>0.0827561018811554</c:v>
                </c:pt>
                <c:pt idx="12">
                  <c:v>0.0917196243953334</c:v>
                </c:pt>
                <c:pt idx="13">
                  <c:v>0.0980858724771357</c:v>
                </c:pt>
                <c:pt idx="14">
                  <c:v>0.0958313626162915</c:v>
                </c:pt>
                <c:pt idx="15">
                  <c:v>0.113353361221732</c:v>
                </c:pt>
                <c:pt idx="16">
                  <c:v>0.127377899470562</c:v>
                </c:pt>
                <c:pt idx="17">
                  <c:v>0.13440275735048</c:v>
                </c:pt>
                <c:pt idx="18">
                  <c:v>0.134314444254999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'9. Charts'!A52</c:f>
              <c:strCache>
                <c:ptCount val="1"/>
                <c:pt idx="0">
                  <c:v>GOOGL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Charts'!$B$49:$T$49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Charts'!$B$52:$T$52</c:f>
              <c:numCache>
                <c:formatCode>0.0%</c:formatCode>
                <c:ptCount val="19"/>
                <c:pt idx="0">
                  <c:v>0.0500909598515823</c:v>
                </c:pt>
                <c:pt idx="1">
                  <c:v>0.0533779791215285</c:v>
                </c:pt>
                <c:pt idx="2">
                  <c:v>0.0551014148741816</c:v>
                </c:pt>
                <c:pt idx="3">
                  <c:v>0.0583458879829848</c:v>
                </c:pt>
                <c:pt idx="4">
                  <c:v>0.055053899237743</c:v>
                </c:pt>
                <c:pt idx="5">
                  <c:v>0.059670075062674</c:v>
                </c:pt>
                <c:pt idx="6">
                  <c:v>0.0670715508133723</c:v>
                </c:pt>
                <c:pt idx="7">
                  <c:v>0.0707018687646211</c:v>
                </c:pt>
                <c:pt idx="8">
                  <c:v>0.0448499245061851</c:v>
                </c:pt>
                <c:pt idx="9">
                  <c:v>0.0540489895204288</c:v>
                </c:pt>
                <c:pt idx="10">
                  <c:v>0.0433515293076638</c:v>
                </c:pt>
                <c:pt idx="11">
                  <c:v>0.0437434646218194</c:v>
                </c:pt>
                <c:pt idx="12">
                  <c:v>0.0524680018667646</c:v>
                </c:pt>
                <c:pt idx="13">
                  <c:v>0.0878078621508295</c:v>
                </c:pt>
                <c:pt idx="14">
                  <c:v>0.117551138236728</c:v>
                </c:pt>
                <c:pt idx="15">
                  <c:v>0.140202635391807</c:v>
                </c:pt>
                <c:pt idx="16">
                  <c:v>0.156603153029435</c:v>
                </c:pt>
                <c:pt idx="17">
                  <c:v>0.169388668170233</c:v>
                </c:pt>
                <c:pt idx="18">
                  <c:v>0.176229835314764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'9. Charts'!A53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Charts'!$B$49:$T$49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Charts'!$B$53:$T$53</c:f>
              <c:numCache>
                <c:formatCode>0.0%</c:formatCode>
                <c:ptCount val="19"/>
                <c:pt idx="0">
                  <c:v>0.12842987804878</c:v>
                </c:pt>
                <c:pt idx="1">
                  <c:v>0.0997112145034494</c:v>
                </c:pt>
                <c:pt idx="2">
                  <c:v>0.108495565348357</c:v>
                </c:pt>
                <c:pt idx="3">
                  <c:v>0.0847384036471525</c:v>
                </c:pt>
                <c:pt idx="4">
                  <c:v>0.0744102526258825</c:v>
                </c:pt>
                <c:pt idx="5">
                  <c:v>0.0772771231061284</c:v>
                </c:pt>
                <c:pt idx="6">
                  <c:v>0.0812062831964807</c:v>
                </c:pt>
                <c:pt idx="7">
                  <c:v>0.0798222553102389</c:v>
                </c:pt>
                <c:pt idx="8">
                  <c:v>0.0675491185374251</c:v>
                </c:pt>
                <c:pt idx="9">
                  <c:v>0.0744882470478265</c:v>
                </c:pt>
                <c:pt idx="10">
                  <c:v>0.0828533517171852</c:v>
                </c:pt>
                <c:pt idx="11">
                  <c:v>0.0942127659574468</c:v>
                </c:pt>
                <c:pt idx="12">
                  <c:v>0.0926330455551962</c:v>
                </c:pt>
                <c:pt idx="13">
                  <c:v>0.140906872115809</c:v>
                </c:pt>
                <c:pt idx="14">
                  <c:v>0.184728970793823</c:v>
                </c:pt>
                <c:pt idx="15">
                  <c:v>0.22007811861814</c:v>
                </c:pt>
                <c:pt idx="16">
                  <c:v>0.245661608068325</c:v>
                </c:pt>
                <c:pt idx="17">
                  <c:v>0.265100899909223</c:v>
                </c:pt>
                <c:pt idx="18">
                  <c:v>0.270348132124682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'9. Charts'!A54</c:f>
              <c:strCache>
                <c:ptCount val="1"/>
                <c:pt idx="0">
                  <c:v>ORCL</c:v>
                </c:pt>
              </c:strCache>
            </c:strRef>
          </c:tx>
          <c:spPr>
            <a:solidFill>
              <a:srgbClr val="dcb7b6"/>
            </a:solidFill>
            <a:ln w="4752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Charts'!$B$49:$T$49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</c:strCache>
            </c:strRef>
          </c:cat>
          <c:val>
            <c:numRef>
              <c:f>'9. Charts'!$B$54:$T$54</c:f>
              <c:numCache>
                <c:formatCode>0.0%</c:formatCode>
                <c:ptCount val="19"/>
                <c:pt idx="0">
                  <c:v>0.0146565377285051</c:v>
                </c:pt>
                <c:pt idx="1">
                  <c:v>0.0158726014880564</c:v>
                </c:pt>
                <c:pt idx="2">
                  <c:v>0.0186129192481635</c:v>
                </c:pt>
                <c:pt idx="3">
                  <c:v>0.0235043311655018</c:v>
                </c:pt>
                <c:pt idx="4">
                  <c:v>0.0263859204728357</c:v>
                </c:pt>
                <c:pt idx="5">
                  <c:v>0.0295452816312039</c:v>
                </c:pt>
                <c:pt idx="6">
                  <c:v>0.0311195445920304</c:v>
                </c:pt>
                <c:pt idx="7">
                  <c:v>0.035369692626622</c:v>
                </c:pt>
                <c:pt idx="8">
                  <c:v>0.0379684296336553</c:v>
                </c:pt>
                <c:pt idx="9">
                  <c:v>0.0464645036639099</c:v>
                </c:pt>
                <c:pt idx="10">
                  <c:v>0.0505655089580623</c:v>
                </c:pt>
                <c:pt idx="11">
                  <c:v>0.0590812107022148</c:v>
                </c:pt>
                <c:pt idx="12">
                  <c:v>0.0673705116813882</c:v>
                </c:pt>
                <c:pt idx="13">
                  <c:v>0.111485990926891</c:v>
                </c:pt>
                <c:pt idx="14">
                  <c:v>0.189999957198541</c:v>
                </c:pt>
                <c:pt idx="15">
                  <c:v>0.219999992028382</c:v>
                </c:pt>
                <c:pt idx="16">
                  <c:v>0.239999997578589</c:v>
                </c:pt>
                <c:pt idx="17">
                  <c:v>0.259999995688612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130091"/>
        <c:axId val="83833530"/>
      </c:lineChart>
      <c:catAx>
        <c:axId val="611300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33530"/>
        <c:crosses val="autoZero"/>
        <c:auto val="1"/>
        <c:lblAlgn val="ctr"/>
        <c:lblOffset val="100"/>
        <c:noMultiLvlLbl val="0"/>
      </c:catAx>
      <c:valAx>
        <c:axId val="838335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300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13</xdr:col>
      <xdr:colOff>392760</xdr:colOff>
      <xdr:row>31</xdr:row>
      <xdr:rowOff>128520</xdr:rowOff>
    </xdr:to>
    <xdr:graphicFrame>
      <xdr:nvGraphicFramePr>
        <xdr:cNvPr id="0" name="Chart 1"/>
        <xdr:cNvGraphicFramePr/>
      </xdr:nvGraphicFramePr>
      <xdr:xfrm>
        <a:off x="0" y="18478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0</xdr:rowOff>
    </xdr:from>
    <xdr:to>
      <xdr:col>13</xdr:col>
      <xdr:colOff>392760</xdr:colOff>
      <xdr:row>57</xdr:row>
      <xdr:rowOff>128520</xdr:rowOff>
    </xdr:to>
    <xdr:graphicFrame>
      <xdr:nvGraphicFramePr>
        <xdr:cNvPr id="1" name="Chart 2"/>
        <xdr:cNvGraphicFramePr/>
      </xdr:nvGraphicFramePr>
      <xdr:xfrm>
        <a:off x="0" y="680076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61</xdr:row>
      <xdr:rowOff>0</xdr:rowOff>
    </xdr:from>
    <xdr:to>
      <xdr:col>13</xdr:col>
      <xdr:colOff>392760</xdr:colOff>
      <xdr:row>83</xdr:row>
      <xdr:rowOff>128880</xdr:rowOff>
    </xdr:to>
    <xdr:graphicFrame>
      <xdr:nvGraphicFramePr>
        <xdr:cNvPr id="2" name="Chart 3"/>
        <xdr:cNvGraphicFramePr/>
      </xdr:nvGraphicFramePr>
      <xdr:xfrm>
        <a:off x="0" y="1175400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9</xdr:row>
      <xdr:rowOff>0</xdr:rowOff>
    </xdr:from>
    <xdr:to>
      <xdr:col>24</xdr:col>
      <xdr:colOff>461160</xdr:colOff>
      <xdr:row>31</xdr:row>
      <xdr:rowOff>128520</xdr:rowOff>
    </xdr:to>
    <xdr:graphicFrame>
      <xdr:nvGraphicFramePr>
        <xdr:cNvPr id="3" name="Chart 4"/>
        <xdr:cNvGraphicFramePr/>
      </xdr:nvGraphicFramePr>
      <xdr:xfrm>
        <a:off x="6977880" y="18478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35</xdr:row>
      <xdr:rowOff>0</xdr:rowOff>
    </xdr:from>
    <xdr:to>
      <xdr:col>24</xdr:col>
      <xdr:colOff>461160</xdr:colOff>
      <xdr:row>57</xdr:row>
      <xdr:rowOff>128520</xdr:rowOff>
    </xdr:to>
    <xdr:graphicFrame>
      <xdr:nvGraphicFramePr>
        <xdr:cNvPr id="4" name="Chart 5"/>
        <xdr:cNvGraphicFramePr/>
      </xdr:nvGraphicFramePr>
      <xdr:xfrm>
        <a:off x="6977880" y="680076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61</xdr:row>
      <xdr:rowOff>0</xdr:rowOff>
    </xdr:from>
    <xdr:to>
      <xdr:col>24</xdr:col>
      <xdr:colOff>461160</xdr:colOff>
      <xdr:row>83</xdr:row>
      <xdr:rowOff>128880</xdr:rowOff>
    </xdr:to>
    <xdr:graphicFrame>
      <xdr:nvGraphicFramePr>
        <xdr:cNvPr id="5" name="Chart 6"/>
        <xdr:cNvGraphicFramePr/>
      </xdr:nvGraphicFramePr>
      <xdr:xfrm>
        <a:off x="6977880" y="1175400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22" min="3" style="0" width="1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</row>
    <row r="5" customFormat="false" ht="15" hidden="false" customHeight="true" outlineLevel="0" collapsed="false">
      <c r="A5" s="5" t="s">
        <v>23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15" hidden="false" customHeight="false" outlineLevel="0" collapsed="false">
      <c r="A6" s="6" t="s">
        <v>24</v>
      </c>
      <c r="B6" s="7" t="s">
        <v>25</v>
      </c>
      <c r="C6" s="8" t="n">
        <v>77849</v>
      </c>
      <c r="D6" s="8" t="n">
        <v>86833</v>
      </c>
      <c r="E6" s="8" t="n">
        <v>93580</v>
      </c>
      <c r="F6" s="8" t="n">
        <v>85320</v>
      </c>
      <c r="G6" s="8" t="n">
        <v>96571</v>
      </c>
      <c r="H6" s="8" t="n">
        <v>110360</v>
      </c>
      <c r="I6" s="8" t="n">
        <v>125843</v>
      </c>
      <c r="J6" s="8" t="n">
        <v>143015</v>
      </c>
      <c r="K6" s="8" t="n">
        <v>168088</v>
      </c>
      <c r="L6" s="8" t="n">
        <v>198270</v>
      </c>
      <c r="M6" s="8" t="n">
        <v>211915</v>
      </c>
      <c r="N6" s="8" t="n">
        <v>245122</v>
      </c>
      <c r="O6" s="8" t="n">
        <v>281724</v>
      </c>
      <c r="P6" s="8" t="n">
        <v>329440.24</v>
      </c>
      <c r="Q6" s="8" t="n">
        <v>387103.71</v>
      </c>
      <c r="R6" s="8" t="n">
        <v>463474.17</v>
      </c>
      <c r="S6" s="8" t="n">
        <v>553714.52</v>
      </c>
      <c r="T6" s="8" t="n">
        <v>652772.62</v>
      </c>
      <c r="U6" s="9"/>
    </row>
    <row r="7" customFormat="false" ht="15" hidden="false" customHeight="false" outlineLevel="0" collapsed="false">
      <c r="A7" s="6" t="s">
        <v>24</v>
      </c>
      <c r="B7" s="7" t="s">
        <v>26</v>
      </c>
      <c r="C7" s="8" t="n">
        <v>26764</v>
      </c>
      <c r="D7" s="8" t="n">
        <v>27759</v>
      </c>
      <c r="E7" s="8" t="n">
        <v>18161</v>
      </c>
      <c r="F7" s="8" t="n">
        <v>20182</v>
      </c>
      <c r="G7" s="8" t="n">
        <v>29025</v>
      </c>
      <c r="H7" s="8" t="n">
        <v>35058</v>
      </c>
      <c r="I7" s="8" t="n">
        <v>42959</v>
      </c>
      <c r="J7" s="8" t="n">
        <v>52959</v>
      </c>
      <c r="K7" s="8" t="n">
        <v>69916</v>
      </c>
      <c r="L7" s="8" t="n">
        <v>83383</v>
      </c>
      <c r="M7" s="8" t="n">
        <v>88523</v>
      </c>
      <c r="N7" s="8" t="n">
        <v>109433</v>
      </c>
      <c r="O7" s="8" t="n">
        <v>128528</v>
      </c>
      <c r="P7" s="8" t="n">
        <v>153454.1</v>
      </c>
      <c r="Q7" s="8" t="n">
        <v>179274.53</v>
      </c>
      <c r="R7" s="8" t="n">
        <v>217551.82</v>
      </c>
      <c r="S7" s="8" t="n">
        <v>266239.28</v>
      </c>
      <c r="T7" s="8" t="n">
        <v>318436.19</v>
      </c>
      <c r="U7" s="9"/>
    </row>
    <row r="8" customFormat="false" ht="15" hidden="false" customHeight="false" outlineLevel="0" collapsed="false">
      <c r="A8" s="6" t="s">
        <v>24</v>
      </c>
      <c r="B8" s="7" t="s">
        <v>27</v>
      </c>
      <c r="C8" s="8" t="n">
        <v>21863</v>
      </c>
      <c r="D8" s="8" t="n">
        <v>22074</v>
      </c>
      <c r="E8" s="8" t="n">
        <v>12193</v>
      </c>
      <c r="F8" s="8" t="n">
        <v>16798</v>
      </c>
      <c r="G8" s="8" t="n">
        <v>25489</v>
      </c>
      <c r="H8" s="8" t="n">
        <v>16571</v>
      </c>
      <c r="I8" s="8" t="n">
        <v>39240</v>
      </c>
      <c r="J8" s="8" t="n">
        <v>44281</v>
      </c>
      <c r="K8" s="8" t="n">
        <v>61271</v>
      </c>
      <c r="L8" s="8" t="n">
        <v>72738</v>
      </c>
      <c r="M8" s="8" t="n">
        <v>72361</v>
      </c>
      <c r="N8" s="8" t="n">
        <v>88136</v>
      </c>
      <c r="O8" s="8" t="n">
        <v>101832</v>
      </c>
      <c r="P8" s="8" t="n">
        <v>129372.86</v>
      </c>
      <c r="Q8" s="8" t="n">
        <v>144971.56</v>
      </c>
      <c r="R8" s="8" t="n">
        <v>175683.92</v>
      </c>
      <c r="S8" s="8" t="n">
        <v>215472.22</v>
      </c>
      <c r="T8" s="8" t="n">
        <v>258948.36</v>
      </c>
      <c r="U8" s="9"/>
    </row>
    <row r="9" customFormat="false" ht="15" hidden="false" customHeight="false" outlineLevel="0" collapsed="false">
      <c r="A9" s="6" t="s">
        <v>24</v>
      </c>
      <c r="B9" s="7" t="s">
        <v>28</v>
      </c>
      <c r="C9" s="10" t="n">
        <v>2.63</v>
      </c>
      <c r="D9" s="10" t="n">
        <v>2.66</v>
      </c>
      <c r="E9" s="10" t="n">
        <v>2.59</v>
      </c>
      <c r="F9" s="10" t="n">
        <v>2.79</v>
      </c>
      <c r="G9" s="10" t="n">
        <v>3.29</v>
      </c>
      <c r="H9" s="10" t="n">
        <v>3.88</v>
      </c>
      <c r="I9" s="10" t="n">
        <v>4.75</v>
      </c>
      <c r="J9" s="10" t="n">
        <v>5.76</v>
      </c>
      <c r="K9" s="10" t="n">
        <v>7.97</v>
      </c>
      <c r="L9" s="10" t="n">
        <v>9.21</v>
      </c>
      <c r="M9" s="10" t="n">
        <v>9.81</v>
      </c>
      <c r="N9" s="10" t="n">
        <v>11.8</v>
      </c>
      <c r="O9" s="10" t="n">
        <v>13.91</v>
      </c>
      <c r="P9" s="10" t="n">
        <v>16.75</v>
      </c>
      <c r="Q9" s="10" t="n">
        <v>19.47</v>
      </c>
      <c r="R9" s="10" t="n">
        <v>23.61</v>
      </c>
      <c r="S9" s="10" t="n">
        <v>28.97</v>
      </c>
      <c r="T9" s="10" t="n">
        <v>34.82</v>
      </c>
      <c r="U9" s="9"/>
    </row>
    <row r="10" customFormat="false" ht="15" hidden="false" customHeight="false" outlineLevel="0" collapsed="false">
      <c r="A10" s="6" t="s">
        <v>24</v>
      </c>
      <c r="B10" s="7" t="s">
        <v>29</v>
      </c>
      <c r="C10" s="8" t="n">
        <v>8452.25</v>
      </c>
      <c r="D10" s="8" t="n">
        <v>8385.25</v>
      </c>
      <c r="E10" s="8" t="n">
        <v>8254</v>
      </c>
      <c r="F10" s="8" t="n">
        <v>8012.25</v>
      </c>
      <c r="G10" s="8" t="n">
        <v>7831.25</v>
      </c>
      <c r="H10" s="8" t="n">
        <v>7792.25</v>
      </c>
      <c r="I10" s="8" t="n">
        <v>7752</v>
      </c>
      <c r="J10" s="8" t="n">
        <v>7681.5</v>
      </c>
      <c r="K10" s="8" t="n">
        <v>7607.75</v>
      </c>
      <c r="L10" s="8" t="n">
        <v>7540.5</v>
      </c>
      <c r="M10" s="8" t="n">
        <v>7472.25</v>
      </c>
      <c r="N10" s="8" t="n">
        <v>7468.5</v>
      </c>
      <c r="O10" s="8" t="n">
        <v>7467.75</v>
      </c>
      <c r="P10" s="8" t="n">
        <v>7453.97</v>
      </c>
      <c r="Q10" s="8" t="n">
        <v>7446.49</v>
      </c>
      <c r="R10" s="8" t="n">
        <v>7440.67</v>
      </c>
      <c r="S10" s="8" t="n">
        <v>7436.61</v>
      </c>
      <c r="T10" s="8" t="n">
        <v>7436.22</v>
      </c>
      <c r="U10" s="9"/>
    </row>
    <row r="11" customFormat="false" ht="15" hidden="false" customHeight="false" outlineLevel="0" collapsed="false">
      <c r="A11" s="6" t="s">
        <v>24</v>
      </c>
      <c r="B11" s="7" t="s">
        <v>30</v>
      </c>
      <c r="C11" s="8" t="n">
        <v>2406</v>
      </c>
      <c r="D11" s="8" t="n">
        <v>2446</v>
      </c>
      <c r="E11" s="8" t="n">
        <v>2574</v>
      </c>
      <c r="F11" s="8" t="n">
        <v>2668</v>
      </c>
      <c r="G11" s="8" t="n">
        <v>3266</v>
      </c>
      <c r="H11" s="8" t="n">
        <v>3940</v>
      </c>
      <c r="I11" s="8" t="n">
        <v>4652</v>
      </c>
      <c r="J11" s="8" t="n">
        <v>5289</v>
      </c>
      <c r="K11" s="8" t="n">
        <v>6118</v>
      </c>
      <c r="L11" s="8" t="n">
        <v>7502</v>
      </c>
      <c r="M11" s="8" t="n">
        <v>9611</v>
      </c>
      <c r="N11" s="8" t="n">
        <v>10734</v>
      </c>
      <c r="O11" s="8" t="n">
        <v>11974</v>
      </c>
      <c r="P11" s="8" t="n">
        <v>12189</v>
      </c>
      <c r="Q11" s="8" t="n">
        <v>10478.4</v>
      </c>
      <c r="R11" s="8" t="n">
        <v>11434.24</v>
      </c>
      <c r="S11" s="8" t="n">
        <v>12826.56</v>
      </c>
      <c r="T11" s="8" t="n">
        <v>14871.62</v>
      </c>
      <c r="U11" s="9"/>
    </row>
    <row r="12" customFormat="false" ht="15" hidden="false" customHeight="false" outlineLevel="0" collapsed="false">
      <c r="A12" s="6" t="s">
        <v>24</v>
      </c>
      <c r="B12" s="7" t="s">
        <v>31</v>
      </c>
      <c r="C12" s="8" t="n">
        <v>3339</v>
      </c>
      <c r="D12" s="8" t="n">
        <v>4245</v>
      </c>
      <c r="E12" s="8" t="n">
        <v>5400</v>
      </c>
      <c r="F12" s="8" t="n">
        <v>5878</v>
      </c>
      <c r="G12" s="8" t="n">
        <v>7800</v>
      </c>
      <c r="H12" s="8" t="n">
        <v>9900</v>
      </c>
      <c r="I12" s="8" t="n">
        <v>11600</v>
      </c>
      <c r="J12" s="8" t="n">
        <v>12300</v>
      </c>
      <c r="K12" s="8" t="n">
        <v>10900</v>
      </c>
      <c r="L12" s="8" t="n">
        <v>14600</v>
      </c>
      <c r="M12" s="8" t="n">
        <v>13500</v>
      </c>
      <c r="N12" s="8" t="n">
        <v>20000</v>
      </c>
      <c r="O12" s="8" t="n">
        <v>28000</v>
      </c>
      <c r="P12" s="8" t="n">
        <v>39638.96</v>
      </c>
      <c r="Q12" s="8" t="n">
        <v>62441.96</v>
      </c>
      <c r="R12" s="8" t="n">
        <v>94995.43</v>
      </c>
      <c r="S12" s="8" t="n">
        <v>131504.45</v>
      </c>
      <c r="T12" s="8" t="n">
        <v>167239.58</v>
      </c>
      <c r="U12" s="9"/>
    </row>
    <row r="13" customFormat="false" ht="15" hidden="false" customHeight="false" outlineLevel="0" collapsed="false">
      <c r="A13" s="6" t="s">
        <v>24</v>
      </c>
      <c r="B13" s="7" t="s">
        <v>32</v>
      </c>
      <c r="C13" s="8" t="n">
        <v>4257</v>
      </c>
      <c r="D13" s="8" t="n">
        <v>5485</v>
      </c>
      <c r="E13" s="8" t="n">
        <v>5944</v>
      </c>
      <c r="F13" s="8" t="n">
        <v>8932</v>
      </c>
      <c r="G13" s="8" t="n">
        <v>10200</v>
      </c>
      <c r="H13" s="8" t="n">
        <v>13600</v>
      </c>
      <c r="I13" s="8" t="n">
        <v>16900</v>
      </c>
      <c r="J13" s="8" t="n">
        <v>19000</v>
      </c>
      <c r="K13" s="8" t="n">
        <v>24200</v>
      </c>
      <c r="L13" s="8" t="n">
        <v>29200</v>
      </c>
      <c r="M13" s="8" t="n">
        <v>31900</v>
      </c>
      <c r="N13" s="8" t="n">
        <v>55700</v>
      </c>
      <c r="O13" s="8" t="n">
        <v>88200</v>
      </c>
      <c r="P13" s="8" t="n">
        <v>145871.3</v>
      </c>
      <c r="Q13" s="8" t="n">
        <v>245263.45</v>
      </c>
      <c r="R13" s="8" t="n">
        <v>286760.35</v>
      </c>
      <c r="S13" s="8" t="n">
        <v>300210.91</v>
      </c>
      <c r="T13" s="8" t="n">
        <v>304616.04</v>
      </c>
      <c r="U13" s="9"/>
    </row>
    <row r="14" customFormat="false" ht="15" hidden="false" customHeight="false" outlineLevel="0" collapsed="false">
      <c r="A14" s="6" t="s">
        <v>24</v>
      </c>
      <c r="B14" s="7" t="s">
        <v>33</v>
      </c>
      <c r="C14" s="8" t="n">
        <v>9991</v>
      </c>
      <c r="D14" s="8" t="n">
        <v>13011</v>
      </c>
      <c r="E14" s="8" t="n">
        <v>14731</v>
      </c>
      <c r="F14" s="8" t="n">
        <v>18356</v>
      </c>
      <c r="G14" s="8" t="n">
        <v>23734</v>
      </c>
      <c r="H14" s="8" t="n">
        <v>29460</v>
      </c>
      <c r="I14" s="8" t="n">
        <v>36477</v>
      </c>
      <c r="J14" s="8" t="n">
        <v>44151</v>
      </c>
      <c r="K14" s="8" t="n">
        <v>59715</v>
      </c>
      <c r="L14" s="8" t="n">
        <v>74398</v>
      </c>
      <c r="M14" s="8" t="n">
        <v>95641</v>
      </c>
      <c r="N14" s="8" t="n">
        <v>135591</v>
      </c>
      <c r="O14" s="8" t="n">
        <v>204966</v>
      </c>
      <c r="P14" s="8" t="n">
        <v>314226</v>
      </c>
      <c r="Q14" s="8" t="n">
        <v>499947.5</v>
      </c>
      <c r="R14" s="8" t="n">
        <v>693712.41</v>
      </c>
      <c r="S14" s="8" t="n">
        <v>864268.87</v>
      </c>
      <c r="T14" s="8" t="n">
        <v>1003045.34</v>
      </c>
      <c r="U14" s="9"/>
    </row>
    <row r="15" customFormat="false" ht="15" hidden="false" customHeight="false" outlineLevel="0" collapsed="false">
      <c r="A15" s="6" t="s">
        <v>24</v>
      </c>
      <c r="B15" s="7" t="s">
        <v>34</v>
      </c>
      <c r="C15" s="11" t="n">
        <v>3.16</v>
      </c>
      <c r="D15" s="11" t="n">
        <v>2.69</v>
      </c>
      <c r="E15" s="11" t="n">
        <v>2.81</v>
      </c>
      <c r="F15" s="11" t="n">
        <v>2.83</v>
      </c>
      <c r="G15" s="11" t="n">
        <v>2.71</v>
      </c>
      <c r="H15" s="11" t="n">
        <v>2.73</v>
      </c>
      <c r="I15" s="11" t="n">
        <v>2.74</v>
      </c>
      <c r="J15" s="11" t="n">
        <v>3.08</v>
      </c>
      <c r="K15" s="11" t="n">
        <v>4.33</v>
      </c>
      <c r="L15" s="11" t="n">
        <v>4.12</v>
      </c>
      <c r="M15" s="11" t="n">
        <v>6.1</v>
      </c>
      <c r="N15" s="11" t="n">
        <v>5.59</v>
      </c>
      <c r="O15" s="11" t="n">
        <v>5.26</v>
      </c>
      <c r="P15" s="11" t="n">
        <v>4.89</v>
      </c>
      <c r="Q15" s="11" t="n">
        <v>4.36</v>
      </c>
      <c r="R15" s="11" t="n">
        <v>4.38</v>
      </c>
      <c r="S15" s="11" t="n">
        <v>4.6</v>
      </c>
      <c r="T15" s="11" t="n">
        <v>4.7</v>
      </c>
      <c r="U15" s="9"/>
    </row>
    <row r="16" customFormat="false" ht="15" hidden="false" customHeight="false" outlineLevel="0" collapsed="false">
      <c r="A16" s="6" t="s">
        <v>24</v>
      </c>
      <c r="B16" s="7" t="s">
        <v>35</v>
      </c>
      <c r="C16" s="8" t="n">
        <v>28833</v>
      </c>
      <c r="D16" s="8" t="n">
        <v>32231</v>
      </c>
      <c r="E16" s="8" t="n">
        <v>29080</v>
      </c>
      <c r="F16" s="8" t="n">
        <v>33325</v>
      </c>
      <c r="G16" s="8" t="n">
        <v>39507</v>
      </c>
      <c r="H16" s="8" t="n">
        <v>43884</v>
      </c>
      <c r="I16" s="8" t="n">
        <v>52185</v>
      </c>
      <c r="J16" s="8" t="n">
        <v>60675</v>
      </c>
      <c r="K16" s="8" t="n">
        <v>76740</v>
      </c>
      <c r="L16" s="8" t="n">
        <v>89035</v>
      </c>
      <c r="M16" s="8" t="n">
        <v>87582</v>
      </c>
      <c r="N16" s="8" t="n">
        <v>118548</v>
      </c>
      <c r="O16" s="8" t="n">
        <v>136162</v>
      </c>
      <c r="P16" s="8" t="n">
        <v>174558.18</v>
      </c>
      <c r="Q16" s="8" t="n">
        <v>232097.78</v>
      </c>
      <c r="R16" s="8" t="n">
        <v>294570.35</v>
      </c>
      <c r="S16" s="8" t="n">
        <v>359672.36</v>
      </c>
      <c r="T16" s="8" t="n">
        <v>438548.9</v>
      </c>
      <c r="U16" s="9"/>
    </row>
    <row r="17" customFormat="false" ht="15" hidden="false" customHeight="false" outlineLevel="0" collapsed="false">
      <c r="A17" s="6" t="s">
        <v>24</v>
      </c>
      <c r="B17" s="7" t="s">
        <v>36</v>
      </c>
      <c r="C17" s="8" t="n">
        <v>24576</v>
      </c>
      <c r="D17" s="8" t="n">
        <v>26746</v>
      </c>
      <c r="E17" s="8" t="n">
        <v>23136</v>
      </c>
      <c r="F17" s="8" t="n">
        <v>24393</v>
      </c>
      <c r="G17" s="8" t="n">
        <v>29307</v>
      </c>
      <c r="H17" s="8" t="n">
        <v>30284</v>
      </c>
      <c r="I17" s="8" t="n">
        <v>35285</v>
      </c>
      <c r="J17" s="8" t="n">
        <v>41675</v>
      </c>
      <c r="K17" s="8" t="n">
        <v>52540</v>
      </c>
      <c r="L17" s="8" t="n">
        <v>59835</v>
      </c>
      <c r="M17" s="8" t="n">
        <v>55682</v>
      </c>
      <c r="N17" s="8" t="n">
        <v>62848</v>
      </c>
      <c r="O17" s="8" t="n">
        <v>47962</v>
      </c>
      <c r="P17" s="8" t="n">
        <v>28686.88</v>
      </c>
      <c r="Q17" s="8" t="n">
        <v>-13165.67</v>
      </c>
      <c r="R17" s="8" t="n">
        <v>7810</v>
      </c>
      <c r="S17" s="8" t="n">
        <v>59461.45</v>
      </c>
      <c r="T17" s="8" t="n">
        <v>133932.86</v>
      </c>
      <c r="U17" s="9"/>
    </row>
    <row r="18" customFormat="false" ht="15" hidden="false" customHeight="false" outlineLevel="0" collapsed="false">
      <c r="A18" s="6" t="s">
        <v>24</v>
      </c>
      <c r="B18" s="7" t="s">
        <v>37</v>
      </c>
      <c r="C18" s="8" t="n">
        <v>5360</v>
      </c>
      <c r="D18" s="8" t="n">
        <v>7316</v>
      </c>
      <c r="E18" s="8" t="n">
        <v>14443</v>
      </c>
      <c r="F18" s="8" t="n">
        <v>15969</v>
      </c>
      <c r="G18" s="8" t="n">
        <v>11788</v>
      </c>
      <c r="H18" s="8" t="n">
        <v>10721</v>
      </c>
      <c r="I18" s="8" t="n">
        <v>19543</v>
      </c>
      <c r="J18" s="8" t="n">
        <v>22968</v>
      </c>
      <c r="K18" s="8" t="n">
        <v>27385</v>
      </c>
      <c r="L18" s="8" t="n">
        <v>32696</v>
      </c>
      <c r="M18" s="8" t="n">
        <v>22245</v>
      </c>
      <c r="N18" s="8" t="n">
        <v>17254</v>
      </c>
      <c r="O18" s="8" t="n">
        <v>18420</v>
      </c>
      <c r="P18" s="8" t="n">
        <v>22499.7</v>
      </c>
      <c r="Q18" s="8" t="n">
        <v>19070.28</v>
      </c>
      <c r="R18" s="8" t="n">
        <v>19500.41</v>
      </c>
      <c r="S18" s="8" t="n">
        <v>20126.95</v>
      </c>
      <c r="T18" s="8" t="n">
        <v>21047.23</v>
      </c>
      <c r="U18" s="9"/>
    </row>
    <row r="19" customFormat="false" ht="15" hidden="false" customHeight="false" outlineLevel="0" collapsed="false">
      <c r="A19" s="6" t="s">
        <v>24</v>
      </c>
      <c r="B19" s="7" t="s">
        <v>38</v>
      </c>
      <c r="C19" s="8" t="n">
        <v>7455</v>
      </c>
      <c r="D19" s="8" t="n">
        <v>8879</v>
      </c>
      <c r="E19" s="8" t="n">
        <v>9882</v>
      </c>
      <c r="F19" s="8" t="n">
        <v>11006</v>
      </c>
      <c r="G19" s="8" t="n">
        <v>11845</v>
      </c>
      <c r="H19" s="8" t="n">
        <v>12699</v>
      </c>
      <c r="I19" s="8" t="n">
        <v>13811</v>
      </c>
      <c r="J19" s="8" t="n">
        <v>15137</v>
      </c>
      <c r="K19" s="8" t="n">
        <v>16521</v>
      </c>
      <c r="L19" s="8" t="n">
        <v>18135</v>
      </c>
      <c r="M19" s="8" t="n">
        <v>19800</v>
      </c>
      <c r="N19" s="8" t="n">
        <v>21771</v>
      </c>
      <c r="O19" s="8" t="n">
        <v>24082</v>
      </c>
      <c r="P19" s="8" t="n">
        <v>26442.88</v>
      </c>
      <c r="Q19" s="8" t="n">
        <v>29032.95</v>
      </c>
      <c r="R19" s="8" t="n">
        <v>31911.25</v>
      </c>
      <c r="S19" s="8" t="n">
        <v>35083.26</v>
      </c>
      <c r="T19" s="8" t="n">
        <v>38589.77</v>
      </c>
      <c r="U19" s="9"/>
    </row>
    <row r="20" customFormat="false" ht="15" hidden="false" customHeight="false" outlineLevel="0" collapsed="false">
      <c r="A20" s="6" t="s">
        <v>24</v>
      </c>
      <c r="B20" s="7" t="s">
        <v>39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72314</v>
      </c>
      <c r="N20" s="8" t="n">
        <v>87464</v>
      </c>
      <c r="O20" s="8" t="n">
        <v>106265</v>
      </c>
      <c r="P20" s="8" t="n">
        <v>136688.31</v>
      </c>
      <c r="Q20" s="8" t="n">
        <v>180358.14</v>
      </c>
      <c r="R20" s="8" t="n">
        <v>235873.55</v>
      </c>
      <c r="S20" s="8" t="n">
        <v>304531.45</v>
      </c>
      <c r="T20" s="8" t="n">
        <v>384276.13</v>
      </c>
      <c r="U20" s="9"/>
    </row>
    <row r="21" customFormat="false" ht="15" hidden="false" customHeight="false" outlineLevel="0" collapsed="false">
      <c r="A21" s="6" t="s">
        <v>24</v>
      </c>
      <c r="B21" s="7" t="s">
        <v>40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94151</v>
      </c>
      <c r="N21" s="8" t="n">
        <v>106820</v>
      </c>
      <c r="O21" s="8" t="n">
        <v>120810</v>
      </c>
      <c r="P21" s="8" t="n">
        <v>139446.98</v>
      </c>
      <c r="Q21" s="8" t="n">
        <v>156950.47</v>
      </c>
      <c r="R21" s="8" t="n">
        <v>176204.82</v>
      </c>
      <c r="S21" s="8" t="n">
        <v>196372.91</v>
      </c>
      <c r="T21" s="8" t="n">
        <v>214216.93</v>
      </c>
      <c r="U21" s="9"/>
    </row>
    <row r="22" customFormat="false" ht="15" hidden="false" customHeight="false" outlineLevel="0" collapsed="false">
      <c r="A22" s="6" t="s">
        <v>24</v>
      </c>
      <c r="B22" s="7" t="s">
        <v>41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44820</v>
      </c>
      <c r="N22" s="8" t="n">
        <v>50838</v>
      </c>
      <c r="O22" s="8" t="n">
        <v>54649</v>
      </c>
      <c r="P22" s="8" t="n">
        <v>53304.95</v>
      </c>
      <c r="Q22" s="8" t="n">
        <v>49795.1</v>
      </c>
      <c r="R22" s="8" t="n">
        <v>51395.8</v>
      </c>
      <c r="S22" s="8" t="n">
        <v>52810.16</v>
      </c>
      <c r="T22" s="8" t="n">
        <v>54279.57</v>
      </c>
      <c r="U22" s="9"/>
    </row>
    <row r="24" customFormat="false" ht="15" hidden="false" customHeight="true" outlineLevel="0" collapsed="false">
      <c r="A24" s="12" t="s">
        <v>42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customFormat="false" ht="15" hidden="false" customHeight="false" outlineLevel="0" collapsed="false">
      <c r="A25" s="6" t="s">
        <v>43</v>
      </c>
      <c r="B25" s="7" t="s">
        <v>25</v>
      </c>
      <c r="C25" s="8" t="n">
        <v>74453</v>
      </c>
      <c r="D25" s="8" t="n">
        <v>88988.4</v>
      </c>
      <c r="E25" s="8" t="n">
        <v>107006.6</v>
      </c>
      <c r="F25" s="8" t="n">
        <v>135987</v>
      </c>
      <c r="G25" s="8" t="n">
        <v>177866</v>
      </c>
      <c r="H25" s="8" t="n">
        <v>232887</v>
      </c>
      <c r="I25" s="8" t="n">
        <v>280522</v>
      </c>
      <c r="J25" s="8" t="n">
        <v>386064</v>
      </c>
      <c r="K25" s="8" t="n">
        <v>469822</v>
      </c>
      <c r="L25" s="8" t="n">
        <v>513983</v>
      </c>
      <c r="M25" s="8" t="n">
        <v>574785</v>
      </c>
      <c r="N25" s="8" t="n">
        <v>637959</v>
      </c>
      <c r="O25" s="8" t="n">
        <v>716924</v>
      </c>
      <c r="P25" s="8" t="n">
        <v>827599.51</v>
      </c>
      <c r="Q25" s="8" t="n">
        <v>946630.91</v>
      </c>
      <c r="R25" s="8" t="n">
        <v>1063340.59</v>
      </c>
      <c r="S25" s="8" t="n">
        <v>1183117.72</v>
      </c>
      <c r="T25" s="8" t="n">
        <v>1305415.48</v>
      </c>
      <c r="U25" s="8" t="n">
        <v>1427912.62</v>
      </c>
    </row>
    <row r="26" customFormat="false" ht="15" hidden="false" customHeight="false" outlineLevel="0" collapsed="false">
      <c r="A26" s="6" t="s">
        <v>43</v>
      </c>
      <c r="B26" s="7" t="s">
        <v>26</v>
      </c>
      <c r="C26" s="8" t="n">
        <v>745</v>
      </c>
      <c r="D26" s="8" t="n">
        <v>178.4</v>
      </c>
      <c r="E26" s="8" t="n">
        <v>2232.6</v>
      </c>
      <c r="F26" s="8" t="n">
        <v>4186</v>
      </c>
      <c r="G26" s="8" t="n">
        <v>4107</v>
      </c>
      <c r="H26" s="8" t="n">
        <v>12420</v>
      </c>
      <c r="I26" s="8" t="n">
        <v>14540</v>
      </c>
      <c r="J26" s="8" t="n">
        <v>22899</v>
      </c>
      <c r="K26" s="8" t="n">
        <v>24879</v>
      </c>
      <c r="L26" s="8" t="n">
        <v>12248</v>
      </c>
      <c r="M26" s="8" t="n">
        <v>36852</v>
      </c>
      <c r="N26" s="8" t="n">
        <v>68593</v>
      </c>
      <c r="O26" s="8" t="n">
        <v>79975</v>
      </c>
      <c r="P26" s="8" t="n">
        <v>109001.86</v>
      </c>
      <c r="Q26" s="8" t="n">
        <v>146127.4</v>
      </c>
      <c r="R26" s="8" t="n">
        <v>183469.22</v>
      </c>
      <c r="S26" s="8" t="n">
        <v>223208.87</v>
      </c>
      <c r="T26" s="8" t="n">
        <v>264582.39</v>
      </c>
      <c r="U26" s="8" t="n">
        <v>305413.69</v>
      </c>
    </row>
    <row r="27" customFormat="false" ht="15" hidden="false" customHeight="false" outlineLevel="0" collapsed="false">
      <c r="A27" s="6" t="s">
        <v>43</v>
      </c>
      <c r="B27" s="7" t="s">
        <v>27</v>
      </c>
      <c r="C27" s="8" t="n">
        <v>273</v>
      </c>
      <c r="D27" s="8" t="n">
        <v>-240.6</v>
      </c>
      <c r="E27" s="8" t="n">
        <v>596.1</v>
      </c>
      <c r="F27" s="8" t="n">
        <v>2371</v>
      </c>
      <c r="G27" s="8" t="n">
        <v>3033</v>
      </c>
      <c r="H27" s="8" t="n">
        <v>10073</v>
      </c>
      <c r="I27" s="8" t="n">
        <v>11588</v>
      </c>
      <c r="J27" s="8" t="n">
        <v>21331</v>
      </c>
      <c r="K27" s="8" t="n">
        <v>33364</v>
      </c>
      <c r="L27" s="8" t="n">
        <v>-2722</v>
      </c>
      <c r="M27" s="8" t="n">
        <v>30425</v>
      </c>
      <c r="N27" s="8" t="n">
        <v>59248</v>
      </c>
      <c r="O27" s="8" t="n">
        <v>77670</v>
      </c>
      <c r="P27" s="8" t="n">
        <v>98333.72</v>
      </c>
      <c r="Q27" s="8" t="n">
        <v>116218.4</v>
      </c>
      <c r="R27" s="8" t="n">
        <v>145016.4</v>
      </c>
      <c r="S27" s="8" t="n">
        <v>177176.2</v>
      </c>
      <c r="T27" s="8" t="n">
        <v>211925.99</v>
      </c>
      <c r="U27" s="8" t="n">
        <v>247587.75</v>
      </c>
    </row>
    <row r="28" customFormat="false" ht="15" hidden="false" customHeight="false" outlineLevel="0" collapsed="false">
      <c r="A28" s="6" t="s">
        <v>43</v>
      </c>
      <c r="B28" s="7" t="s">
        <v>28</v>
      </c>
      <c r="C28" s="10" t="n">
        <v>0.03</v>
      </c>
      <c r="D28" s="10" t="n">
        <v>-0.03</v>
      </c>
      <c r="E28" s="10" t="n">
        <v>0.06</v>
      </c>
      <c r="F28" s="10" t="n">
        <v>0.24</v>
      </c>
      <c r="G28" s="10" t="n">
        <v>0.31</v>
      </c>
      <c r="H28" s="10" t="n">
        <v>1.01</v>
      </c>
      <c r="I28" s="10" t="n">
        <v>1.15</v>
      </c>
      <c r="J28" s="10" t="n">
        <v>2.08</v>
      </c>
      <c r="K28" s="10" t="n">
        <v>3.25</v>
      </c>
      <c r="L28" s="10" t="n">
        <v>-0.26</v>
      </c>
      <c r="M28" s="10" t="n">
        <v>2.88</v>
      </c>
      <c r="N28" s="10" t="n">
        <v>5.53</v>
      </c>
      <c r="O28" s="10" t="n">
        <v>7.17</v>
      </c>
      <c r="P28" s="10" t="n">
        <v>9.02</v>
      </c>
      <c r="Q28" s="10" t="n">
        <v>10.58</v>
      </c>
      <c r="R28" s="10" t="n">
        <v>13.11</v>
      </c>
      <c r="S28" s="10" t="n">
        <v>15.92</v>
      </c>
      <c r="T28" s="10" t="n">
        <v>18.92</v>
      </c>
      <c r="U28" s="10" t="n">
        <v>21.97</v>
      </c>
    </row>
    <row r="29" customFormat="false" ht="15" hidden="false" customHeight="false" outlineLevel="0" collapsed="false">
      <c r="A29" s="6" t="s">
        <v>43</v>
      </c>
      <c r="B29" s="7" t="s">
        <v>29</v>
      </c>
      <c r="C29" s="8" t="n">
        <v>9340</v>
      </c>
      <c r="D29" s="8" t="n">
        <v>9440</v>
      </c>
      <c r="E29" s="8" t="n">
        <v>9620</v>
      </c>
      <c r="F29" s="8" t="n">
        <v>9720</v>
      </c>
      <c r="G29" s="8" t="n">
        <v>9910</v>
      </c>
      <c r="H29" s="8" t="n">
        <v>10020</v>
      </c>
      <c r="I29" s="8" t="n">
        <v>10100</v>
      </c>
      <c r="J29" s="8" t="n">
        <v>10254</v>
      </c>
      <c r="K29" s="8" t="n">
        <v>10274.5</v>
      </c>
      <c r="L29" s="8" t="n">
        <v>10296.5</v>
      </c>
      <c r="M29" s="8" t="n">
        <v>10568.69</v>
      </c>
      <c r="N29" s="8" t="n">
        <v>10721</v>
      </c>
      <c r="O29" s="8" t="n">
        <v>10827</v>
      </c>
      <c r="P29" s="8" t="n">
        <v>10907.55</v>
      </c>
      <c r="Q29" s="8" t="n">
        <v>10986.16</v>
      </c>
      <c r="R29" s="8" t="n">
        <v>11059.39</v>
      </c>
      <c r="S29" s="8" t="n">
        <v>11131.13</v>
      </c>
      <c r="T29" s="8" t="n">
        <v>11201.4</v>
      </c>
      <c r="U29" s="8" t="n">
        <v>11270.24</v>
      </c>
    </row>
    <row r="30" customFormat="false" ht="15" hidden="false" customHeight="false" outlineLevel="0" collapsed="false">
      <c r="A30" s="6" t="s">
        <v>43</v>
      </c>
      <c r="B30" s="7" t="s">
        <v>30</v>
      </c>
      <c r="C30" s="8" t="n">
        <v>-1134</v>
      </c>
      <c r="D30" s="8" t="n">
        <v>-1497</v>
      </c>
      <c r="E30" s="8" t="n">
        <v>-2120</v>
      </c>
      <c r="F30" s="8" t="n">
        <v>-2975</v>
      </c>
      <c r="G30" s="8" t="n">
        <v>-4214</v>
      </c>
      <c r="H30" s="8" t="n">
        <v>-5418</v>
      </c>
      <c r="I30" s="8" t="n">
        <v>-6864</v>
      </c>
      <c r="J30" s="8" t="n">
        <v>-9208</v>
      </c>
      <c r="K30" s="8" t="n">
        <v>-12757</v>
      </c>
      <c r="L30" s="8" t="n">
        <v>-19621</v>
      </c>
      <c r="M30" s="8" t="n">
        <v>-24023</v>
      </c>
      <c r="N30" s="8" t="n">
        <v>-22077.4</v>
      </c>
      <c r="O30" s="8" t="n">
        <v>-19467</v>
      </c>
      <c r="P30" s="8" t="n">
        <v>-18863.32</v>
      </c>
      <c r="Q30" s="8" t="n">
        <v>-17920.15</v>
      </c>
      <c r="R30" s="8" t="n">
        <v>-18816.16</v>
      </c>
      <c r="S30" s="8" t="n">
        <v>-19756.97</v>
      </c>
      <c r="T30" s="8" t="n">
        <v>-20744.82</v>
      </c>
      <c r="U30" s="8" t="n">
        <v>-21782.06</v>
      </c>
    </row>
    <row r="31" customFormat="false" ht="15" hidden="false" customHeight="false" outlineLevel="0" collapsed="false">
      <c r="A31" s="6" t="s">
        <v>43</v>
      </c>
      <c r="B31" s="7" t="s">
        <v>31</v>
      </c>
      <c r="C31" s="8" t="n">
        <v>3253</v>
      </c>
      <c r="D31" s="8" t="n">
        <v>4745</v>
      </c>
      <c r="E31" s="8" t="n">
        <v>6281</v>
      </c>
      <c r="F31" s="8" t="n">
        <v>8117</v>
      </c>
      <c r="G31" s="8" t="n">
        <v>11478</v>
      </c>
      <c r="H31" s="8" t="n">
        <v>15341</v>
      </c>
      <c r="I31" s="8" t="n">
        <v>21789</v>
      </c>
      <c r="J31" s="8" t="n">
        <v>25251</v>
      </c>
      <c r="K31" s="8" t="n">
        <v>34296</v>
      </c>
      <c r="L31" s="8" t="n">
        <v>41461</v>
      </c>
      <c r="M31" s="8" t="n">
        <v>48663</v>
      </c>
      <c r="N31" s="8" t="n">
        <v>52795</v>
      </c>
      <c r="O31" s="8" t="n">
        <v>65756</v>
      </c>
      <c r="P31" s="8" t="n">
        <v>81175.82</v>
      </c>
      <c r="Q31" s="8" t="n">
        <v>90716.93</v>
      </c>
      <c r="R31" s="8" t="n">
        <v>120533.23</v>
      </c>
      <c r="S31" s="8" t="n">
        <v>150703.05</v>
      </c>
      <c r="T31" s="8" t="n">
        <v>175451.44</v>
      </c>
      <c r="U31" s="8" t="n">
        <v>191789.29</v>
      </c>
    </row>
    <row r="32" customFormat="false" ht="15" hidden="false" customHeight="false" outlineLevel="0" collapsed="false">
      <c r="A32" s="6" t="s">
        <v>43</v>
      </c>
      <c r="B32" s="7" t="s">
        <v>32</v>
      </c>
      <c r="C32" s="8" t="n">
        <v>3443</v>
      </c>
      <c r="D32" s="8" t="n">
        <v>4892</v>
      </c>
      <c r="E32" s="8" t="n">
        <v>4588</v>
      </c>
      <c r="F32" s="8" t="n">
        <v>6736</v>
      </c>
      <c r="G32" s="8" t="n">
        <v>10057</v>
      </c>
      <c r="H32" s="8" t="n">
        <v>11322</v>
      </c>
      <c r="I32" s="8" t="n">
        <v>12690</v>
      </c>
      <c r="J32" s="8" t="n">
        <v>35046</v>
      </c>
      <c r="K32" s="8" t="n">
        <v>55396</v>
      </c>
      <c r="L32" s="8" t="n">
        <v>58321</v>
      </c>
      <c r="M32" s="8" t="n">
        <v>48133</v>
      </c>
      <c r="N32" s="8" t="n">
        <v>77658</v>
      </c>
      <c r="O32" s="8" t="n">
        <v>128320</v>
      </c>
      <c r="P32" s="8" t="n">
        <v>200104.98</v>
      </c>
      <c r="Q32" s="8" t="n">
        <v>270141.72</v>
      </c>
      <c r="R32" s="8" t="n">
        <v>283648.81</v>
      </c>
      <c r="S32" s="8" t="n">
        <v>297831.25</v>
      </c>
      <c r="T32" s="8" t="n">
        <v>312722.81</v>
      </c>
      <c r="U32" s="8" t="n">
        <v>328358.95</v>
      </c>
    </row>
    <row r="33" customFormat="false" ht="15" hidden="false" customHeight="false" outlineLevel="0" collapsed="false">
      <c r="A33" s="6" t="s">
        <v>43</v>
      </c>
      <c r="B33" s="7" t="s">
        <v>35</v>
      </c>
      <c r="C33" s="8" t="n">
        <v>5474</v>
      </c>
      <c r="D33" s="8" t="n">
        <v>6841.4</v>
      </c>
      <c r="E33" s="8" t="n">
        <v>11920.1</v>
      </c>
      <c r="F33" s="8" t="n">
        <v>17271</v>
      </c>
      <c r="G33" s="8" t="n">
        <v>18434</v>
      </c>
      <c r="H33" s="8" t="n">
        <v>30724</v>
      </c>
      <c r="I33" s="8" t="n">
        <v>38515</v>
      </c>
      <c r="J33" s="8" t="n">
        <v>66064</v>
      </c>
      <c r="K33" s="8" t="n">
        <v>46327</v>
      </c>
      <c r="L33" s="8" t="n">
        <v>46752</v>
      </c>
      <c r="M33" s="8" t="n">
        <v>84946</v>
      </c>
      <c r="N33" s="8" t="n">
        <v>115877</v>
      </c>
      <c r="O33" s="8" t="n">
        <v>139514</v>
      </c>
      <c r="P33" s="8" t="n">
        <v>181004.31</v>
      </c>
      <c r="Q33" s="8" t="n">
        <v>224443.7</v>
      </c>
      <c r="R33" s="8" t="n">
        <v>281471.71</v>
      </c>
      <c r="S33" s="8" t="n">
        <v>342814.42</v>
      </c>
      <c r="T33" s="8" t="n">
        <v>401080.41</v>
      </c>
      <c r="U33" s="8" t="n">
        <v>451875.96</v>
      </c>
    </row>
    <row r="34" customFormat="false" ht="15" hidden="false" customHeight="false" outlineLevel="0" collapsed="false">
      <c r="A34" s="6" t="s">
        <v>43</v>
      </c>
      <c r="B34" s="7" t="s">
        <v>36</v>
      </c>
      <c r="C34" s="8" t="n">
        <v>2031</v>
      </c>
      <c r="D34" s="8" t="n">
        <v>1949.4</v>
      </c>
      <c r="E34" s="8" t="n">
        <v>7332.1</v>
      </c>
      <c r="F34" s="8" t="n">
        <v>10535</v>
      </c>
      <c r="G34" s="8" t="n">
        <v>8377</v>
      </c>
      <c r="H34" s="8" t="n">
        <v>19402</v>
      </c>
      <c r="I34" s="8" t="n">
        <v>25825</v>
      </c>
      <c r="J34" s="8" t="n">
        <v>31018</v>
      </c>
      <c r="K34" s="8" t="n">
        <v>-9069</v>
      </c>
      <c r="L34" s="8" t="n">
        <v>-11569</v>
      </c>
      <c r="M34" s="8" t="n">
        <v>36813</v>
      </c>
      <c r="N34" s="8" t="n">
        <v>38219</v>
      </c>
      <c r="O34" s="8" t="n">
        <v>11194</v>
      </c>
      <c r="P34" s="8" t="n">
        <v>-19100.67</v>
      </c>
      <c r="Q34" s="8" t="n">
        <v>-45698.02</v>
      </c>
      <c r="R34" s="8" t="n">
        <v>-2177.1</v>
      </c>
      <c r="S34" s="8" t="n">
        <v>44983.17</v>
      </c>
      <c r="T34" s="8" t="n">
        <v>88357.6</v>
      </c>
      <c r="U34" s="8" t="n">
        <v>123517</v>
      </c>
    </row>
    <row r="35" customFormat="false" ht="15" hidden="false" customHeight="false" outlineLevel="0" collapsed="false">
      <c r="A35" s="6" t="s">
        <v>43</v>
      </c>
      <c r="B35" s="7" t="s">
        <v>37</v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6000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</row>
    <row r="36" customFormat="false" ht="15" hidden="false" customHeight="false" outlineLevel="0" collapsed="false">
      <c r="A36" s="6" t="s">
        <v>43</v>
      </c>
      <c r="B36" s="7" t="s">
        <v>44</v>
      </c>
      <c r="C36" s="8" t="n">
        <v>3107.57</v>
      </c>
      <c r="D36" s="8" t="n">
        <v>4644</v>
      </c>
      <c r="E36" s="8" t="n">
        <v>7880</v>
      </c>
      <c r="F36" s="8" t="n">
        <v>12219</v>
      </c>
      <c r="G36" s="8" t="n">
        <v>17458</v>
      </c>
      <c r="H36" s="8" t="n">
        <v>25656</v>
      </c>
      <c r="I36" s="8" t="n">
        <v>35026</v>
      </c>
      <c r="J36" s="8" t="n">
        <v>45370</v>
      </c>
      <c r="K36" s="8" t="n">
        <v>62202</v>
      </c>
      <c r="L36" s="8" t="n">
        <v>80096</v>
      </c>
      <c r="M36" s="8" t="n">
        <v>90757</v>
      </c>
      <c r="N36" s="8" t="n">
        <v>107556</v>
      </c>
      <c r="O36" s="8" t="n">
        <v>128725</v>
      </c>
      <c r="P36" s="8" t="n">
        <v>171284.9</v>
      </c>
      <c r="Q36" s="8" t="n">
        <v>225587.94</v>
      </c>
      <c r="R36" s="8" t="n">
        <v>274421.67</v>
      </c>
      <c r="S36" s="8" t="n">
        <v>323817.58</v>
      </c>
      <c r="T36" s="8" t="n">
        <v>374009.3</v>
      </c>
      <c r="U36" s="8" t="n">
        <v>423565.53</v>
      </c>
    </row>
    <row r="37" customFormat="false" ht="15" hidden="false" customHeight="false" outlineLevel="0" collapsed="false">
      <c r="A37" s="6" t="s">
        <v>43</v>
      </c>
      <c r="B37" s="7" t="s">
        <v>45</v>
      </c>
      <c r="C37" s="9"/>
      <c r="D37" s="8" t="n">
        <v>458</v>
      </c>
      <c r="E37" s="8" t="n">
        <v>1508</v>
      </c>
      <c r="F37" s="8" t="n">
        <v>3109</v>
      </c>
      <c r="G37" s="8" t="n">
        <v>4331</v>
      </c>
      <c r="H37" s="8" t="n">
        <v>7296</v>
      </c>
      <c r="I37" s="8" t="n">
        <v>9201</v>
      </c>
      <c r="J37" s="8" t="n">
        <v>13531</v>
      </c>
      <c r="K37" s="8" t="n">
        <v>18532</v>
      </c>
      <c r="L37" s="8" t="n">
        <v>22841</v>
      </c>
      <c r="M37" s="8" t="n">
        <v>24631</v>
      </c>
      <c r="N37" s="8" t="n">
        <v>39834</v>
      </c>
      <c r="O37" s="8" t="n">
        <v>45606</v>
      </c>
      <c r="P37" s="8" t="n">
        <v>61254.41</v>
      </c>
      <c r="Q37" s="8" t="n">
        <v>81248.3</v>
      </c>
      <c r="R37" s="8" t="n">
        <v>100888.47</v>
      </c>
      <c r="S37" s="8" t="n">
        <v>121477.03</v>
      </c>
      <c r="T37" s="8" t="n">
        <v>143111.04</v>
      </c>
      <c r="U37" s="8" t="n">
        <v>165249.99</v>
      </c>
    </row>
    <row r="38" customFormat="false" ht="15" hidden="false" customHeight="false" outlineLevel="0" collapsed="false">
      <c r="A38" s="6" t="s">
        <v>43</v>
      </c>
      <c r="B38" s="7" t="s">
        <v>46</v>
      </c>
      <c r="C38" s="8" t="n">
        <v>41410.43</v>
      </c>
      <c r="D38" s="8" t="n">
        <v>50834</v>
      </c>
      <c r="E38" s="8" t="n">
        <v>63709</v>
      </c>
      <c r="F38" s="8" t="n">
        <v>79784</v>
      </c>
      <c r="G38" s="8" t="n">
        <v>106110</v>
      </c>
      <c r="H38" s="8" t="n">
        <v>141366</v>
      </c>
      <c r="I38" s="8" t="n">
        <v>170773</v>
      </c>
      <c r="J38" s="8" t="n">
        <v>236282</v>
      </c>
      <c r="K38" s="8" t="n">
        <v>279833</v>
      </c>
      <c r="L38" s="8" t="n">
        <v>315880</v>
      </c>
      <c r="M38" s="8" t="n">
        <v>352828</v>
      </c>
      <c r="N38" s="8" t="n">
        <v>387497</v>
      </c>
      <c r="O38" s="8" t="n">
        <v>426305</v>
      </c>
      <c r="P38" s="8" t="n">
        <v>470778.82</v>
      </c>
      <c r="Q38" s="8" t="n">
        <v>518831.61</v>
      </c>
      <c r="R38" s="8" t="n">
        <v>569322.64</v>
      </c>
      <c r="S38" s="8" t="n">
        <v>622020.48</v>
      </c>
      <c r="T38" s="8" t="n">
        <v>676638.44</v>
      </c>
      <c r="U38" s="8" t="n">
        <v>732834.43</v>
      </c>
    </row>
    <row r="39" customFormat="false" ht="15" hidden="false" customHeight="false" outlineLevel="0" collapsed="false">
      <c r="A39" s="6" t="s">
        <v>43</v>
      </c>
      <c r="B39" s="7" t="s">
        <v>47</v>
      </c>
      <c r="C39" s="8" t="n">
        <v>29935</v>
      </c>
      <c r="D39" s="8" t="n">
        <v>33510.4</v>
      </c>
      <c r="E39" s="8" t="n">
        <v>35417.6</v>
      </c>
      <c r="F39" s="8" t="n">
        <v>43984</v>
      </c>
      <c r="G39" s="8" t="n">
        <v>54298</v>
      </c>
      <c r="H39" s="8" t="n">
        <v>65865</v>
      </c>
      <c r="I39" s="8" t="n">
        <v>74723</v>
      </c>
      <c r="J39" s="8" t="n">
        <v>104412</v>
      </c>
      <c r="K39" s="8" t="n">
        <v>127787</v>
      </c>
      <c r="L39" s="8" t="n">
        <v>118007</v>
      </c>
      <c r="M39" s="8" t="n">
        <v>131200</v>
      </c>
      <c r="N39" s="8" t="n">
        <v>142906</v>
      </c>
      <c r="O39" s="8" t="n">
        <v>161894</v>
      </c>
      <c r="P39" s="8" t="n">
        <v>185535.79</v>
      </c>
      <c r="Q39" s="8" t="n">
        <v>202211.37</v>
      </c>
      <c r="R39" s="8" t="n">
        <v>219596.27</v>
      </c>
      <c r="S39" s="8" t="n">
        <v>237279.67</v>
      </c>
      <c r="T39" s="8" t="n">
        <v>254767.75</v>
      </c>
      <c r="U39" s="8" t="n">
        <v>271512.66</v>
      </c>
    </row>
    <row r="41" customFormat="false" ht="15" hidden="false" customHeight="true" outlineLevel="0" collapsed="false">
      <c r="A41" s="13" t="s">
        <v>48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customFormat="false" ht="15" hidden="false" customHeight="false" outlineLevel="0" collapsed="false">
      <c r="A42" s="6" t="s">
        <v>49</v>
      </c>
      <c r="B42" s="7" t="s">
        <v>25</v>
      </c>
      <c r="C42" s="8" t="n">
        <v>55519</v>
      </c>
      <c r="D42" s="8" t="n">
        <v>66001</v>
      </c>
      <c r="E42" s="8" t="n">
        <v>74989</v>
      </c>
      <c r="F42" s="8" t="n">
        <v>90272</v>
      </c>
      <c r="G42" s="8" t="n">
        <v>110855</v>
      </c>
      <c r="H42" s="8" t="n">
        <v>136819</v>
      </c>
      <c r="I42" s="8" t="n">
        <v>161857</v>
      </c>
      <c r="J42" s="8" t="n">
        <v>182527</v>
      </c>
      <c r="K42" s="8" t="n">
        <v>257637</v>
      </c>
      <c r="L42" s="8" t="n">
        <v>282836</v>
      </c>
      <c r="M42" s="8" t="n">
        <v>307394</v>
      </c>
      <c r="N42" s="8" t="n">
        <v>350018</v>
      </c>
      <c r="O42" s="8" t="n">
        <v>402836</v>
      </c>
      <c r="P42" s="8" t="n">
        <v>488278.6</v>
      </c>
      <c r="Q42" s="8" t="n">
        <v>591935.74</v>
      </c>
      <c r="R42" s="8" t="n">
        <v>701414.49</v>
      </c>
      <c r="S42" s="8" t="n">
        <v>815276.88</v>
      </c>
      <c r="T42" s="8" t="n">
        <v>921874.95</v>
      </c>
      <c r="U42" s="8" t="n">
        <v>1029231.91</v>
      </c>
    </row>
    <row r="43" customFormat="false" ht="15" hidden="false" customHeight="false" outlineLevel="0" collapsed="false">
      <c r="A43" s="6" t="s">
        <v>49</v>
      </c>
      <c r="B43" s="7" t="s">
        <v>26</v>
      </c>
      <c r="C43" s="8" t="n">
        <v>15403</v>
      </c>
      <c r="D43" s="8" t="n">
        <v>16496</v>
      </c>
      <c r="E43" s="8" t="n">
        <v>19360</v>
      </c>
      <c r="F43" s="8" t="n">
        <v>23716</v>
      </c>
      <c r="G43" s="8" t="n">
        <v>26146</v>
      </c>
      <c r="H43" s="8" t="n">
        <v>26953</v>
      </c>
      <c r="I43" s="8" t="n">
        <v>34231</v>
      </c>
      <c r="J43" s="8" t="n">
        <v>41224</v>
      </c>
      <c r="K43" s="8" t="n">
        <v>78714</v>
      </c>
      <c r="L43" s="8" t="n">
        <v>74842</v>
      </c>
      <c r="M43" s="8" t="n">
        <v>84293</v>
      </c>
      <c r="N43" s="8" t="n">
        <v>112390</v>
      </c>
      <c r="O43" s="8" t="n">
        <v>129039</v>
      </c>
      <c r="P43" s="8" t="n">
        <v>167318.21</v>
      </c>
      <c r="Q43" s="8" t="n">
        <v>210287.33</v>
      </c>
      <c r="R43" s="8" t="n">
        <v>253779.42</v>
      </c>
      <c r="S43" s="8" t="n">
        <v>298519.7</v>
      </c>
      <c r="T43" s="8" t="n">
        <v>338347.07</v>
      </c>
      <c r="U43" s="8" t="n">
        <v>380286.59</v>
      </c>
    </row>
    <row r="44" customFormat="false" ht="15" hidden="false" customHeight="false" outlineLevel="0" collapsed="false">
      <c r="A44" s="6" t="s">
        <v>49</v>
      </c>
      <c r="B44" s="7" t="s">
        <v>27</v>
      </c>
      <c r="C44" s="8" t="n">
        <v>12720</v>
      </c>
      <c r="D44" s="8" t="n">
        <v>14136</v>
      </c>
      <c r="E44" s="8" t="n">
        <v>16348</v>
      </c>
      <c r="F44" s="8" t="n">
        <v>19478</v>
      </c>
      <c r="G44" s="8" t="n">
        <v>12662</v>
      </c>
      <c r="H44" s="8" t="n">
        <v>30736</v>
      </c>
      <c r="I44" s="8" t="n">
        <v>34343</v>
      </c>
      <c r="J44" s="8" t="n">
        <v>40269</v>
      </c>
      <c r="K44" s="8" t="n">
        <v>76033</v>
      </c>
      <c r="L44" s="8" t="n">
        <v>59972</v>
      </c>
      <c r="M44" s="8" t="n">
        <v>73795</v>
      </c>
      <c r="N44" s="8" t="n">
        <v>100118</v>
      </c>
      <c r="O44" s="8" t="n">
        <v>132170</v>
      </c>
      <c r="P44" s="8" t="n">
        <v>168543.28</v>
      </c>
      <c r="Q44" s="8" t="n">
        <v>174626.97</v>
      </c>
      <c r="R44" s="8" t="n">
        <v>210753.44</v>
      </c>
      <c r="S44" s="8" t="n">
        <v>249488.6</v>
      </c>
      <c r="T44" s="8" t="n">
        <v>285975.76</v>
      </c>
      <c r="U44" s="8" t="n">
        <v>326302.42</v>
      </c>
    </row>
    <row r="45" customFormat="false" ht="15" hidden="false" customHeight="false" outlineLevel="0" collapsed="false">
      <c r="A45" s="6" t="s">
        <v>49</v>
      </c>
      <c r="B45" s="7" t="s">
        <v>28</v>
      </c>
      <c r="C45" s="10" t="n">
        <v>0.94</v>
      </c>
      <c r="D45" s="10" t="n">
        <v>1.03</v>
      </c>
      <c r="E45" s="10" t="n">
        <v>1.18</v>
      </c>
      <c r="F45" s="10" t="n">
        <v>1.39</v>
      </c>
      <c r="G45" s="10" t="n">
        <v>0.9</v>
      </c>
      <c r="H45" s="10" t="n">
        <v>2.19</v>
      </c>
      <c r="I45" s="10" t="n">
        <v>2.46</v>
      </c>
      <c r="J45" s="10" t="n">
        <v>2.93</v>
      </c>
      <c r="K45" s="10" t="n">
        <v>5.61</v>
      </c>
      <c r="L45" s="10" t="n">
        <v>4.56</v>
      </c>
      <c r="M45" s="10" t="n">
        <v>5.8</v>
      </c>
      <c r="N45" s="10" t="n">
        <v>8.04</v>
      </c>
      <c r="O45" s="10" t="n">
        <v>10.81</v>
      </c>
      <c r="P45" s="10" t="n">
        <v>13.73</v>
      </c>
      <c r="Q45" s="10" t="n">
        <v>14.16</v>
      </c>
      <c r="R45" s="10" t="n">
        <v>17.04</v>
      </c>
      <c r="S45" s="10" t="n">
        <v>20.12</v>
      </c>
      <c r="T45" s="10" t="n">
        <v>22.99</v>
      </c>
      <c r="U45" s="10" t="n">
        <v>26.09</v>
      </c>
    </row>
    <row r="46" customFormat="false" ht="15" hidden="false" customHeight="false" outlineLevel="0" collapsed="false">
      <c r="A46" s="6" t="s">
        <v>49</v>
      </c>
      <c r="B46" s="7" t="s">
        <v>29</v>
      </c>
      <c r="C46" s="8" t="n">
        <v>13552.38</v>
      </c>
      <c r="D46" s="8" t="n">
        <v>13741.41</v>
      </c>
      <c r="E46" s="8" t="n">
        <v>13858.6</v>
      </c>
      <c r="F46" s="8" t="n">
        <v>13974.09</v>
      </c>
      <c r="G46" s="8" t="n">
        <v>14071.67</v>
      </c>
      <c r="H46" s="8" t="n">
        <v>14065.69</v>
      </c>
      <c r="I46" s="8" t="n">
        <v>13971.13</v>
      </c>
      <c r="J46" s="8" t="n">
        <v>13740.56</v>
      </c>
      <c r="K46" s="8" t="n">
        <v>13553</v>
      </c>
      <c r="L46" s="8" t="n">
        <v>13159</v>
      </c>
      <c r="M46" s="8" t="n">
        <v>12722</v>
      </c>
      <c r="N46" s="8" t="n">
        <v>12447</v>
      </c>
      <c r="O46" s="8" t="n">
        <v>12230</v>
      </c>
      <c r="P46" s="8" t="n">
        <v>12275.96</v>
      </c>
      <c r="Q46" s="8" t="n">
        <v>12335.53</v>
      </c>
      <c r="R46" s="8" t="n">
        <v>12366.42</v>
      </c>
      <c r="S46" s="8" t="n">
        <v>12399.99</v>
      </c>
      <c r="T46" s="8" t="n">
        <v>12436.85</v>
      </c>
      <c r="U46" s="8" t="n">
        <v>12506.36</v>
      </c>
    </row>
    <row r="47" customFormat="false" ht="15" hidden="false" customHeight="false" outlineLevel="0" collapsed="false">
      <c r="A47" s="6" t="s">
        <v>49</v>
      </c>
      <c r="B47" s="7" t="s">
        <v>30</v>
      </c>
      <c r="C47" s="8" t="n">
        <v>-3268</v>
      </c>
      <c r="D47" s="8" t="n">
        <v>-4175</v>
      </c>
      <c r="E47" s="8" t="n">
        <v>-4903</v>
      </c>
      <c r="F47" s="8" t="n">
        <v>-6703</v>
      </c>
      <c r="G47" s="8" t="n">
        <v>-7679</v>
      </c>
      <c r="H47" s="8" t="n">
        <v>-9353</v>
      </c>
      <c r="I47" s="8" t="n">
        <v>-10794</v>
      </c>
      <c r="J47" s="8" t="n">
        <v>-12991</v>
      </c>
      <c r="K47" s="8" t="n">
        <v>-15376</v>
      </c>
      <c r="L47" s="8" t="n">
        <v>-19362</v>
      </c>
      <c r="M47" s="8" t="n">
        <v>-22460</v>
      </c>
      <c r="N47" s="8" t="n">
        <v>-22785</v>
      </c>
      <c r="O47" s="8" t="n">
        <v>-24953</v>
      </c>
      <c r="P47" s="8" t="n">
        <v>-27937.33</v>
      </c>
      <c r="Q47" s="8" t="n">
        <v>-30032.63</v>
      </c>
      <c r="R47" s="8" t="n">
        <v>-31979.73</v>
      </c>
      <c r="S47" s="8" t="n">
        <v>-33657.1</v>
      </c>
      <c r="T47" s="8" t="n">
        <v>-35339.95</v>
      </c>
      <c r="U47" s="8" t="n">
        <v>-37106.95</v>
      </c>
    </row>
    <row r="48" customFormat="false" ht="15" hidden="false" customHeight="false" outlineLevel="0" collapsed="false">
      <c r="A48" s="6" t="s">
        <v>49</v>
      </c>
      <c r="B48" s="7" t="s">
        <v>31</v>
      </c>
      <c r="C48" s="8" t="n">
        <v>2781</v>
      </c>
      <c r="D48" s="8" t="n">
        <v>3523</v>
      </c>
      <c r="E48" s="8" t="n">
        <v>4132</v>
      </c>
      <c r="F48" s="8" t="n">
        <v>5267</v>
      </c>
      <c r="G48" s="8" t="n">
        <v>6103</v>
      </c>
      <c r="H48" s="8" t="n">
        <v>8164</v>
      </c>
      <c r="I48" s="8" t="n">
        <v>10856</v>
      </c>
      <c r="J48" s="8" t="n">
        <v>12905</v>
      </c>
      <c r="K48" s="8" t="n">
        <v>11555</v>
      </c>
      <c r="L48" s="8" t="n">
        <v>15287</v>
      </c>
      <c r="M48" s="8" t="n">
        <v>13326</v>
      </c>
      <c r="N48" s="8" t="n">
        <v>15311</v>
      </c>
      <c r="O48" s="8" t="n">
        <v>21136</v>
      </c>
      <c r="P48" s="8" t="n">
        <v>42874.7</v>
      </c>
      <c r="Q48" s="8" t="n">
        <v>69582.72</v>
      </c>
      <c r="R48" s="8" t="n">
        <v>98340.16</v>
      </c>
      <c r="S48" s="8" t="n">
        <v>127674.93</v>
      </c>
      <c r="T48" s="8" t="n">
        <v>156155.17</v>
      </c>
      <c r="U48" s="8" t="n">
        <v>181381.37</v>
      </c>
    </row>
    <row r="49" customFormat="false" ht="15" hidden="false" customHeight="false" outlineLevel="0" collapsed="false">
      <c r="A49" s="6" t="s">
        <v>49</v>
      </c>
      <c r="B49" s="7" t="s">
        <v>32</v>
      </c>
      <c r="C49" s="8" t="n">
        <v>7358</v>
      </c>
      <c r="D49" s="8" t="n">
        <v>10959</v>
      </c>
      <c r="E49" s="8" t="n">
        <v>9915</v>
      </c>
      <c r="F49" s="8" t="n">
        <v>10183</v>
      </c>
      <c r="G49" s="8" t="n">
        <v>13184</v>
      </c>
      <c r="H49" s="8" t="n">
        <v>25139</v>
      </c>
      <c r="I49" s="8" t="n">
        <v>23548</v>
      </c>
      <c r="J49" s="8" t="n">
        <v>22281</v>
      </c>
      <c r="K49" s="8" t="n">
        <v>24640</v>
      </c>
      <c r="L49" s="8" t="n">
        <v>31485</v>
      </c>
      <c r="M49" s="8" t="n">
        <v>32251</v>
      </c>
      <c r="N49" s="8" t="n">
        <v>52535</v>
      </c>
      <c r="O49" s="8" t="n">
        <v>91447</v>
      </c>
      <c r="P49" s="8" t="n">
        <v>185234.28</v>
      </c>
      <c r="Q49" s="8" t="n">
        <v>259327.99</v>
      </c>
      <c r="R49" s="8" t="n">
        <v>285260.79</v>
      </c>
      <c r="S49" s="8" t="n">
        <v>299523.83</v>
      </c>
      <c r="T49" s="8" t="n">
        <v>314500.02</v>
      </c>
      <c r="U49" s="8" t="n">
        <v>330225.02</v>
      </c>
    </row>
    <row r="50" customFormat="false" ht="15" hidden="false" customHeight="false" outlineLevel="0" collapsed="false">
      <c r="A50" s="6" t="s">
        <v>49</v>
      </c>
      <c r="B50" s="7" t="s">
        <v>35</v>
      </c>
      <c r="C50" s="8" t="n">
        <v>18584</v>
      </c>
      <c r="D50" s="8" t="n">
        <v>22272</v>
      </c>
      <c r="E50" s="8" t="n">
        <v>25829</v>
      </c>
      <c r="F50" s="8" t="n">
        <v>36036</v>
      </c>
      <c r="G50" s="8" t="n">
        <v>37091</v>
      </c>
      <c r="H50" s="8" t="n">
        <v>47971</v>
      </c>
      <c r="I50" s="8" t="n">
        <v>54520</v>
      </c>
      <c r="J50" s="8" t="n">
        <v>65124</v>
      </c>
      <c r="K50" s="8" t="n">
        <v>91652</v>
      </c>
      <c r="L50" s="8" t="n">
        <v>91495</v>
      </c>
      <c r="M50" s="8" t="n">
        <v>101746</v>
      </c>
      <c r="N50" s="8" t="n">
        <v>125299</v>
      </c>
      <c r="O50" s="8" t="n">
        <v>164713</v>
      </c>
      <c r="P50" s="8" t="n">
        <v>211985.47</v>
      </c>
      <c r="Q50" s="8" t="n">
        <v>282346.21</v>
      </c>
      <c r="R50" s="8" t="n">
        <v>352943.8</v>
      </c>
      <c r="S50" s="8" t="n">
        <v>424226.82</v>
      </c>
      <c r="T50" s="8" t="n">
        <v>490867.35</v>
      </c>
      <c r="U50" s="8" t="n">
        <v>557191.03</v>
      </c>
    </row>
    <row r="51" customFormat="false" ht="15" hidden="false" customHeight="false" outlineLevel="0" collapsed="false">
      <c r="A51" s="6" t="s">
        <v>49</v>
      </c>
      <c r="B51" s="7" t="s">
        <v>36</v>
      </c>
      <c r="C51" s="8" t="n">
        <v>11226</v>
      </c>
      <c r="D51" s="8" t="n">
        <v>11313</v>
      </c>
      <c r="E51" s="8" t="n">
        <v>15914</v>
      </c>
      <c r="F51" s="8" t="n">
        <v>25853</v>
      </c>
      <c r="G51" s="8" t="n">
        <v>23907</v>
      </c>
      <c r="H51" s="8" t="n">
        <v>22832</v>
      </c>
      <c r="I51" s="8" t="n">
        <v>30972</v>
      </c>
      <c r="J51" s="8" t="n">
        <v>42843</v>
      </c>
      <c r="K51" s="8" t="n">
        <v>67012</v>
      </c>
      <c r="L51" s="8" t="n">
        <v>60010</v>
      </c>
      <c r="M51" s="8" t="n">
        <v>69495</v>
      </c>
      <c r="N51" s="8" t="n">
        <v>72764</v>
      </c>
      <c r="O51" s="8" t="n">
        <v>73266</v>
      </c>
      <c r="P51" s="8" t="n">
        <v>26751.19</v>
      </c>
      <c r="Q51" s="8" t="n">
        <v>23018.22</v>
      </c>
      <c r="R51" s="8" t="n">
        <v>67683.01</v>
      </c>
      <c r="S51" s="8" t="n">
        <v>124702.99</v>
      </c>
      <c r="T51" s="8" t="n">
        <v>176367.33</v>
      </c>
      <c r="U51" s="8" t="n">
        <v>226966.01</v>
      </c>
    </row>
    <row r="52" customFormat="false" ht="15" hidden="false" customHeight="false" outlineLevel="0" collapsed="false">
      <c r="A52" s="6" t="s">
        <v>49</v>
      </c>
      <c r="B52" s="7" t="s">
        <v>37</v>
      </c>
      <c r="C52" s="8" t="n">
        <v>0</v>
      </c>
      <c r="D52" s="8" t="n">
        <v>0</v>
      </c>
      <c r="E52" s="8" t="n">
        <v>1827</v>
      </c>
      <c r="F52" s="8" t="n">
        <v>3693</v>
      </c>
      <c r="G52" s="8" t="n">
        <v>4846</v>
      </c>
      <c r="H52" s="8" t="n">
        <v>9075</v>
      </c>
      <c r="I52" s="8" t="n">
        <v>18396</v>
      </c>
      <c r="J52" s="8" t="n">
        <v>31149</v>
      </c>
      <c r="K52" s="8" t="n">
        <v>50274</v>
      </c>
      <c r="L52" s="8" t="n">
        <v>59296</v>
      </c>
      <c r="M52" s="8" t="n">
        <v>61504</v>
      </c>
      <c r="N52" s="8" t="n">
        <v>62222</v>
      </c>
      <c r="O52" s="8" t="n">
        <v>45709</v>
      </c>
      <c r="P52" s="8" t="n">
        <v>0</v>
      </c>
      <c r="Q52" s="8" t="n">
        <v>20000</v>
      </c>
      <c r="R52" s="8" t="n">
        <v>20000</v>
      </c>
      <c r="S52" s="8" t="n">
        <v>20000</v>
      </c>
      <c r="T52" s="8" t="n">
        <v>15000</v>
      </c>
      <c r="U52" s="8" t="n">
        <v>0</v>
      </c>
    </row>
    <row r="53" customFormat="false" ht="15" hidden="false" customHeight="false" outlineLevel="0" collapsed="false">
      <c r="A53" s="6" t="s">
        <v>49</v>
      </c>
      <c r="B53" s="7" t="s">
        <v>50</v>
      </c>
      <c r="C53" s="9"/>
      <c r="D53" s="9"/>
      <c r="E53" s="9"/>
      <c r="F53" s="9"/>
      <c r="G53" s="8" t="n">
        <v>4056</v>
      </c>
      <c r="H53" s="8" t="n">
        <v>5838</v>
      </c>
      <c r="I53" s="8" t="n">
        <v>8918</v>
      </c>
      <c r="J53" s="8" t="n">
        <v>13059</v>
      </c>
      <c r="K53" s="8" t="n">
        <v>19206</v>
      </c>
      <c r="L53" s="8" t="n">
        <v>26280</v>
      </c>
      <c r="M53" s="8" t="n">
        <v>33088</v>
      </c>
      <c r="N53" s="8" t="n">
        <v>43229</v>
      </c>
      <c r="O53" s="8" t="n">
        <v>58705</v>
      </c>
      <c r="P53" s="8" t="n">
        <v>99085.93</v>
      </c>
      <c r="Q53" s="8" t="n">
        <v>157303.91</v>
      </c>
      <c r="R53" s="8" t="n">
        <v>220225.47</v>
      </c>
      <c r="S53" s="8" t="n">
        <v>286293.12</v>
      </c>
      <c r="T53" s="8" t="n">
        <v>343551.74</v>
      </c>
      <c r="U53" s="8" t="n">
        <v>400237.78</v>
      </c>
    </row>
    <row r="54" customFormat="false" ht="15" hidden="false" customHeight="false" outlineLevel="0" collapsed="false">
      <c r="A54" s="6" t="s">
        <v>49</v>
      </c>
      <c r="B54" s="7" t="s">
        <v>51</v>
      </c>
      <c r="C54" s="9"/>
      <c r="D54" s="9"/>
      <c r="E54" s="9"/>
      <c r="F54" s="9"/>
      <c r="G54" s="8" t="n">
        <v>69811</v>
      </c>
      <c r="H54" s="8" t="n">
        <v>85296</v>
      </c>
      <c r="I54" s="8" t="n">
        <v>98115</v>
      </c>
      <c r="J54" s="8" t="n">
        <v>104062</v>
      </c>
      <c r="K54" s="8" t="n">
        <v>148951</v>
      </c>
      <c r="L54" s="8" t="n">
        <v>162450</v>
      </c>
      <c r="M54" s="8" t="n">
        <v>175033</v>
      </c>
      <c r="N54" s="8" t="n">
        <v>198084</v>
      </c>
      <c r="O54" s="8" t="n">
        <v>224532</v>
      </c>
      <c r="P54" s="8" t="n">
        <v>258723.55</v>
      </c>
      <c r="Q54" s="8" t="n">
        <v>291360.5</v>
      </c>
      <c r="R54" s="8" t="n">
        <v>324483.39</v>
      </c>
      <c r="S54" s="8" t="n">
        <v>358139.29</v>
      </c>
      <c r="T54" s="8" t="n">
        <v>392613.71</v>
      </c>
      <c r="U54" s="8" t="n">
        <v>427477.22</v>
      </c>
    </row>
    <row r="55" customFormat="false" ht="15" hidden="false" customHeight="false" outlineLevel="0" collapsed="false">
      <c r="A55" s="6" t="s">
        <v>49</v>
      </c>
      <c r="B55" s="7" t="s">
        <v>52</v>
      </c>
      <c r="C55" s="9"/>
      <c r="D55" s="9"/>
      <c r="E55" s="9"/>
      <c r="F55" s="9"/>
      <c r="G55" s="8" t="n">
        <v>8150</v>
      </c>
      <c r="H55" s="8" t="n">
        <v>11115</v>
      </c>
      <c r="I55" s="8" t="n">
        <v>15149</v>
      </c>
      <c r="J55" s="8" t="n">
        <v>19772</v>
      </c>
      <c r="K55" s="8" t="n">
        <v>28845</v>
      </c>
      <c r="L55" s="8" t="n">
        <v>29243</v>
      </c>
      <c r="M55" s="8" t="n">
        <v>31510</v>
      </c>
      <c r="N55" s="8" t="n">
        <v>36147</v>
      </c>
      <c r="O55" s="8" t="n">
        <v>40367</v>
      </c>
      <c r="P55" s="8" t="n">
        <v>43997.73</v>
      </c>
      <c r="Q55" s="8" t="n">
        <v>49277.45</v>
      </c>
      <c r="R55" s="8" t="n">
        <v>54574.78</v>
      </c>
      <c r="S55" s="8" t="n">
        <v>59759.38</v>
      </c>
      <c r="T55" s="8" t="n">
        <v>64838.93</v>
      </c>
      <c r="U55" s="8" t="n">
        <v>70026.04</v>
      </c>
    </row>
    <row r="56" customFormat="false" ht="15" hidden="false" customHeight="false" outlineLevel="0" collapsed="false">
      <c r="A56" s="6" t="s">
        <v>49</v>
      </c>
      <c r="B56" s="7" t="s">
        <v>53</v>
      </c>
      <c r="C56" s="9"/>
      <c r="D56" s="9"/>
      <c r="E56" s="9"/>
      <c r="F56" s="9"/>
      <c r="G56" s="9"/>
      <c r="H56" s="8" t="n">
        <v>-4348</v>
      </c>
      <c r="I56" s="8" t="n">
        <v>-4645</v>
      </c>
      <c r="J56" s="8" t="n">
        <v>-5607</v>
      </c>
      <c r="K56" s="8" t="n">
        <v>-2282</v>
      </c>
      <c r="L56" s="8" t="n">
        <v>-1922</v>
      </c>
      <c r="M56" s="8" t="n">
        <v>1716</v>
      </c>
      <c r="N56" s="8" t="n">
        <v>6112</v>
      </c>
      <c r="O56" s="8" t="n">
        <v>13910</v>
      </c>
      <c r="P56" s="8" t="n">
        <v>32420.97</v>
      </c>
      <c r="Q56" s="8" t="n">
        <v>57771.82</v>
      </c>
      <c r="R56" s="8" t="n">
        <v>85285.05</v>
      </c>
      <c r="S56" s="8" t="n">
        <v>113733.5</v>
      </c>
      <c r="T56" s="8" t="n">
        <v>138713.29</v>
      </c>
      <c r="U56" s="8" t="n">
        <v>163201.93</v>
      </c>
    </row>
    <row r="57" customFormat="false" ht="15" hidden="false" customHeight="false" outlineLevel="0" collapsed="false">
      <c r="A57" s="6" t="s">
        <v>49</v>
      </c>
      <c r="B57" s="7" t="s">
        <v>54</v>
      </c>
      <c r="C57" s="9"/>
      <c r="D57" s="9"/>
      <c r="E57" s="9"/>
      <c r="F57" s="9"/>
      <c r="G57" s="9"/>
      <c r="H57" s="8" t="n">
        <v>130524</v>
      </c>
      <c r="I57" s="8" t="n">
        <v>151825</v>
      </c>
      <c r="J57" s="8" t="n">
        <v>168635</v>
      </c>
      <c r="K57" s="8" t="n">
        <v>237529</v>
      </c>
      <c r="L57" s="8" t="n">
        <v>253528</v>
      </c>
      <c r="M57" s="8" t="n">
        <v>272543</v>
      </c>
      <c r="N57" s="8" t="n">
        <v>304930</v>
      </c>
      <c r="O57" s="8" t="n">
        <v>342721</v>
      </c>
      <c r="P57" s="8" t="n">
        <v>387820.32</v>
      </c>
      <c r="Q57" s="8" t="n">
        <v>433001.86</v>
      </c>
      <c r="R57" s="8" t="n">
        <v>479477.55</v>
      </c>
      <c r="S57" s="8" t="n">
        <v>527186.72</v>
      </c>
      <c r="T57" s="8" t="n">
        <v>576436.31</v>
      </c>
      <c r="U57" s="8" t="n">
        <v>627012.9</v>
      </c>
    </row>
    <row r="58" customFormat="false" ht="15" hidden="false" customHeight="false" outlineLevel="0" collapsed="false">
      <c r="A58" s="6" t="s">
        <v>49</v>
      </c>
      <c r="B58" s="7" t="s">
        <v>55</v>
      </c>
      <c r="C58" s="8" t="n">
        <v>15403</v>
      </c>
      <c r="D58" s="8" t="n">
        <v>17320</v>
      </c>
      <c r="E58" s="8" t="n">
        <v>23397</v>
      </c>
      <c r="F58" s="8" t="n">
        <v>27927</v>
      </c>
      <c r="G58" s="8" t="n">
        <v>32287</v>
      </c>
      <c r="H58" s="8" t="n">
        <v>36517</v>
      </c>
      <c r="I58" s="8" t="n">
        <v>44066</v>
      </c>
      <c r="J58" s="8" t="n">
        <v>54606</v>
      </c>
      <c r="K58" s="8" t="n">
        <v>88132</v>
      </c>
      <c r="L58" s="8" t="n">
        <v>82699</v>
      </c>
      <c r="M58" s="8" t="n">
        <v>95858</v>
      </c>
      <c r="N58" s="8" t="n">
        <v>121263</v>
      </c>
      <c r="O58" s="8" t="n">
        <v>139404</v>
      </c>
      <c r="P58" s="8" t="n">
        <v>169177.49</v>
      </c>
      <c r="Q58" s="8" t="n">
        <v>192692.38</v>
      </c>
      <c r="R58" s="8" t="n">
        <v>212413.88</v>
      </c>
      <c r="S58" s="8" t="n">
        <v>230941.87</v>
      </c>
      <c r="T58" s="8" t="n">
        <v>246073.7</v>
      </c>
      <c r="U58" s="8" t="n">
        <v>262165.65</v>
      </c>
    </row>
    <row r="60" customFormat="false" ht="15" hidden="false" customHeight="true" outlineLevel="0" collapsed="false">
      <c r="A60" s="14" t="s">
        <v>56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customFormat="false" ht="15" hidden="false" customHeight="false" outlineLevel="0" collapsed="false">
      <c r="A61" s="6" t="s">
        <v>57</v>
      </c>
      <c r="B61" s="7" t="s">
        <v>25</v>
      </c>
      <c r="C61" s="8" t="n">
        <v>7872</v>
      </c>
      <c r="D61" s="8" t="n">
        <v>12466</v>
      </c>
      <c r="E61" s="8" t="n">
        <v>17927</v>
      </c>
      <c r="F61" s="8" t="n">
        <v>27638</v>
      </c>
      <c r="G61" s="8" t="n">
        <v>40653</v>
      </c>
      <c r="H61" s="8" t="n">
        <v>55838</v>
      </c>
      <c r="I61" s="8" t="n">
        <v>70696.5</v>
      </c>
      <c r="J61" s="8" t="n">
        <v>85966</v>
      </c>
      <c r="K61" s="8" t="n">
        <v>117929</v>
      </c>
      <c r="L61" s="8" t="n">
        <v>116609</v>
      </c>
      <c r="M61" s="8" t="n">
        <v>134901</v>
      </c>
      <c r="N61" s="8" t="n">
        <v>164500</v>
      </c>
      <c r="O61" s="8" t="n">
        <v>200965</v>
      </c>
      <c r="P61" s="8" t="n">
        <v>255175.56</v>
      </c>
      <c r="Q61" s="8" t="n">
        <v>306410.52</v>
      </c>
      <c r="R61" s="8" t="n">
        <v>357336.07</v>
      </c>
      <c r="S61" s="8" t="n">
        <v>407351.97</v>
      </c>
      <c r="T61" s="8" t="n">
        <v>456192.68</v>
      </c>
      <c r="U61" s="8" t="n">
        <v>503691.81</v>
      </c>
    </row>
    <row r="62" customFormat="false" ht="15" hidden="false" customHeight="false" outlineLevel="0" collapsed="false">
      <c r="A62" s="6" t="s">
        <v>57</v>
      </c>
      <c r="B62" s="7" t="s">
        <v>26</v>
      </c>
      <c r="C62" s="8" t="n">
        <v>2804</v>
      </c>
      <c r="D62" s="8" t="n">
        <v>4994.8</v>
      </c>
      <c r="E62" s="8" t="n">
        <v>6225</v>
      </c>
      <c r="F62" s="8" t="n">
        <v>12427</v>
      </c>
      <c r="G62" s="8" t="n">
        <v>20202</v>
      </c>
      <c r="H62" s="8" t="n">
        <v>24913</v>
      </c>
      <c r="I62" s="8" t="n">
        <v>23985.5</v>
      </c>
      <c r="J62" s="8" t="n">
        <v>32671</v>
      </c>
      <c r="K62" s="8" t="n">
        <v>46753</v>
      </c>
      <c r="L62" s="8" t="n">
        <v>28945</v>
      </c>
      <c r="M62" s="8" t="n">
        <v>46751</v>
      </c>
      <c r="N62" s="8" t="n">
        <v>69380</v>
      </c>
      <c r="O62" s="8" t="n">
        <v>83276</v>
      </c>
      <c r="P62" s="8" t="n">
        <v>90489.79</v>
      </c>
      <c r="Q62" s="8" t="n">
        <v>104437.61</v>
      </c>
      <c r="R62" s="8" t="n">
        <v>118413.08</v>
      </c>
      <c r="S62" s="8" t="n">
        <v>131523.75</v>
      </c>
      <c r="T62" s="8" t="n">
        <v>142814.67</v>
      </c>
      <c r="U62" s="8" t="n">
        <v>157939.61</v>
      </c>
    </row>
    <row r="63" customFormat="false" ht="15" hidden="false" customHeight="false" outlineLevel="0" collapsed="false">
      <c r="A63" s="6" t="s">
        <v>57</v>
      </c>
      <c r="B63" s="7" t="s">
        <v>27</v>
      </c>
      <c r="C63" s="8" t="n">
        <v>1491</v>
      </c>
      <c r="D63" s="8" t="n">
        <v>2924.8</v>
      </c>
      <c r="E63" s="8" t="n">
        <v>3669</v>
      </c>
      <c r="F63" s="8" t="n">
        <v>10187.2</v>
      </c>
      <c r="G63" s="8" t="n">
        <v>15919</v>
      </c>
      <c r="H63" s="8" t="n">
        <v>22112</v>
      </c>
      <c r="I63" s="8" t="n">
        <v>18484.5</v>
      </c>
      <c r="J63" s="8" t="n">
        <v>29145</v>
      </c>
      <c r="K63" s="8" t="n">
        <v>39370</v>
      </c>
      <c r="L63" s="8" t="n">
        <v>23199</v>
      </c>
      <c r="M63" s="8" t="n">
        <v>39097</v>
      </c>
      <c r="N63" s="8" t="n">
        <v>62360</v>
      </c>
      <c r="O63" s="8" t="n">
        <v>60458</v>
      </c>
      <c r="P63" s="8" t="n">
        <v>85782.86</v>
      </c>
      <c r="Q63" s="8" t="n">
        <v>91160.94</v>
      </c>
      <c r="R63" s="8" t="n">
        <v>103452.71</v>
      </c>
      <c r="S63" s="8" t="n">
        <v>115846.5</v>
      </c>
      <c r="T63" s="8" t="n">
        <v>127804.37</v>
      </c>
      <c r="U63" s="8" t="n">
        <v>143941.83</v>
      </c>
    </row>
    <row r="64" customFormat="false" ht="15" hidden="false" customHeight="false" outlineLevel="0" collapsed="false">
      <c r="A64" s="6" t="s">
        <v>57</v>
      </c>
      <c r="B64" s="7" t="s">
        <v>28</v>
      </c>
      <c r="C64" s="10" t="n">
        <v>0.59</v>
      </c>
      <c r="D64" s="10" t="n">
        <v>1.1</v>
      </c>
      <c r="E64" s="10" t="n">
        <v>1.28</v>
      </c>
      <c r="F64" s="10" t="n">
        <v>3.48</v>
      </c>
      <c r="G64" s="10" t="n">
        <v>5.39</v>
      </c>
      <c r="H64" s="10" t="n">
        <v>7.66</v>
      </c>
      <c r="I64" s="10" t="n">
        <v>6.44</v>
      </c>
      <c r="J64" s="10" t="n">
        <v>10.08</v>
      </c>
      <c r="K64" s="10" t="n">
        <v>14.07</v>
      </c>
      <c r="L64" s="10" t="n">
        <v>8.79</v>
      </c>
      <c r="M64" s="10" t="n">
        <v>14.87</v>
      </c>
      <c r="N64" s="10" t="n">
        <v>23.99</v>
      </c>
      <c r="O64" s="10" t="n">
        <v>23.49</v>
      </c>
      <c r="P64" s="10" t="n">
        <v>33.28</v>
      </c>
      <c r="Q64" s="10" t="n">
        <v>34.94</v>
      </c>
      <c r="R64" s="10" t="n">
        <v>39.24</v>
      </c>
      <c r="S64" s="10" t="n">
        <v>43.51</v>
      </c>
      <c r="T64" s="10" t="n">
        <v>47.52</v>
      </c>
      <c r="U64" s="10" t="n">
        <v>52.96</v>
      </c>
    </row>
    <row r="65" customFormat="false" ht="15" hidden="false" customHeight="false" outlineLevel="0" collapsed="false">
      <c r="A65" s="6" t="s">
        <v>57</v>
      </c>
      <c r="B65" s="7" t="s">
        <v>29</v>
      </c>
      <c r="C65" s="8" t="n">
        <v>2521.75</v>
      </c>
      <c r="D65" s="8" t="n">
        <v>2671</v>
      </c>
      <c r="E65" s="8" t="n">
        <v>2856.75</v>
      </c>
      <c r="F65" s="8" t="n">
        <v>2923.75</v>
      </c>
      <c r="G65" s="8" t="n">
        <v>2954</v>
      </c>
      <c r="H65" s="8" t="n">
        <v>2886</v>
      </c>
      <c r="I65" s="8" t="n">
        <v>2871</v>
      </c>
      <c r="J65" s="8" t="n">
        <v>2890</v>
      </c>
      <c r="K65" s="8" t="n">
        <v>2799</v>
      </c>
      <c r="L65" s="8" t="n">
        <v>2640</v>
      </c>
      <c r="M65" s="8" t="n">
        <v>2630</v>
      </c>
      <c r="N65" s="8" t="n">
        <v>2599</v>
      </c>
      <c r="O65" s="8" t="n">
        <v>2574</v>
      </c>
      <c r="P65" s="8" t="n">
        <v>2577.79</v>
      </c>
      <c r="Q65" s="8" t="n">
        <v>2609.3</v>
      </c>
      <c r="R65" s="8" t="n">
        <v>2636.12</v>
      </c>
      <c r="S65" s="8" t="n">
        <v>2662.83</v>
      </c>
      <c r="T65" s="8" t="n">
        <v>2689.4</v>
      </c>
      <c r="U65" s="8" t="n">
        <v>2718.12</v>
      </c>
    </row>
    <row r="66" customFormat="false" ht="15" hidden="false" customHeight="false" outlineLevel="0" collapsed="false">
      <c r="A66" s="6" t="s">
        <v>57</v>
      </c>
      <c r="B66" s="7" t="s">
        <v>30</v>
      </c>
      <c r="C66" s="8" t="n">
        <v>-906</v>
      </c>
      <c r="D66" s="8" t="n">
        <v>-1837</v>
      </c>
      <c r="E66" s="8" t="n">
        <v>-2969</v>
      </c>
      <c r="F66" s="8" t="n">
        <v>-3202</v>
      </c>
      <c r="G66" s="8" t="n">
        <v>-3723</v>
      </c>
      <c r="H66" s="8" t="n">
        <v>-4152</v>
      </c>
      <c r="I66" s="8" t="n">
        <v>-4835</v>
      </c>
      <c r="J66" s="8" t="n">
        <v>-6536</v>
      </c>
      <c r="K66" s="8" t="n">
        <v>-9163</v>
      </c>
      <c r="L66" s="8" t="n">
        <v>-11991</v>
      </c>
      <c r="M66" s="8" t="n">
        <v>-14027</v>
      </c>
      <c r="N66" s="8" t="n">
        <v>-16690</v>
      </c>
      <c r="O66" s="8" t="n">
        <v>-20426</v>
      </c>
      <c r="P66" s="8" t="n">
        <v>-23722.2</v>
      </c>
      <c r="Q66" s="8" t="n">
        <v>-24908.31</v>
      </c>
      <c r="R66" s="8" t="n">
        <v>-26153.73</v>
      </c>
      <c r="S66" s="8" t="n">
        <v>-27461.41</v>
      </c>
      <c r="T66" s="8" t="n">
        <v>-28834.48</v>
      </c>
      <c r="U66" s="8" t="n">
        <v>-30276.21</v>
      </c>
    </row>
    <row r="67" customFormat="false" ht="15" hidden="false" customHeight="false" outlineLevel="0" collapsed="false">
      <c r="A67" s="6" t="s">
        <v>57</v>
      </c>
      <c r="B67" s="7" t="s">
        <v>31</v>
      </c>
      <c r="C67" s="8" t="n">
        <v>1011</v>
      </c>
      <c r="D67" s="8" t="n">
        <v>1243</v>
      </c>
      <c r="E67" s="8" t="n">
        <v>1945</v>
      </c>
      <c r="F67" s="8" t="n">
        <v>2342</v>
      </c>
      <c r="G67" s="8" t="n">
        <v>3025</v>
      </c>
      <c r="H67" s="8" t="n">
        <v>4315</v>
      </c>
      <c r="I67" s="8" t="n">
        <v>5741</v>
      </c>
      <c r="J67" s="8" t="n">
        <v>6862</v>
      </c>
      <c r="K67" s="8" t="n">
        <v>7966</v>
      </c>
      <c r="L67" s="8" t="n">
        <v>8686</v>
      </c>
      <c r="M67" s="8" t="n">
        <v>11177</v>
      </c>
      <c r="N67" s="8" t="n">
        <v>15498</v>
      </c>
      <c r="O67" s="8" t="n">
        <v>18616</v>
      </c>
      <c r="P67" s="8" t="n">
        <v>35955.99</v>
      </c>
      <c r="Q67" s="8" t="n">
        <v>56602.9</v>
      </c>
      <c r="R67" s="8" t="n">
        <v>78641.85</v>
      </c>
      <c r="S67" s="8" t="n">
        <v>100070.74</v>
      </c>
      <c r="T67" s="8" t="n">
        <v>120937.09</v>
      </c>
      <c r="U67" s="8" t="n">
        <v>136172.14</v>
      </c>
    </row>
    <row r="68" customFormat="false" ht="15" hidden="false" customHeight="false" outlineLevel="0" collapsed="false">
      <c r="A68" s="6" t="s">
        <v>57</v>
      </c>
      <c r="B68" s="7" t="s">
        <v>32</v>
      </c>
      <c r="C68" s="8" t="n">
        <v>1362</v>
      </c>
      <c r="D68" s="8" t="n">
        <v>1831</v>
      </c>
      <c r="E68" s="8" t="n">
        <v>2523</v>
      </c>
      <c r="F68" s="8" t="n">
        <v>4491</v>
      </c>
      <c r="G68" s="8" t="n">
        <v>6732</v>
      </c>
      <c r="H68" s="8" t="n">
        <v>13980</v>
      </c>
      <c r="I68" s="8" t="n">
        <v>15102</v>
      </c>
      <c r="J68" s="8" t="n">
        <v>15115</v>
      </c>
      <c r="K68" s="8" t="n">
        <v>18567</v>
      </c>
      <c r="L68" s="8" t="n">
        <v>31186</v>
      </c>
      <c r="M68" s="8" t="n">
        <v>27045</v>
      </c>
      <c r="N68" s="8" t="n">
        <v>37256</v>
      </c>
      <c r="O68" s="8" t="n">
        <v>69691</v>
      </c>
      <c r="P68" s="8" t="n">
        <v>135583.71</v>
      </c>
      <c r="Q68" s="8" t="n">
        <v>165714.44</v>
      </c>
      <c r="R68" s="8" t="n">
        <v>185600.17</v>
      </c>
      <c r="S68" s="8" t="n">
        <v>196736.18</v>
      </c>
      <c r="T68" s="8" t="n">
        <v>208540.35</v>
      </c>
      <c r="U68" s="8" t="n">
        <v>221052.77</v>
      </c>
    </row>
    <row r="69" customFormat="false" ht="15" hidden="false" customHeight="false" outlineLevel="0" collapsed="false">
      <c r="A69" s="6" t="s">
        <v>57</v>
      </c>
      <c r="B69" s="7" t="s">
        <v>35</v>
      </c>
      <c r="C69" s="8" t="n">
        <v>4222</v>
      </c>
      <c r="D69" s="8" t="n">
        <v>5507.8</v>
      </c>
      <c r="E69" s="8" t="n">
        <v>8607</v>
      </c>
      <c r="F69" s="8" t="n">
        <v>16061</v>
      </c>
      <c r="G69" s="8" t="n">
        <v>24216</v>
      </c>
      <c r="H69" s="8" t="n">
        <v>29339</v>
      </c>
      <c r="I69" s="8" t="n">
        <v>36312.5</v>
      </c>
      <c r="J69" s="8" t="n">
        <v>38747</v>
      </c>
      <c r="K69" s="8" t="n">
        <v>57683</v>
      </c>
      <c r="L69" s="8" t="n">
        <v>50475</v>
      </c>
      <c r="M69" s="8" t="n">
        <v>71113</v>
      </c>
      <c r="N69" s="8" t="n">
        <v>91328</v>
      </c>
      <c r="O69" s="8" t="n">
        <v>115800</v>
      </c>
      <c r="P69" s="8" t="n">
        <v>180250.64</v>
      </c>
      <c r="Q69" s="8" t="n">
        <v>206102.96</v>
      </c>
      <c r="R69" s="8" t="n">
        <v>243250.01</v>
      </c>
      <c r="S69" s="8" t="n">
        <v>279015.98</v>
      </c>
      <c r="T69" s="8" t="n">
        <v>314478.51</v>
      </c>
      <c r="U69" s="8" t="n">
        <v>340847.48</v>
      </c>
    </row>
    <row r="70" customFormat="false" ht="15" hidden="false" customHeight="false" outlineLevel="0" collapsed="false">
      <c r="A70" s="6" t="s">
        <v>57</v>
      </c>
      <c r="B70" s="7" t="s">
        <v>36</v>
      </c>
      <c r="C70" s="8" t="n">
        <v>2860</v>
      </c>
      <c r="D70" s="8" t="n">
        <v>3676.8</v>
      </c>
      <c r="E70" s="8" t="n">
        <v>6084</v>
      </c>
      <c r="F70" s="8" t="n">
        <v>11570</v>
      </c>
      <c r="G70" s="8" t="n">
        <v>17484</v>
      </c>
      <c r="H70" s="8" t="n">
        <v>15359</v>
      </c>
      <c r="I70" s="8" t="n">
        <v>21210.5</v>
      </c>
      <c r="J70" s="8" t="n">
        <v>23632</v>
      </c>
      <c r="K70" s="8" t="n">
        <v>39116</v>
      </c>
      <c r="L70" s="8" t="n">
        <v>19289</v>
      </c>
      <c r="M70" s="8" t="n">
        <v>44068</v>
      </c>
      <c r="N70" s="8" t="n">
        <v>54072</v>
      </c>
      <c r="O70" s="8" t="n">
        <v>46109</v>
      </c>
      <c r="P70" s="8" t="n">
        <v>44666.93</v>
      </c>
      <c r="Q70" s="8" t="n">
        <v>40388.52</v>
      </c>
      <c r="R70" s="8" t="n">
        <v>57649.84</v>
      </c>
      <c r="S70" s="8" t="n">
        <v>82279.8</v>
      </c>
      <c r="T70" s="8" t="n">
        <v>105938.16</v>
      </c>
      <c r="U70" s="8" t="n">
        <v>119794.71</v>
      </c>
    </row>
    <row r="71" customFormat="false" ht="15" hidden="false" customHeight="false" outlineLevel="0" collapsed="false">
      <c r="A71" s="6" t="s">
        <v>57</v>
      </c>
      <c r="B71" s="7" t="s">
        <v>37</v>
      </c>
      <c r="C71" s="8" t="n">
        <v>0</v>
      </c>
      <c r="D71" s="8" t="n">
        <v>0</v>
      </c>
      <c r="E71" s="8" t="n">
        <v>0</v>
      </c>
      <c r="F71" s="8" t="n">
        <v>0</v>
      </c>
      <c r="G71" s="8" t="n">
        <v>1976</v>
      </c>
      <c r="H71" s="8" t="n">
        <v>12879</v>
      </c>
      <c r="I71" s="8" t="n">
        <v>4201</v>
      </c>
      <c r="J71" s="8" t="n">
        <v>6272</v>
      </c>
      <c r="K71" s="8" t="n">
        <v>44538</v>
      </c>
      <c r="L71" s="8" t="n">
        <v>27956</v>
      </c>
      <c r="M71" s="8" t="n">
        <v>19775</v>
      </c>
      <c r="N71" s="8" t="n">
        <v>30125</v>
      </c>
      <c r="O71" s="8" t="n">
        <v>26248</v>
      </c>
      <c r="P71" s="8" t="n">
        <v>0</v>
      </c>
      <c r="Q71" s="8" t="n">
        <v>6000</v>
      </c>
      <c r="R71" s="8" t="n">
        <v>6000</v>
      </c>
      <c r="S71" s="8" t="n">
        <v>6000</v>
      </c>
      <c r="T71" s="8" t="n">
        <v>6000</v>
      </c>
      <c r="U71" s="8" t="n">
        <v>1003</v>
      </c>
    </row>
    <row r="72" customFormat="false" ht="15" hidden="false" customHeight="false" outlineLevel="0" collapsed="false">
      <c r="A72" s="6" t="s">
        <v>57</v>
      </c>
      <c r="B72" s="7" t="s">
        <v>58</v>
      </c>
      <c r="C72" s="9"/>
      <c r="D72" s="9"/>
      <c r="E72" s="9"/>
      <c r="F72" s="9"/>
      <c r="G72" s="9"/>
      <c r="H72" s="9"/>
      <c r="I72" s="8" t="n">
        <v>70196</v>
      </c>
      <c r="J72" s="8" t="n">
        <v>84826</v>
      </c>
      <c r="K72" s="8" t="n">
        <v>115655</v>
      </c>
      <c r="L72" s="8" t="n">
        <v>114450</v>
      </c>
      <c r="M72" s="8" t="n">
        <v>133005</v>
      </c>
      <c r="N72" s="8" t="n">
        <v>162354</v>
      </c>
      <c r="O72" s="8" t="n">
        <v>198758</v>
      </c>
      <c r="P72" s="8" t="n">
        <v>252529.81</v>
      </c>
      <c r="Q72" s="8" t="n">
        <v>303235.62</v>
      </c>
      <c r="R72" s="8" t="n">
        <v>353605.56</v>
      </c>
      <c r="S72" s="8" t="n">
        <v>403061.89</v>
      </c>
      <c r="T72" s="8" t="n">
        <v>451366.33</v>
      </c>
      <c r="U72" s="8" t="n">
        <v>498382.83</v>
      </c>
    </row>
    <row r="73" customFormat="false" ht="15" hidden="false" customHeight="false" outlineLevel="0" collapsed="false">
      <c r="A73" s="6" t="s">
        <v>57</v>
      </c>
      <c r="B73" s="7" t="s">
        <v>59</v>
      </c>
      <c r="C73" s="9"/>
      <c r="D73" s="9"/>
      <c r="E73" s="9"/>
      <c r="F73" s="9"/>
      <c r="G73" s="9"/>
      <c r="H73" s="9"/>
      <c r="I73" s="8" t="n">
        <v>28489</v>
      </c>
      <c r="J73" s="8" t="n">
        <v>39294</v>
      </c>
      <c r="K73" s="8" t="n">
        <v>56947</v>
      </c>
      <c r="L73" s="8" t="n">
        <v>42662</v>
      </c>
      <c r="M73" s="8" t="n">
        <v>62870</v>
      </c>
      <c r="N73" s="8" t="n">
        <v>87109</v>
      </c>
      <c r="O73" s="8" t="n">
        <v>102469</v>
      </c>
      <c r="P73" s="8" t="n">
        <v>109500.79</v>
      </c>
      <c r="Q73" s="8" t="n">
        <v>122498.06</v>
      </c>
      <c r="R73" s="8" t="n">
        <v>135570.51</v>
      </c>
      <c r="S73" s="8" t="n">
        <v>147823.31</v>
      </c>
      <c r="T73" s="8" t="n">
        <v>158299.25</v>
      </c>
      <c r="U73" s="8" t="n">
        <v>172649.96</v>
      </c>
    </row>
    <row r="74" customFormat="false" ht="15" hidden="false" customHeight="false" outlineLevel="0" collapsed="false">
      <c r="A74" s="6" t="s">
        <v>57</v>
      </c>
      <c r="B74" s="7" t="s">
        <v>60</v>
      </c>
      <c r="C74" s="8" t="n">
        <v>6986</v>
      </c>
      <c r="D74" s="8" t="n">
        <v>11492</v>
      </c>
      <c r="E74" s="8" t="n">
        <v>17080</v>
      </c>
      <c r="F74" s="8" t="n">
        <v>26885</v>
      </c>
      <c r="G74" s="8" t="n">
        <v>39942</v>
      </c>
      <c r="H74" s="8" t="n">
        <v>55012</v>
      </c>
      <c r="I74" s="8" t="n">
        <v>69654.5</v>
      </c>
      <c r="J74" s="8" t="n">
        <v>84169</v>
      </c>
      <c r="K74" s="8" t="n">
        <v>114934</v>
      </c>
      <c r="L74" s="8" t="n">
        <v>113641</v>
      </c>
      <c r="M74" s="8" t="n">
        <v>131948</v>
      </c>
      <c r="N74" s="8" t="n">
        <v>160632</v>
      </c>
      <c r="O74" s="8" t="n">
        <v>196174</v>
      </c>
      <c r="P74" s="8" t="n">
        <v>248664.66</v>
      </c>
      <c r="Q74" s="8" t="n">
        <v>298597.44</v>
      </c>
      <c r="R74" s="8" t="n">
        <v>348271.65</v>
      </c>
      <c r="S74" s="8" t="n">
        <v>397194.59</v>
      </c>
      <c r="T74" s="8" t="n">
        <v>444912.31</v>
      </c>
      <c r="U74" s="8" t="n">
        <v>491283.4</v>
      </c>
    </row>
    <row r="75" customFormat="false" ht="15" hidden="false" customHeight="false" outlineLevel="0" collapsed="false">
      <c r="A75" s="6" t="s">
        <v>57</v>
      </c>
      <c r="B75" s="7" t="s">
        <v>61</v>
      </c>
      <c r="C75" s="9"/>
      <c r="D75" s="9"/>
      <c r="E75" s="9"/>
      <c r="F75" s="9"/>
      <c r="G75" s="9"/>
      <c r="H75" s="9"/>
      <c r="I75" s="8" t="n">
        <v>501</v>
      </c>
      <c r="J75" s="8" t="n">
        <v>1139</v>
      </c>
      <c r="K75" s="8" t="n">
        <v>2274</v>
      </c>
      <c r="L75" s="8" t="n">
        <v>2159</v>
      </c>
      <c r="M75" s="8" t="n">
        <v>1896</v>
      </c>
      <c r="N75" s="8" t="n">
        <v>2146</v>
      </c>
      <c r="O75" s="8" t="n">
        <v>2207</v>
      </c>
      <c r="P75" s="8" t="n">
        <v>2645.75</v>
      </c>
      <c r="Q75" s="8" t="n">
        <v>3174.9</v>
      </c>
      <c r="R75" s="8" t="n">
        <v>3730.51</v>
      </c>
      <c r="S75" s="8" t="n">
        <v>4290.08</v>
      </c>
      <c r="T75" s="8" t="n">
        <v>4826.34</v>
      </c>
      <c r="U75" s="8" t="n">
        <v>5308.98</v>
      </c>
    </row>
    <row r="76" customFormat="false" ht="15" hidden="false" customHeight="false" outlineLevel="0" collapsed="false">
      <c r="A76" s="6" t="s">
        <v>57</v>
      </c>
      <c r="B76" s="7" t="s">
        <v>62</v>
      </c>
      <c r="C76" s="9"/>
      <c r="D76" s="9"/>
      <c r="E76" s="9"/>
      <c r="F76" s="9"/>
      <c r="G76" s="9"/>
      <c r="H76" s="9"/>
      <c r="I76" s="8" t="n">
        <v>-4503</v>
      </c>
      <c r="J76" s="8" t="n">
        <v>-6623</v>
      </c>
      <c r="K76" s="8" t="n">
        <v>-10194</v>
      </c>
      <c r="L76" s="8" t="n">
        <v>-13717</v>
      </c>
      <c r="M76" s="8" t="n">
        <v>-16119</v>
      </c>
      <c r="N76" s="8" t="n">
        <v>-17729</v>
      </c>
      <c r="O76" s="8" t="n">
        <v>-19193</v>
      </c>
      <c r="P76" s="8" t="n">
        <v>-19011</v>
      </c>
      <c r="Q76" s="8" t="n">
        <v>-18060.45</v>
      </c>
      <c r="R76" s="8" t="n">
        <v>-17157.43</v>
      </c>
      <c r="S76" s="8" t="n">
        <v>-16299.56</v>
      </c>
      <c r="T76" s="8" t="n">
        <v>-15484.58</v>
      </c>
      <c r="U76" s="8" t="n">
        <v>-14710.35</v>
      </c>
    </row>
    <row r="78" customFormat="false" ht="15" hidden="false" customHeight="true" outlineLevel="0" collapsed="false">
      <c r="A78" s="15" t="s">
        <v>63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 customFormat="false" ht="15" hidden="false" customHeight="false" outlineLevel="0" collapsed="false">
      <c r="A79" s="6" t="s">
        <v>64</v>
      </c>
      <c r="B79" s="7" t="s">
        <v>25</v>
      </c>
      <c r="C79" s="8" t="n">
        <v>37253</v>
      </c>
      <c r="D79" s="8" t="n">
        <v>38305</v>
      </c>
      <c r="E79" s="8" t="n">
        <v>38253</v>
      </c>
      <c r="F79" s="8" t="n">
        <v>37057</v>
      </c>
      <c r="G79" s="8" t="n">
        <v>37899</v>
      </c>
      <c r="H79" s="8" t="n">
        <v>39431</v>
      </c>
      <c r="I79" s="8" t="n">
        <v>39525</v>
      </c>
      <c r="J79" s="8" t="n">
        <v>39073</v>
      </c>
      <c r="K79" s="8" t="n">
        <v>40481</v>
      </c>
      <c r="L79" s="8" t="n">
        <v>42441</v>
      </c>
      <c r="M79" s="8" t="n">
        <v>49955</v>
      </c>
      <c r="N79" s="8" t="n">
        <v>52961</v>
      </c>
      <c r="O79" s="8" t="n">
        <v>57399</v>
      </c>
      <c r="P79" s="8" t="n">
        <v>67286.75</v>
      </c>
      <c r="Q79" s="8" t="n">
        <v>88782.02</v>
      </c>
      <c r="R79" s="8" t="n">
        <v>125445.05</v>
      </c>
      <c r="S79" s="8" t="n">
        <v>165192.96</v>
      </c>
      <c r="T79" s="8" t="n">
        <v>185555.08</v>
      </c>
      <c r="U79" s="9"/>
    </row>
    <row r="80" customFormat="false" ht="15" hidden="false" customHeight="false" outlineLevel="0" collapsed="false">
      <c r="A80" s="6" t="s">
        <v>64</v>
      </c>
      <c r="B80" s="7" t="s">
        <v>26</v>
      </c>
      <c r="C80" s="8" t="n">
        <v>14684</v>
      </c>
      <c r="D80" s="8" t="n">
        <v>14758</v>
      </c>
      <c r="E80" s="8" t="n">
        <v>13870</v>
      </c>
      <c r="F80" s="8" t="n">
        <v>12604</v>
      </c>
      <c r="G80" s="8" t="n">
        <v>12710</v>
      </c>
      <c r="H80" s="8" t="n">
        <v>13264</v>
      </c>
      <c r="I80" s="8" t="n">
        <v>13535</v>
      </c>
      <c r="J80" s="8" t="n">
        <v>13897</v>
      </c>
      <c r="K80" s="8" t="n">
        <v>15214</v>
      </c>
      <c r="L80" s="8" t="n">
        <v>10927</v>
      </c>
      <c r="M80" s="8" t="n">
        <v>13094</v>
      </c>
      <c r="N80" s="8" t="n">
        <v>15354</v>
      </c>
      <c r="O80" s="8" t="n">
        <v>17678</v>
      </c>
      <c r="P80" s="8" t="n">
        <v>19462.44</v>
      </c>
      <c r="Q80" s="8" t="n">
        <v>21128.19</v>
      </c>
      <c r="R80" s="8" t="n">
        <v>36930.86</v>
      </c>
      <c r="S80" s="8" t="n">
        <v>53057.71</v>
      </c>
      <c r="T80" s="8" t="n">
        <v>57952.82</v>
      </c>
      <c r="U80" s="9"/>
    </row>
    <row r="81" customFormat="false" ht="15" hidden="false" customHeight="false" outlineLevel="0" collapsed="false">
      <c r="A81" s="6" t="s">
        <v>64</v>
      </c>
      <c r="B81" s="7" t="s">
        <v>65</v>
      </c>
      <c r="C81" s="8" t="n">
        <v>17612</v>
      </c>
      <c r="D81" s="8" t="n">
        <v>18108</v>
      </c>
      <c r="E81" s="8" t="n">
        <v>17396</v>
      </c>
      <c r="F81" s="8" t="n">
        <v>15785</v>
      </c>
      <c r="G81" s="8" t="n">
        <v>16168</v>
      </c>
      <c r="H81" s="8" t="n">
        <v>17155</v>
      </c>
      <c r="I81" s="8" t="n">
        <v>17384</v>
      </c>
      <c r="J81" s="8" t="n">
        <v>17383</v>
      </c>
      <c r="K81" s="8" t="n">
        <v>19000</v>
      </c>
      <c r="L81" s="8" t="n">
        <v>19592</v>
      </c>
      <c r="M81" s="8" t="n">
        <v>20904</v>
      </c>
      <c r="N81" s="8" t="n">
        <v>23054</v>
      </c>
      <c r="O81" s="8" t="n">
        <v>25034</v>
      </c>
      <c r="P81" s="8" t="n">
        <v>28113.04</v>
      </c>
      <c r="Q81" s="8" t="n">
        <v>28489.16</v>
      </c>
      <c r="R81" s="8" t="n">
        <v>46280.73</v>
      </c>
      <c r="S81" s="8" t="n">
        <v>64368.1</v>
      </c>
      <c r="T81" s="8" t="n">
        <v>69758.92</v>
      </c>
      <c r="U81" s="9"/>
    </row>
    <row r="82" customFormat="false" ht="15" hidden="false" customHeight="false" outlineLevel="0" collapsed="false">
      <c r="A82" s="6" t="s">
        <v>64</v>
      </c>
      <c r="B82" s="7" t="s">
        <v>27</v>
      </c>
      <c r="C82" s="8" t="n">
        <v>10926</v>
      </c>
      <c r="D82" s="8" t="n">
        <v>10955</v>
      </c>
      <c r="E82" s="8" t="n">
        <v>9938</v>
      </c>
      <c r="F82" s="8" t="n">
        <v>8900</v>
      </c>
      <c r="G82" s="8" t="n">
        <v>9334</v>
      </c>
      <c r="H82" s="8" t="n">
        <v>3587</v>
      </c>
      <c r="I82" s="8" t="n">
        <v>11083</v>
      </c>
      <c r="J82" s="8" t="n">
        <v>10135</v>
      </c>
      <c r="K82" s="8" t="n">
        <v>13747</v>
      </c>
      <c r="L82" s="8" t="n">
        <v>6718</v>
      </c>
      <c r="M82" s="8" t="n">
        <v>8504</v>
      </c>
      <c r="N82" s="8" t="n">
        <v>10467</v>
      </c>
      <c r="O82" s="8" t="n">
        <v>12443</v>
      </c>
      <c r="P82" s="8" t="n">
        <v>15820.55</v>
      </c>
      <c r="Q82" s="8" t="n">
        <v>13363.1</v>
      </c>
      <c r="R82" s="8" t="n">
        <v>26776.66</v>
      </c>
      <c r="S82" s="8" t="n">
        <v>39834.82</v>
      </c>
      <c r="T82" s="8" t="n">
        <v>44104.48</v>
      </c>
      <c r="U82" s="9"/>
    </row>
    <row r="83" customFormat="false" ht="15" hidden="false" customHeight="false" outlineLevel="0" collapsed="false">
      <c r="A83" s="6" t="s">
        <v>64</v>
      </c>
      <c r="B83" s="7" t="s">
        <v>28</v>
      </c>
      <c r="C83" s="10" t="n">
        <v>2.26</v>
      </c>
      <c r="D83" s="10" t="n">
        <v>2.38</v>
      </c>
      <c r="E83" s="10" t="n">
        <v>2.21</v>
      </c>
      <c r="F83" s="10" t="n">
        <v>2.07</v>
      </c>
      <c r="G83" s="10" t="n">
        <v>2.21</v>
      </c>
      <c r="H83" s="10" t="n">
        <v>0.85</v>
      </c>
      <c r="I83" s="10" t="n">
        <v>2.97</v>
      </c>
      <c r="J83" s="10" t="n">
        <v>3.08</v>
      </c>
      <c r="K83" s="10" t="n">
        <v>4.55</v>
      </c>
      <c r="L83" s="10" t="n">
        <v>2.41</v>
      </c>
      <c r="M83" s="10" t="n">
        <v>3.07</v>
      </c>
      <c r="N83" s="10" t="n">
        <v>3.71</v>
      </c>
      <c r="O83" s="10" t="n">
        <v>4.34</v>
      </c>
      <c r="P83" s="10" t="n">
        <v>5.43</v>
      </c>
      <c r="Q83" s="10" t="n">
        <v>4.54</v>
      </c>
      <c r="R83" s="10" t="n">
        <v>8.98</v>
      </c>
      <c r="S83" s="10" t="n">
        <v>13.15</v>
      </c>
      <c r="T83" s="10" t="n">
        <v>14.32</v>
      </c>
      <c r="U83" s="9"/>
    </row>
    <row r="84" customFormat="false" ht="15" hidden="false" customHeight="false" outlineLevel="0" collapsed="false">
      <c r="A84" s="6" t="s">
        <v>64</v>
      </c>
      <c r="B84" s="7" t="s">
        <v>66</v>
      </c>
      <c r="C84" s="10" t="n">
        <v>2.68</v>
      </c>
      <c r="D84" s="10" t="n">
        <v>2.87</v>
      </c>
      <c r="E84" s="10" t="n">
        <v>2.77</v>
      </c>
      <c r="F84" s="10" t="n">
        <v>2.61</v>
      </c>
      <c r="G84" s="10" t="n">
        <v>2.74</v>
      </c>
      <c r="H84" s="10" t="n">
        <v>3.05</v>
      </c>
      <c r="I84" s="10" t="n">
        <v>3.52</v>
      </c>
      <c r="J84" s="10" t="n">
        <v>3.85</v>
      </c>
      <c r="K84" s="10" t="n">
        <v>4.67</v>
      </c>
      <c r="L84" s="10" t="n">
        <v>4.9</v>
      </c>
      <c r="M84" s="10" t="n">
        <v>5.12</v>
      </c>
      <c r="N84" s="10" t="n">
        <v>5.56</v>
      </c>
      <c r="O84" s="10" t="n">
        <v>6.03</v>
      </c>
      <c r="P84" s="10" t="n">
        <v>7.32</v>
      </c>
      <c r="Q84" s="10" t="n">
        <v>6.09</v>
      </c>
      <c r="R84" s="10" t="n">
        <v>10.59</v>
      </c>
      <c r="S84" s="10" t="n">
        <v>14.81</v>
      </c>
      <c r="T84" s="10" t="n">
        <v>15.94</v>
      </c>
      <c r="U84" s="9"/>
    </row>
    <row r="85" customFormat="false" ht="15" hidden="false" customHeight="false" outlineLevel="0" collapsed="false">
      <c r="A85" s="6" t="s">
        <v>64</v>
      </c>
      <c r="B85" s="7" t="s">
        <v>29</v>
      </c>
      <c r="C85" s="8" t="n">
        <v>4843.75</v>
      </c>
      <c r="D85" s="8" t="n">
        <v>4604.5</v>
      </c>
      <c r="E85" s="8" t="n">
        <v>4502.5</v>
      </c>
      <c r="F85" s="8" t="n">
        <v>4305.5</v>
      </c>
      <c r="G85" s="8" t="n">
        <v>4217</v>
      </c>
      <c r="H85" s="8" t="n">
        <v>4238</v>
      </c>
      <c r="I85" s="8" t="n">
        <v>3732</v>
      </c>
      <c r="J85" s="8" t="n">
        <v>3293.5</v>
      </c>
      <c r="K85" s="8" t="n">
        <v>3022.5</v>
      </c>
      <c r="L85" s="8" t="n">
        <v>2785.5</v>
      </c>
      <c r="M85" s="8" t="n">
        <v>2766.25</v>
      </c>
      <c r="N85" s="8" t="n">
        <v>2823.25</v>
      </c>
      <c r="O85" s="8" t="n">
        <v>2866.25</v>
      </c>
      <c r="P85" s="8" t="n">
        <v>2915.76</v>
      </c>
      <c r="Q85" s="8" t="n">
        <v>2940.66</v>
      </c>
      <c r="R85" s="8" t="n">
        <v>2980.3</v>
      </c>
      <c r="S85" s="8" t="n">
        <v>3028.26</v>
      </c>
      <c r="T85" s="8" t="n">
        <v>3079.57</v>
      </c>
      <c r="U85" s="9"/>
    </row>
    <row r="86" customFormat="false" ht="15" hidden="false" customHeight="false" outlineLevel="0" collapsed="false">
      <c r="A86" s="6" t="s">
        <v>64</v>
      </c>
      <c r="B86" s="7" t="s">
        <v>30</v>
      </c>
      <c r="C86" s="8" t="n">
        <v>755</v>
      </c>
      <c r="D86" s="8" t="n">
        <v>805</v>
      </c>
      <c r="E86" s="8" t="n">
        <v>933</v>
      </c>
      <c r="F86" s="8" t="n">
        <v>1037</v>
      </c>
      <c r="G86" s="8" t="n">
        <v>1350</v>
      </c>
      <c r="H86" s="8" t="n">
        <v>1607</v>
      </c>
      <c r="I86" s="8" t="n">
        <v>1653</v>
      </c>
      <c r="J86" s="8" t="n">
        <v>1590</v>
      </c>
      <c r="K86" s="8" t="n">
        <v>1837</v>
      </c>
      <c r="L86" s="8" t="n">
        <v>2613</v>
      </c>
      <c r="M86" s="8" t="n">
        <v>3547</v>
      </c>
      <c r="N86" s="8" t="n">
        <v>3974</v>
      </c>
      <c r="O86" s="8" t="n">
        <v>4674</v>
      </c>
      <c r="P86" s="8" t="n">
        <v>5069.6</v>
      </c>
      <c r="Q86" s="8" t="n">
        <v>6473.15</v>
      </c>
      <c r="R86" s="8" t="n">
        <v>8609.75</v>
      </c>
      <c r="S86" s="8" t="n">
        <v>10649.61</v>
      </c>
      <c r="T86" s="8" t="n">
        <v>11212.32</v>
      </c>
      <c r="U86" s="9"/>
    </row>
    <row r="87" customFormat="false" ht="15" hidden="false" customHeight="false" outlineLevel="0" collapsed="false">
      <c r="A87" s="6" t="s">
        <v>64</v>
      </c>
      <c r="B87" s="7" t="s">
        <v>31</v>
      </c>
      <c r="C87" s="8" t="n">
        <v>546</v>
      </c>
      <c r="D87" s="8" t="n">
        <v>608</v>
      </c>
      <c r="E87" s="8" t="n">
        <v>712</v>
      </c>
      <c r="F87" s="8" t="n">
        <v>871</v>
      </c>
      <c r="G87" s="8" t="n">
        <v>1000</v>
      </c>
      <c r="H87" s="8" t="n">
        <v>1165</v>
      </c>
      <c r="I87" s="8" t="n">
        <v>1230</v>
      </c>
      <c r="J87" s="8" t="n">
        <v>1382</v>
      </c>
      <c r="K87" s="8" t="n">
        <v>1537</v>
      </c>
      <c r="L87" s="8" t="n">
        <v>1972</v>
      </c>
      <c r="M87" s="8" t="n">
        <v>2526</v>
      </c>
      <c r="N87" s="8" t="n">
        <v>3129</v>
      </c>
      <c r="O87" s="8" t="n">
        <v>3867</v>
      </c>
      <c r="P87" s="8" t="n">
        <v>7501.53</v>
      </c>
      <c r="Q87" s="8" t="n">
        <v>16868.58</v>
      </c>
      <c r="R87" s="8" t="n">
        <v>27597.91</v>
      </c>
      <c r="S87" s="8" t="n">
        <v>39646.31</v>
      </c>
      <c r="T87" s="8" t="n">
        <v>48244.32</v>
      </c>
      <c r="U87" s="9"/>
    </row>
    <row r="88" customFormat="false" ht="15" hidden="false" customHeight="false" outlineLevel="0" collapsed="false">
      <c r="A88" s="6" t="s">
        <v>64</v>
      </c>
      <c r="B88" s="7" t="s">
        <v>32</v>
      </c>
      <c r="C88" s="8" t="n">
        <v>650</v>
      </c>
      <c r="D88" s="8" t="n">
        <v>580</v>
      </c>
      <c r="E88" s="8" t="n">
        <v>1391</v>
      </c>
      <c r="F88" s="8" t="n">
        <v>1189</v>
      </c>
      <c r="G88" s="8" t="n">
        <v>2021</v>
      </c>
      <c r="H88" s="8" t="n">
        <v>1736</v>
      </c>
      <c r="I88" s="8" t="n">
        <v>1660</v>
      </c>
      <c r="J88" s="8" t="n">
        <v>1564</v>
      </c>
      <c r="K88" s="8" t="n">
        <v>2135</v>
      </c>
      <c r="L88" s="8" t="n">
        <v>4511</v>
      </c>
      <c r="M88" s="8" t="n">
        <v>8695</v>
      </c>
      <c r="N88" s="8" t="n">
        <v>6866</v>
      </c>
      <c r="O88" s="8" t="n">
        <v>21215</v>
      </c>
      <c r="P88" s="8" t="n">
        <v>51882</v>
      </c>
      <c r="Q88" s="8" t="n">
        <v>52141.41</v>
      </c>
      <c r="R88" s="8" t="n">
        <v>69869.49</v>
      </c>
      <c r="S88" s="8" t="n">
        <v>81048.61</v>
      </c>
      <c r="T88" s="8" t="n">
        <v>66459.86</v>
      </c>
      <c r="U88" s="9"/>
    </row>
    <row r="89" customFormat="false" ht="15" hidden="false" customHeight="false" outlineLevel="0" collapsed="false">
      <c r="A89" s="6" t="s">
        <v>64</v>
      </c>
      <c r="B89" s="7" t="s">
        <v>35</v>
      </c>
      <c r="C89" s="8" t="n">
        <v>14225</v>
      </c>
      <c r="D89" s="8" t="n">
        <v>14921</v>
      </c>
      <c r="E89" s="8" t="n">
        <v>14336</v>
      </c>
      <c r="F89" s="8" t="n">
        <v>13560</v>
      </c>
      <c r="G89" s="8" t="n">
        <v>14125</v>
      </c>
      <c r="H89" s="8" t="n">
        <v>15386</v>
      </c>
      <c r="I89" s="8" t="n">
        <v>14551</v>
      </c>
      <c r="J89" s="8" t="n">
        <v>13139</v>
      </c>
      <c r="K89" s="8" t="n">
        <v>15888</v>
      </c>
      <c r="L89" s="8" t="n">
        <v>9540</v>
      </c>
      <c r="M89" s="8" t="n">
        <v>17166</v>
      </c>
      <c r="N89" s="8" t="n">
        <v>18673</v>
      </c>
      <c r="O89" s="8" t="n">
        <v>20821</v>
      </c>
      <c r="P89" s="8" t="n">
        <v>25457.17</v>
      </c>
      <c r="Q89" s="8" t="n">
        <v>33694.38</v>
      </c>
      <c r="R89" s="8" t="n">
        <v>50132.95</v>
      </c>
      <c r="S89" s="8" t="n">
        <v>66529.01</v>
      </c>
      <c r="T89" s="8" t="n">
        <v>84964.12</v>
      </c>
      <c r="U89" s="9"/>
    </row>
    <row r="90" customFormat="false" ht="15" hidden="false" customHeight="false" outlineLevel="0" collapsed="false">
      <c r="A90" s="6" t="s">
        <v>64</v>
      </c>
      <c r="B90" s="7" t="s">
        <v>36</v>
      </c>
      <c r="C90" s="8" t="n">
        <v>13575</v>
      </c>
      <c r="D90" s="8" t="n">
        <v>14341</v>
      </c>
      <c r="E90" s="8" t="n">
        <v>12945</v>
      </c>
      <c r="F90" s="8" t="n">
        <v>12371</v>
      </c>
      <c r="G90" s="8" t="n">
        <v>12104</v>
      </c>
      <c r="H90" s="8" t="n">
        <v>13650</v>
      </c>
      <c r="I90" s="8" t="n">
        <v>12891</v>
      </c>
      <c r="J90" s="8" t="n">
        <v>11575</v>
      </c>
      <c r="K90" s="8" t="n">
        <v>13753</v>
      </c>
      <c r="L90" s="8" t="n">
        <v>5029</v>
      </c>
      <c r="M90" s="8" t="n">
        <v>8471</v>
      </c>
      <c r="N90" s="8" t="n">
        <v>11807</v>
      </c>
      <c r="O90" s="8" t="n">
        <v>-394</v>
      </c>
      <c r="P90" s="8" t="n">
        <v>-26424.83</v>
      </c>
      <c r="Q90" s="8" t="n">
        <v>-18447.03</v>
      </c>
      <c r="R90" s="8" t="n">
        <v>-19736.54</v>
      </c>
      <c r="S90" s="8" t="n">
        <v>-14519.6</v>
      </c>
      <c r="T90" s="8" t="n">
        <v>18504.26</v>
      </c>
      <c r="U90" s="9"/>
    </row>
    <row r="91" customFormat="false" ht="15" hidden="false" customHeight="false" outlineLevel="0" collapsed="false">
      <c r="A91" s="6" t="s">
        <v>64</v>
      </c>
      <c r="B91" s="7" t="s">
        <v>37</v>
      </c>
      <c r="C91" s="8" t="n">
        <v>11021</v>
      </c>
      <c r="D91" s="8" t="n">
        <v>9813</v>
      </c>
      <c r="E91" s="8" t="n">
        <v>8087</v>
      </c>
      <c r="F91" s="8" t="n">
        <v>10440</v>
      </c>
      <c r="G91" s="8" t="n">
        <v>3561</v>
      </c>
      <c r="H91" s="8" t="n">
        <v>11347</v>
      </c>
      <c r="I91" s="8" t="n">
        <v>36140</v>
      </c>
      <c r="J91" s="8" t="n">
        <v>19240</v>
      </c>
      <c r="K91" s="8" t="n">
        <v>20934</v>
      </c>
      <c r="L91" s="8" t="n">
        <v>16248</v>
      </c>
      <c r="M91" s="8" t="n">
        <v>1300</v>
      </c>
      <c r="N91" s="8" t="n">
        <v>1202</v>
      </c>
      <c r="O91" s="8" t="n">
        <v>600</v>
      </c>
      <c r="P91" s="8" t="n">
        <v>95</v>
      </c>
      <c r="Q91" s="8" t="n">
        <v>0</v>
      </c>
      <c r="R91" s="8" t="n">
        <v>0</v>
      </c>
      <c r="S91" s="8" t="n">
        <v>0</v>
      </c>
      <c r="T91" s="8" t="n">
        <v>0</v>
      </c>
      <c r="U91" s="9"/>
    </row>
    <row r="92" customFormat="false" ht="15" hidden="false" customHeight="false" outlineLevel="0" collapsed="false">
      <c r="A92" s="6" t="s">
        <v>64</v>
      </c>
      <c r="B92" s="7" t="s">
        <v>38</v>
      </c>
      <c r="C92" s="8" t="n">
        <v>1433</v>
      </c>
      <c r="D92" s="8" t="n">
        <v>2178</v>
      </c>
      <c r="E92" s="8" t="n">
        <v>2255</v>
      </c>
      <c r="F92" s="8" t="n">
        <v>2541</v>
      </c>
      <c r="G92" s="8" t="n">
        <v>2631</v>
      </c>
      <c r="H92" s="8" t="n">
        <v>3140</v>
      </c>
      <c r="I92" s="8" t="n">
        <v>2932</v>
      </c>
      <c r="J92" s="8" t="n">
        <v>3070</v>
      </c>
      <c r="K92" s="8" t="n">
        <v>3063</v>
      </c>
      <c r="L92" s="8" t="n">
        <v>3457</v>
      </c>
      <c r="M92" s="8" t="n">
        <v>3668</v>
      </c>
      <c r="N92" s="8" t="n">
        <v>4391</v>
      </c>
      <c r="O92" s="8" t="n">
        <v>4743</v>
      </c>
      <c r="P92" s="8" t="n">
        <v>5726.53</v>
      </c>
      <c r="Q92" s="8" t="n">
        <v>6173.56</v>
      </c>
      <c r="R92" s="8" t="n">
        <v>7360.25</v>
      </c>
      <c r="S92" s="8" t="n">
        <v>7950.94</v>
      </c>
      <c r="T92" s="8" t="n">
        <v>9510.72</v>
      </c>
      <c r="U92" s="9"/>
    </row>
    <row r="93" customFormat="false" ht="15" hidden="false" customHeight="false" outlineLevel="0" collapsed="false">
      <c r="A93" s="6" t="s">
        <v>64</v>
      </c>
      <c r="B93" s="7" t="s">
        <v>67</v>
      </c>
      <c r="C93" s="8" t="n">
        <v>1365</v>
      </c>
      <c r="D93" s="8" t="n">
        <v>1577</v>
      </c>
      <c r="E93" s="8" t="n">
        <v>2094</v>
      </c>
      <c r="F93" s="8" t="n">
        <v>2854</v>
      </c>
      <c r="G93" s="8" t="n">
        <v>4572</v>
      </c>
      <c r="H93" s="8" t="n">
        <v>6189.17</v>
      </c>
      <c r="I93" s="8" t="n">
        <v>6918.19</v>
      </c>
      <c r="J93" s="8" t="n">
        <v>7811.32</v>
      </c>
      <c r="K93" s="8" t="n">
        <v>8945</v>
      </c>
      <c r="L93" s="8" t="n">
        <v>10809</v>
      </c>
      <c r="M93" s="8" t="n">
        <v>15882</v>
      </c>
      <c r="N93" s="8" t="n">
        <v>19775</v>
      </c>
      <c r="O93" s="8" t="n">
        <v>24507</v>
      </c>
      <c r="P93" s="8" t="n">
        <v>34020.24</v>
      </c>
      <c r="Q93" s="8" t="n">
        <v>55591.76</v>
      </c>
      <c r="R93" s="8" t="n">
        <v>92351.27</v>
      </c>
      <c r="S93" s="8" t="n">
        <v>132214.36</v>
      </c>
      <c r="T93" s="8" t="n">
        <v>152708.94</v>
      </c>
      <c r="U93" s="9"/>
    </row>
    <row r="94" customFormat="false" ht="15" hidden="false" customHeight="false" outlineLevel="0" collapsed="false">
      <c r="A94" s="6" t="s">
        <v>64</v>
      </c>
      <c r="B94" s="7" t="s">
        <v>68</v>
      </c>
      <c r="C94" s="9"/>
      <c r="D94" s="9"/>
      <c r="E94" s="9"/>
      <c r="F94" s="9"/>
      <c r="G94" s="9"/>
      <c r="H94" s="9"/>
      <c r="I94" s="9"/>
      <c r="J94" s="9"/>
      <c r="K94" s="9"/>
      <c r="L94" s="8" t="n">
        <v>2760.74</v>
      </c>
      <c r="M94" s="8" t="n">
        <v>4500</v>
      </c>
      <c r="N94" s="8" t="n">
        <v>6800</v>
      </c>
      <c r="O94" s="8" t="n">
        <v>10234</v>
      </c>
      <c r="P94" s="8" t="n">
        <v>18064.4</v>
      </c>
      <c r="Q94" s="8" t="n">
        <v>37935.24</v>
      </c>
      <c r="R94" s="8" t="n">
        <v>72977.07</v>
      </c>
      <c r="S94" s="8" t="n">
        <v>111105.3</v>
      </c>
      <c r="T94" s="8" t="n">
        <v>129847.66</v>
      </c>
      <c r="U94" s="9"/>
    </row>
    <row r="95" customFormat="false" ht="15" hidden="false" customHeight="false" outlineLevel="0" collapsed="false">
      <c r="A95" s="6" t="s">
        <v>64</v>
      </c>
      <c r="B95" s="7" t="s">
        <v>69</v>
      </c>
      <c r="C95" s="9"/>
      <c r="D95" s="9"/>
      <c r="E95" s="9"/>
      <c r="F95" s="9"/>
      <c r="G95" s="9"/>
      <c r="H95" s="9"/>
      <c r="I95" s="9"/>
      <c r="J95" s="9"/>
      <c r="K95" s="9"/>
      <c r="L95" s="8" t="n">
        <v>7999.33</v>
      </c>
      <c r="M95" s="8" t="n">
        <v>11400</v>
      </c>
      <c r="N95" s="8" t="n">
        <v>12949</v>
      </c>
      <c r="O95" s="8" t="n">
        <v>14272</v>
      </c>
      <c r="P95" s="8" t="n">
        <v>15955.84</v>
      </c>
      <c r="Q95" s="8" t="n">
        <v>17656.52</v>
      </c>
      <c r="R95" s="8" t="n">
        <v>19374.2</v>
      </c>
      <c r="S95" s="8" t="n">
        <v>21109.07</v>
      </c>
      <c r="T95" s="8" t="n">
        <v>22861.28</v>
      </c>
      <c r="U95" s="9"/>
    </row>
    <row r="96" customFormat="false" ht="15" hidden="false" customHeight="false" outlineLevel="0" collapsed="false">
      <c r="A96" s="6" t="s">
        <v>64</v>
      </c>
      <c r="B96" s="7" t="s">
        <v>70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8" t="n">
        <v>15882</v>
      </c>
      <c r="N96" s="8" t="n">
        <v>19775</v>
      </c>
      <c r="O96" s="8" t="n">
        <v>24507</v>
      </c>
      <c r="P96" s="8" t="n">
        <v>34020.24</v>
      </c>
      <c r="Q96" s="8" t="n">
        <v>55591.76</v>
      </c>
      <c r="R96" s="8" t="n">
        <v>92351.27</v>
      </c>
      <c r="S96" s="8" t="n">
        <v>132214.36</v>
      </c>
      <c r="T96" s="8" t="n">
        <v>152708.94</v>
      </c>
      <c r="U96" s="9"/>
    </row>
    <row r="97" customFormat="false" ht="15" hidden="false" customHeight="false" outlineLevel="0" collapsed="false">
      <c r="A97" s="6" t="s">
        <v>64</v>
      </c>
      <c r="B97" s="7" t="s">
        <v>71</v>
      </c>
      <c r="C97" s="9"/>
      <c r="D97" s="9"/>
      <c r="E97" s="9"/>
      <c r="F97" s="9"/>
      <c r="G97" s="9"/>
      <c r="H97" s="9"/>
      <c r="I97" s="8" t="n">
        <v>36200</v>
      </c>
      <c r="J97" s="8" t="n">
        <v>37000</v>
      </c>
      <c r="K97" s="8" t="n">
        <v>41300</v>
      </c>
      <c r="L97" s="8" t="n">
        <v>46600</v>
      </c>
      <c r="M97" s="8" t="n">
        <v>67900</v>
      </c>
      <c r="N97" s="8" t="n">
        <v>98000</v>
      </c>
      <c r="O97" s="8" t="n">
        <v>138000</v>
      </c>
      <c r="P97" s="9"/>
      <c r="Q97" s="9"/>
      <c r="R97" s="9"/>
      <c r="S97" s="9"/>
      <c r="T97" s="9"/>
      <c r="U97" s="9"/>
    </row>
  </sheetData>
  <mergeCells count="7">
    <mergeCell ref="A1:U1"/>
    <mergeCell ref="A2:U2"/>
    <mergeCell ref="A5:U5"/>
    <mergeCell ref="A24:U24"/>
    <mergeCell ref="A41:U41"/>
    <mergeCell ref="A60:U60"/>
    <mergeCell ref="A78:U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0"/>
  </cols>
  <sheetData>
    <row r="2" customFormat="false" ht="39.75" hidden="false" customHeight="true" outlineLevel="0" collapsed="false">
      <c r="B2" s="16" t="s">
        <v>72</v>
      </c>
    </row>
    <row r="3" customFormat="false" ht="15" hidden="false" customHeight="false" outlineLevel="0" collapsed="false">
      <c r="B3" s="17" t="s">
        <v>73</v>
      </c>
    </row>
    <row r="5" customFormat="false" ht="15" hidden="false" customHeight="false" outlineLevel="0" collapsed="false">
      <c r="B5" s="18" t="s">
        <v>74</v>
      </c>
    </row>
    <row r="6" customFormat="false" ht="21.75" hidden="false" customHeight="true" outlineLevel="0" collapsed="false">
      <c r="B6" s="19" t="s">
        <v>75</v>
      </c>
    </row>
    <row r="7" customFormat="false" ht="21.75" hidden="false" customHeight="true" outlineLevel="0" collapsed="false">
      <c r="B7" s="19" t="s">
        <v>76</v>
      </c>
    </row>
    <row r="8" customFormat="false" ht="21.75" hidden="false" customHeight="true" outlineLevel="0" collapsed="false">
      <c r="B8" s="19" t="s">
        <v>77</v>
      </c>
    </row>
    <row r="9" customFormat="false" ht="21.75" hidden="false" customHeight="true" outlineLevel="0" collapsed="false">
      <c r="B9" s="19" t="s">
        <v>78</v>
      </c>
    </row>
    <row r="10" customFormat="false" ht="21.75" hidden="false" customHeight="true" outlineLevel="0" collapsed="false">
      <c r="B10" s="19" t="s">
        <v>79</v>
      </c>
    </row>
    <row r="11" customFormat="false" ht="21.75" hidden="false" customHeight="true" outlineLevel="0" collapsed="false">
      <c r="B11" s="19" t="s">
        <v>80</v>
      </c>
    </row>
    <row r="12" customFormat="false" ht="21.75" hidden="false" customHeight="true" outlineLevel="0" collapsed="false">
      <c r="B12" s="19" t="s">
        <v>81</v>
      </c>
    </row>
    <row r="13" customFormat="false" ht="21.75" hidden="false" customHeight="true" outlineLevel="0" collapsed="false">
      <c r="B13" s="19" t="s">
        <v>82</v>
      </c>
    </row>
    <row r="15" customFormat="false" ht="15" hidden="false" customHeight="false" outlineLevel="0" collapsed="false">
      <c r="B15" s="18" t="s">
        <v>83</v>
      </c>
    </row>
    <row r="16" customFormat="false" ht="18" hidden="false" customHeight="true" outlineLevel="0" collapsed="false">
      <c r="B16" s="20" t="s">
        <v>84</v>
      </c>
    </row>
    <row r="17" customFormat="false" ht="18" hidden="false" customHeight="true" outlineLevel="0" collapsed="false">
      <c r="B17" s="20" t="s">
        <v>85</v>
      </c>
    </row>
    <row r="18" customFormat="false" ht="18" hidden="false" customHeight="true" outlineLevel="0" collapsed="false">
      <c r="B18" s="20" t="s">
        <v>86</v>
      </c>
    </row>
    <row r="19" customFormat="false" ht="18" hidden="false" customHeight="true" outlineLevel="0" collapsed="false">
      <c r="B19" s="20" t="s">
        <v>87</v>
      </c>
    </row>
    <row r="20" customFormat="false" ht="18" hidden="false" customHeight="true" outlineLevel="0" collapsed="false">
      <c r="B20" s="20" t="s">
        <v>88</v>
      </c>
    </row>
    <row r="21" customFormat="false" ht="18" hidden="false" customHeight="true" outlineLevel="0" collapsed="false">
      <c r="B21" s="20" t="s">
        <v>89</v>
      </c>
    </row>
    <row r="22" customFormat="false" ht="18" hidden="false" customHeight="true" outlineLevel="0" collapsed="false">
      <c r="B22" s="20" t="s">
        <v>90</v>
      </c>
    </row>
    <row r="23" customFormat="false" ht="18" hidden="false" customHeight="true" outlineLevel="0" collapsed="false">
      <c r="B23" s="20" t="s">
        <v>91</v>
      </c>
    </row>
    <row r="24" customFormat="false" ht="18" hidden="false" customHeight="true" outlineLevel="0" collapsed="false">
      <c r="B24" s="20" t="s">
        <v>92</v>
      </c>
    </row>
    <row r="25" customFormat="false" ht="18" hidden="false" customHeight="true" outlineLevel="0" collapsed="false">
      <c r="B25" s="20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1" min="2" style="0" width="10"/>
  </cols>
  <sheetData>
    <row r="1" customFormat="false" ht="27.75" hidden="false" customHeight="true" outlineLevel="0" collapsed="false">
      <c r="A1" s="21" t="s">
        <v>94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3" customFormat="false" ht="15" hidden="false" customHeight="true" outlineLevel="0" collapsed="false">
      <c r="A3" s="22" t="s">
        <v>95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customFormat="false" ht="15" hidden="false" customHeight="false" outlineLevel="0" collapsed="false">
      <c r="A4" s="4" t="s">
        <v>96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</row>
    <row r="5" customFormat="false" ht="15" hidden="false" customHeight="false" outlineLevel="0" collapsed="false">
      <c r="A5" s="23" t="s">
        <v>24</v>
      </c>
      <c r="B5" s="24" t="n">
        <f aca="false">'0. Database'!C6</f>
        <v>77849</v>
      </c>
      <c r="C5" s="24" t="n">
        <f aca="false">'0. Database'!D6</f>
        <v>86833</v>
      </c>
      <c r="D5" s="24" t="n">
        <f aca="false">'0. Database'!E6</f>
        <v>93580</v>
      </c>
      <c r="E5" s="24" t="n">
        <f aca="false">'0. Database'!F6</f>
        <v>85320</v>
      </c>
      <c r="F5" s="24" t="n">
        <f aca="false">'0. Database'!G6</f>
        <v>96571</v>
      </c>
      <c r="G5" s="24" t="n">
        <f aca="false">'0. Database'!H6</f>
        <v>110360</v>
      </c>
      <c r="H5" s="24" t="n">
        <f aca="false">'0. Database'!I6</f>
        <v>125843</v>
      </c>
      <c r="I5" s="24" t="n">
        <f aca="false">'0. Database'!J6</f>
        <v>143015</v>
      </c>
      <c r="J5" s="24" t="n">
        <f aca="false">'0. Database'!K6</f>
        <v>168088</v>
      </c>
      <c r="K5" s="24" t="n">
        <f aca="false">'0. Database'!L6</f>
        <v>198270</v>
      </c>
      <c r="L5" s="24" t="n">
        <f aca="false">'0. Database'!M6</f>
        <v>211915</v>
      </c>
      <c r="M5" s="24" t="n">
        <f aca="false">'0. Database'!N6</f>
        <v>245122</v>
      </c>
      <c r="N5" s="24" t="n">
        <f aca="false">'0. Database'!O6</f>
        <v>281724</v>
      </c>
      <c r="O5" s="24" t="n">
        <f aca="false">'0. Database'!P6</f>
        <v>329440.24</v>
      </c>
      <c r="P5" s="24" t="n">
        <f aca="false">'0. Database'!Q6</f>
        <v>387103.71</v>
      </c>
      <c r="Q5" s="24" t="n">
        <f aca="false">'0. Database'!R6</f>
        <v>463474.17</v>
      </c>
      <c r="R5" s="24" t="n">
        <f aca="false">'0. Database'!S6</f>
        <v>553714.52</v>
      </c>
      <c r="S5" s="24" t="n">
        <f aca="false">'0. Database'!T6</f>
        <v>652772.62</v>
      </c>
      <c r="T5" s="24" t="n">
        <f aca="false">'0. Database'!U6</f>
        <v>0</v>
      </c>
    </row>
    <row r="6" customFormat="false" ht="15" hidden="false" customHeight="false" outlineLevel="0" collapsed="false">
      <c r="A6" s="23" t="s">
        <v>43</v>
      </c>
      <c r="B6" s="24" t="n">
        <f aca="false">'0. Database'!C25</f>
        <v>74453</v>
      </c>
      <c r="C6" s="24" t="n">
        <f aca="false">'0. Database'!D25</f>
        <v>88988.4</v>
      </c>
      <c r="D6" s="24" t="n">
        <f aca="false">'0. Database'!E25</f>
        <v>107006.6</v>
      </c>
      <c r="E6" s="24" t="n">
        <f aca="false">'0. Database'!F25</f>
        <v>135987</v>
      </c>
      <c r="F6" s="24" t="n">
        <f aca="false">'0. Database'!G25</f>
        <v>177866</v>
      </c>
      <c r="G6" s="24" t="n">
        <f aca="false">'0. Database'!H25</f>
        <v>232887</v>
      </c>
      <c r="H6" s="24" t="n">
        <f aca="false">'0. Database'!I25</f>
        <v>280522</v>
      </c>
      <c r="I6" s="24" t="n">
        <f aca="false">'0. Database'!J25</f>
        <v>386064</v>
      </c>
      <c r="J6" s="24" t="n">
        <f aca="false">'0. Database'!K25</f>
        <v>469822</v>
      </c>
      <c r="K6" s="24" t="n">
        <f aca="false">'0. Database'!L25</f>
        <v>513983</v>
      </c>
      <c r="L6" s="24" t="n">
        <f aca="false">'0. Database'!M25</f>
        <v>574785</v>
      </c>
      <c r="M6" s="24" t="n">
        <f aca="false">'0. Database'!N25</f>
        <v>637959</v>
      </c>
      <c r="N6" s="24" t="n">
        <f aca="false">'0. Database'!O25</f>
        <v>716924</v>
      </c>
      <c r="O6" s="24" t="n">
        <f aca="false">'0. Database'!P25</f>
        <v>827599.51</v>
      </c>
      <c r="P6" s="24" t="n">
        <f aca="false">'0. Database'!Q25</f>
        <v>946630.91</v>
      </c>
      <c r="Q6" s="24" t="n">
        <f aca="false">'0. Database'!R25</f>
        <v>1063340.59</v>
      </c>
      <c r="R6" s="24" t="n">
        <f aca="false">'0. Database'!S25</f>
        <v>1183117.72</v>
      </c>
      <c r="S6" s="24" t="n">
        <f aca="false">'0. Database'!T25</f>
        <v>1305415.48</v>
      </c>
      <c r="T6" s="24" t="n">
        <f aca="false">'0. Database'!U25</f>
        <v>1427912.62</v>
      </c>
    </row>
    <row r="7" customFormat="false" ht="15" hidden="false" customHeight="false" outlineLevel="0" collapsed="false">
      <c r="A7" s="23" t="s">
        <v>49</v>
      </c>
      <c r="B7" s="24" t="n">
        <f aca="false">'0. Database'!C42</f>
        <v>55519</v>
      </c>
      <c r="C7" s="24" t="n">
        <f aca="false">'0. Database'!D42</f>
        <v>66001</v>
      </c>
      <c r="D7" s="24" t="n">
        <f aca="false">'0. Database'!E42</f>
        <v>74989</v>
      </c>
      <c r="E7" s="24" t="n">
        <f aca="false">'0. Database'!F42</f>
        <v>90272</v>
      </c>
      <c r="F7" s="24" t="n">
        <f aca="false">'0. Database'!G42</f>
        <v>110855</v>
      </c>
      <c r="G7" s="24" t="n">
        <f aca="false">'0. Database'!H42</f>
        <v>136819</v>
      </c>
      <c r="H7" s="24" t="n">
        <f aca="false">'0. Database'!I42</f>
        <v>161857</v>
      </c>
      <c r="I7" s="24" t="n">
        <f aca="false">'0. Database'!J42</f>
        <v>182527</v>
      </c>
      <c r="J7" s="24" t="n">
        <f aca="false">'0. Database'!K42</f>
        <v>257637</v>
      </c>
      <c r="K7" s="24" t="n">
        <f aca="false">'0. Database'!L42</f>
        <v>282836</v>
      </c>
      <c r="L7" s="24" t="n">
        <f aca="false">'0. Database'!M42</f>
        <v>307394</v>
      </c>
      <c r="M7" s="24" t="n">
        <f aca="false">'0. Database'!N42</f>
        <v>350018</v>
      </c>
      <c r="N7" s="24" t="n">
        <f aca="false">'0. Database'!O42</f>
        <v>402836</v>
      </c>
      <c r="O7" s="24" t="n">
        <f aca="false">'0. Database'!P42</f>
        <v>488278.6</v>
      </c>
      <c r="P7" s="24" t="n">
        <f aca="false">'0. Database'!Q42</f>
        <v>591935.74</v>
      </c>
      <c r="Q7" s="24" t="n">
        <f aca="false">'0. Database'!R42</f>
        <v>701414.49</v>
      </c>
      <c r="R7" s="24" t="n">
        <f aca="false">'0. Database'!S42</f>
        <v>815276.88</v>
      </c>
      <c r="S7" s="24" t="n">
        <f aca="false">'0. Database'!T42</f>
        <v>921874.95</v>
      </c>
      <c r="T7" s="24" t="n">
        <f aca="false">'0. Database'!U42</f>
        <v>1029231.91</v>
      </c>
    </row>
    <row r="8" customFormat="false" ht="15" hidden="false" customHeight="false" outlineLevel="0" collapsed="false">
      <c r="A8" s="23" t="s">
        <v>57</v>
      </c>
      <c r="B8" s="24" t="n">
        <f aca="false">'0. Database'!C61</f>
        <v>7872</v>
      </c>
      <c r="C8" s="24" t="n">
        <f aca="false">'0. Database'!D61</f>
        <v>12466</v>
      </c>
      <c r="D8" s="24" t="n">
        <f aca="false">'0. Database'!E61</f>
        <v>17927</v>
      </c>
      <c r="E8" s="24" t="n">
        <f aca="false">'0. Database'!F61</f>
        <v>27638</v>
      </c>
      <c r="F8" s="24" t="n">
        <f aca="false">'0. Database'!G61</f>
        <v>40653</v>
      </c>
      <c r="G8" s="24" t="n">
        <f aca="false">'0. Database'!H61</f>
        <v>55838</v>
      </c>
      <c r="H8" s="24" t="n">
        <f aca="false">'0. Database'!I61</f>
        <v>70696.5</v>
      </c>
      <c r="I8" s="24" t="n">
        <f aca="false">'0. Database'!J61</f>
        <v>85966</v>
      </c>
      <c r="J8" s="24" t="n">
        <f aca="false">'0. Database'!K61</f>
        <v>117929</v>
      </c>
      <c r="K8" s="24" t="n">
        <f aca="false">'0. Database'!L61</f>
        <v>116609</v>
      </c>
      <c r="L8" s="24" t="n">
        <f aca="false">'0. Database'!M61</f>
        <v>134901</v>
      </c>
      <c r="M8" s="24" t="n">
        <f aca="false">'0. Database'!N61</f>
        <v>164500</v>
      </c>
      <c r="N8" s="24" t="n">
        <f aca="false">'0. Database'!O61</f>
        <v>200965</v>
      </c>
      <c r="O8" s="24" t="n">
        <f aca="false">'0. Database'!P61</f>
        <v>255175.56</v>
      </c>
      <c r="P8" s="24" t="n">
        <f aca="false">'0. Database'!Q61</f>
        <v>306410.52</v>
      </c>
      <c r="Q8" s="24" t="n">
        <f aca="false">'0. Database'!R61</f>
        <v>357336.07</v>
      </c>
      <c r="R8" s="24" t="n">
        <f aca="false">'0. Database'!S61</f>
        <v>407351.97</v>
      </c>
      <c r="S8" s="24" t="n">
        <f aca="false">'0. Database'!T61</f>
        <v>456192.68</v>
      </c>
      <c r="T8" s="24" t="n">
        <f aca="false">'0. Database'!U61</f>
        <v>503691.81</v>
      </c>
    </row>
    <row r="9" customFormat="false" ht="15" hidden="false" customHeight="false" outlineLevel="0" collapsed="false">
      <c r="A9" s="23" t="s">
        <v>64</v>
      </c>
      <c r="B9" s="24" t="n">
        <f aca="false">'0. Database'!C79</f>
        <v>37253</v>
      </c>
      <c r="C9" s="24" t="n">
        <f aca="false">'0. Database'!D79</f>
        <v>38305</v>
      </c>
      <c r="D9" s="24" t="n">
        <f aca="false">'0. Database'!E79</f>
        <v>38253</v>
      </c>
      <c r="E9" s="24" t="n">
        <f aca="false">'0. Database'!F79</f>
        <v>37057</v>
      </c>
      <c r="F9" s="24" t="n">
        <f aca="false">'0. Database'!G79</f>
        <v>37899</v>
      </c>
      <c r="G9" s="24" t="n">
        <f aca="false">'0. Database'!H79</f>
        <v>39431</v>
      </c>
      <c r="H9" s="24" t="n">
        <f aca="false">'0. Database'!I79</f>
        <v>39525</v>
      </c>
      <c r="I9" s="24" t="n">
        <f aca="false">'0. Database'!J79</f>
        <v>39073</v>
      </c>
      <c r="J9" s="24" t="n">
        <f aca="false">'0. Database'!K79</f>
        <v>40481</v>
      </c>
      <c r="K9" s="24" t="n">
        <f aca="false">'0. Database'!L79</f>
        <v>42441</v>
      </c>
      <c r="L9" s="24" t="n">
        <f aca="false">'0. Database'!M79</f>
        <v>49955</v>
      </c>
      <c r="M9" s="24" t="n">
        <f aca="false">'0. Database'!N79</f>
        <v>52961</v>
      </c>
      <c r="N9" s="24" t="n">
        <f aca="false">'0. Database'!O79</f>
        <v>57399</v>
      </c>
      <c r="O9" s="24" t="n">
        <f aca="false">'0. Database'!P79</f>
        <v>67286.75</v>
      </c>
      <c r="P9" s="24" t="n">
        <f aca="false">'0. Database'!Q79</f>
        <v>88782.02</v>
      </c>
      <c r="Q9" s="24" t="n">
        <f aca="false">'0. Database'!R79</f>
        <v>125445.05</v>
      </c>
      <c r="R9" s="24" t="n">
        <f aca="false">'0. Database'!S79</f>
        <v>165192.96</v>
      </c>
      <c r="S9" s="24" t="n">
        <f aca="false">'0. Database'!T79</f>
        <v>185555.08</v>
      </c>
      <c r="T9" s="24" t="n">
        <f aca="false">'0. Database'!U79</f>
        <v>0</v>
      </c>
    </row>
    <row r="12" customFormat="false" ht="15" hidden="false" customHeight="true" outlineLevel="0" collapsed="false">
      <c r="A12" s="22" t="s">
        <v>97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</row>
    <row r="13" customFormat="false" ht="15" hidden="false" customHeight="false" outlineLevel="0" collapsed="false">
      <c r="A13" s="4" t="s">
        <v>96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  <c r="J13" s="4" t="s">
        <v>12</v>
      </c>
      <c r="K13" s="4" t="s">
        <v>13</v>
      </c>
      <c r="L13" s="4" t="s">
        <v>14</v>
      </c>
      <c r="M13" s="4" t="s">
        <v>15</v>
      </c>
      <c r="N13" s="4" t="s">
        <v>16</v>
      </c>
      <c r="O13" s="4" t="s">
        <v>17</v>
      </c>
      <c r="P13" s="4" t="s">
        <v>18</v>
      </c>
      <c r="Q13" s="4" t="s">
        <v>19</v>
      </c>
      <c r="R13" s="4" t="s">
        <v>20</v>
      </c>
      <c r="S13" s="4" t="s">
        <v>21</v>
      </c>
      <c r="T13" s="4" t="s">
        <v>22</v>
      </c>
    </row>
    <row r="14" customFormat="false" ht="15" hidden="false" customHeight="false" outlineLevel="0" collapsed="false">
      <c r="A14" s="23" t="s">
        <v>24</v>
      </c>
      <c r="B14" s="25"/>
      <c r="C14" s="25" t="n">
        <f aca="false">IFERROR('0. Database'!D6/'0. Database'!C6-1,"")</f>
        <v>0.115402895348688</v>
      </c>
      <c r="D14" s="25" t="n">
        <f aca="false">IFERROR('0. Database'!E6/'0. Database'!D6-1,"")</f>
        <v>0.0777008740916472</v>
      </c>
      <c r="E14" s="25" t="n">
        <f aca="false">IFERROR('0. Database'!F6/'0. Database'!E6-1,"")</f>
        <v>-0.0882667236589014</v>
      </c>
      <c r="F14" s="25" t="n">
        <f aca="false">IFERROR('0. Database'!G6/'0. Database'!F6-1,"")</f>
        <v>0.131868260665729</v>
      </c>
      <c r="G14" s="25" t="n">
        <f aca="false">IFERROR('0. Database'!H6/'0. Database'!G6-1,"")</f>
        <v>0.142786136624867</v>
      </c>
      <c r="H14" s="25" t="n">
        <f aca="false">IFERROR('0. Database'!I6/'0. Database'!H6-1,"")</f>
        <v>0.140295396882929</v>
      </c>
      <c r="I14" s="25" t="n">
        <f aca="false">IFERROR('0. Database'!J6/'0. Database'!I6-1,"")</f>
        <v>0.136455742472764</v>
      </c>
      <c r="J14" s="25" t="n">
        <f aca="false">IFERROR('0. Database'!K6/'0. Database'!J6-1,"")</f>
        <v>0.175317274411775</v>
      </c>
      <c r="K14" s="25" t="n">
        <f aca="false">IFERROR('0. Database'!L6/'0. Database'!K6-1,"")</f>
        <v>0.179560706296702</v>
      </c>
      <c r="L14" s="25" t="n">
        <f aca="false">IFERROR('0. Database'!M6/'0. Database'!L6-1,"")</f>
        <v>0.0688202955565642</v>
      </c>
      <c r="M14" s="25" t="n">
        <f aca="false">IFERROR('0. Database'!N6/'0. Database'!M6-1,"")</f>
        <v>0.156699620130713</v>
      </c>
      <c r="N14" s="25" t="n">
        <f aca="false">IFERROR('0. Database'!O6/'0. Database'!N6-1,"")</f>
        <v>0.149321562324067</v>
      </c>
      <c r="O14" s="25" t="n">
        <f aca="false">IFERROR('0. Database'!P6/'0. Database'!O6-1,"")</f>
        <v>0.169372293450327</v>
      </c>
      <c r="P14" s="25" t="n">
        <f aca="false">IFERROR('0. Database'!Q6/'0. Database'!P6-1,"")</f>
        <v>0.175034689144228</v>
      </c>
      <c r="Q14" s="25" t="n">
        <f aca="false">IFERROR('0. Database'!R6/'0. Database'!Q6-1,"")</f>
        <v>0.197286820113401</v>
      </c>
      <c r="R14" s="25" t="n">
        <f aca="false">IFERROR('0. Database'!S6/'0. Database'!R6-1,"")</f>
        <v>0.19470416226216</v>
      </c>
      <c r="S14" s="25" t="n">
        <f aca="false">IFERROR('0. Database'!T6/'0. Database'!S6-1,"")</f>
        <v>0.178897421725549</v>
      </c>
      <c r="T14" s="25" t="n">
        <f aca="false">IFERROR('0. Database'!U6/'0. Database'!T6-1,"")</f>
        <v>-1</v>
      </c>
    </row>
    <row r="15" customFormat="false" ht="15" hidden="false" customHeight="false" outlineLevel="0" collapsed="false">
      <c r="A15" s="23" t="s">
        <v>43</v>
      </c>
      <c r="B15" s="25"/>
      <c r="C15" s="25" t="n">
        <f aca="false">IFERROR('0. Database'!D25/'0. Database'!C25-1,"")</f>
        <v>0.195229205001813</v>
      </c>
      <c r="D15" s="25" t="n">
        <f aca="false">IFERROR('0. Database'!E25/'0. Database'!D25-1,"")</f>
        <v>0.202478075794149</v>
      </c>
      <c r="E15" s="25" t="n">
        <f aca="false">IFERROR('0. Database'!F25/'0. Database'!E25-1,"")</f>
        <v>0.270828154525048</v>
      </c>
      <c r="F15" s="25" t="n">
        <f aca="false">IFERROR('0. Database'!G25/'0. Database'!F25-1,"")</f>
        <v>0.307963261194085</v>
      </c>
      <c r="G15" s="25" t="n">
        <f aca="false">IFERROR('0. Database'!H25/'0. Database'!G25-1,"")</f>
        <v>0.309339615215949</v>
      </c>
      <c r="H15" s="25" t="n">
        <f aca="false">IFERROR('0. Database'!I25/'0. Database'!H25-1,"")</f>
        <v>0.20454125820677</v>
      </c>
      <c r="I15" s="25" t="n">
        <f aca="false">IFERROR('0. Database'!J25/'0. Database'!I25-1,"")</f>
        <v>0.376234306043733</v>
      </c>
      <c r="J15" s="25" t="n">
        <f aca="false">IFERROR('0. Database'!K25/'0. Database'!J25-1,"")</f>
        <v>0.216953665713457</v>
      </c>
      <c r="K15" s="25" t="n">
        <f aca="false">IFERROR('0. Database'!L25/'0. Database'!K25-1,"")</f>
        <v>0.0939951726398509</v>
      </c>
      <c r="L15" s="25" t="n">
        <f aca="false">IFERROR('0. Database'!M25/'0. Database'!L25-1,"")</f>
        <v>0.118295741298837</v>
      </c>
      <c r="M15" s="25" t="n">
        <f aca="false">IFERROR('0. Database'!N25/'0. Database'!M25-1,"")</f>
        <v>0.109908922466661</v>
      </c>
      <c r="N15" s="25" t="n">
        <f aca="false">IFERROR('0. Database'!O25/'0. Database'!N25-1,"")</f>
        <v>0.123777546832947</v>
      </c>
      <c r="O15" s="25" t="n">
        <f aca="false">IFERROR('0. Database'!P25/'0. Database'!O25-1,"")</f>
        <v>0.154375512606636</v>
      </c>
      <c r="P15" s="25" t="n">
        <f aca="false">IFERROR('0. Database'!Q25/'0. Database'!P25-1,"")</f>
        <v>0.143827296369472</v>
      </c>
      <c r="Q15" s="25" t="n">
        <f aca="false">IFERROR('0. Database'!R25/'0. Database'!Q25-1,"")</f>
        <v>0.123289530023903</v>
      </c>
      <c r="R15" s="25" t="n">
        <f aca="false">IFERROR('0. Database'!S25/'0. Database'!R25-1,"")</f>
        <v>0.112642300243612</v>
      </c>
      <c r="S15" s="25" t="n">
        <f aca="false">IFERROR('0. Database'!T25/'0. Database'!S25-1,"")</f>
        <v>0.103369054433569</v>
      </c>
      <c r="T15" s="25" t="n">
        <f aca="false">IFERROR('0. Database'!U25/'0. Database'!T25-1,"")</f>
        <v>0.0938376646184709</v>
      </c>
    </row>
    <row r="16" customFormat="false" ht="15" hidden="false" customHeight="false" outlineLevel="0" collapsed="false">
      <c r="A16" s="23" t="s">
        <v>49</v>
      </c>
      <c r="B16" s="25"/>
      <c r="C16" s="25" t="n">
        <f aca="false">IFERROR('0. Database'!D42/'0. Database'!C42-1,"")</f>
        <v>0.188800230551703</v>
      </c>
      <c r="D16" s="25" t="n">
        <f aca="false">IFERROR('0. Database'!E42/'0. Database'!D42-1,"")</f>
        <v>0.136179754852199</v>
      </c>
      <c r="E16" s="25" t="n">
        <f aca="false">IFERROR('0. Database'!F42/'0. Database'!E42-1,"")</f>
        <v>0.203803224472923</v>
      </c>
      <c r="F16" s="25" t="n">
        <f aca="false">IFERROR('0. Database'!G42/'0. Database'!F42-1,"")</f>
        <v>0.228010900389933</v>
      </c>
      <c r="G16" s="25" t="n">
        <f aca="false">IFERROR('0. Database'!H42/'0. Database'!G42-1,"")</f>
        <v>0.23421586757476</v>
      </c>
      <c r="H16" s="25" t="n">
        <f aca="false">IFERROR('0. Database'!I42/'0. Database'!H42-1,"")</f>
        <v>0.183000898997946</v>
      </c>
      <c r="I16" s="25" t="n">
        <f aca="false">IFERROR('0. Database'!J42/'0. Database'!I42-1,"")</f>
        <v>0.127705320128261</v>
      </c>
      <c r="J16" s="25" t="n">
        <f aca="false">IFERROR('0. Database'!K42/'0. Database'!J42-1,"")</f>
        <v>0.411500764270492</v>
      </c>
      <c r="K16" s="25" t="n">
        <f aca="false">IFERROR('0. Database'!L42/'0. Database'!K42-1,"")</f>
        <v>0.0978081564371578</v>
      </c>
      <c r="L16" s="25" t="n">
        <f aca="false">IFERROR('0. Database'!M42/'0. Database'!L42-1,"")</f>
        <v>0.0868277022726951</v>
      </c>
      <c r="M16" s="25" t="n">
        <f aca="false">IFERROR('0. Database'!N42/'0. Database'!M42-1,"")</f>
        <v>0.138662433229016</v>
      </c>
      <c r="N16" s="25" t="n">
        <f aca="false">IFERROR('0. Database'!O42/'0. Database'!N42-1,"")</f>
        <v>0.150900810815444</v>
      </c>
      <c r="O16" s="25" t="n">
        <f aca="false">IFERROR('0. Database'!P42/'0. Database'!O42-1,"")</f>
        <v>0.212102691914327</v>
      </c>
      <c r="P16" s="25" t="n">
        <f aca="false">IFERROR('0. Database'!Q42/'0. Database'!P42-1,"")</f>
        <v>0.212290974865579</v>
      </c>
      <c r="Q16" s="25" t="n">
        <f aca="false">IFERROR('0. Database'!R42/'0. Database'!Q42-1,"")</f>
        <v>0.184950396811654</v>
      </c>
      <c r="R16" s="25" t="n">
        <f aca="false">IFERROR('0. Database'!S42/'0. Database'!R42-1,"")</f>
        <v>0.162332531795857</v>
      </c>
      <c r="S16" s="25" t="n">
        <f aca="false">IFERROR('0. Database'!T42/'0. Database'!S42-1,"")</f>
        <v>0.13075075795109</v>
      </c>
      <c r="T16" s="25" t="n">
        <f aca="false">IFERROR('0. Database'!U42/'0. Database'!T42-1,"")</f>
        <v>0.116455013773831</v>
      </c>
    </row>
    <row r="17" customFormat="false" ht="15" hidden="false" customHeight="false" outlineLevel="0" collapsed="false">
      <c r="A17" s="23" t="s">
        <v>57</v>
      </c>
      <c r="B17" s="25"/>
      <c r="C17" s="25" t="n">
        <f aca="false">IFERROR('0. Database'!D61/'0. Database'!C61-1,"")</f>
        <v>0.583587398373984</v>
      </c>
      <c r="D17" s="25" t="n">
        <f aca="false">IFERROR('0. Database'!E61/'0. Database'!D61-1,"")</f>
        <v>0.43807155462859</v>
      </c>
      <c r="E17" s="25" t="n">
        <f aca="false">IFERROR('0. Database'!F61/'0. Database'!E61-1,"")</f>
        <v>0.541696881798405</v>
      </c>
      <c r="F17" s="25" t="n">
        <f aca="false">IFERROR('0. Database'!G61/'0. Database'!F61-1,"")</f>
        <v>0.470909617193719</v>
      </c>
      <c r="G17" s="25" t="n">
        <f aca="false">IFERROR('0. Database'!H61/'0. Database'!G61-1,"")</f>
        <v>0.37352716896662</v>
      </c>
      <c r="H17" s="25" t="n">
        <f aca="false">IFERROR('0. Database'!I61/'0. Database'!H61-1,"")</f>
        <v>0.266100146853397</v>
      </c>
      <c r="I17" s="25" t="n">
        <f aca="false">IFERROR('0. Database'!J61/'0. Database'!I61-1,"")</f>
        <v>0.215986647146606</v>
      </c>
      <c r="J17" s="25" t="n">
        <f aca="false">IFERROR('0. Database'!K61/'0. Database'!J61-1,"")</f>
        <v>0.371809785263942</v>
      </c>
      <c r="K17" s="25" t="n">
        <f aca="false">IFERROR('0. Database'!L61/'0. Database'!K61-1,"")</f>
        <v>-0.0111931755547829</v>
      </c>
      <c r="L17" s="25" t="n">
        <f aca="false">IFERROR('0. Database'!M61/'0. Database'!L61-1,"")</f>
        <v>0.156866108104863</v>
      </c>
      <c r="M17" s="25" t="n">
        <f aca="false">IFERROR('0. Database'!N61/'0. Database'!M61-1,"")</f>
        <v>0.219412754538513</v>
      </c>
      <c r="N17" s="25" t="n">
        <f aca="false">IFERROR('0. Database'!O61/'0. Database'!N61-1,"")</f>
        <v>0.221671732522796</v>
      </c>
      <c r="O17" s="25" t="n">
        <f aca="false">IFERROR('0. Database'!P61/'0. Database'!O61-1,"")</f>
        <v>0.2697512502177</v>
      </c>
      <c r="P17" s="25" t="n">
        <f aca="false">IFERROR('0. Database'!Q61/'0. Database'!P61-1,"")</f>
        <v>0.20078317845173</v>
      </c>
      <c r="Q17" s="25" t="n">
        <f aca="false">IFERROR('0. Database'!R61/'0. Database'!Q61-1,"")</f>
        <v>0.166200396774889</v>
      </c>
      <c r="R17" s="25" t="n">
        <f aca="false">IFERROR('0. Database'!S61/'0. Database'!R61-1,"")</f>
        <v>0.13996879744046</v>
      </c>
      <c r="S17" s="25" t="n">
        <f aca="false">IFERROR('0. Database'!T61/'0. Database'!S61-1,"")</f>
        <v>0.119898057691976</v>
      </c>
      <c r="T17" s="25" t="n">
        <f aca="false">IFERROR('0. Database'!U61/'0. Database'!T61-1,"")</f>
        <v>0.104120763182785</v>
      </c>
    </row>
    <row r="18" customFormat="false" ht="15" hidden="false" customHeight="false" outlineLevel="0" collapsed="false">
      <c r="A18" s="23" t="s">
        <v>64</v>
      </c>
      <c r="B18" s="25"/>
      <c r="C18" s="25" t="n">
        <f aca="false">IFERROR('0. Database'!D79/'0. Database'!C79-1,"")</f>
        <v>0.0282393364292808</v>
      </c>
      <c r="D18" s="25" t="n">
        <f aca="false">IFERROR('0. Database'!E79/'0. Database'!D79-1,"")</f>
        <v>-0.00135752512726794</v>
      </c>
      <c r="E18" s="25" t="n">
        <f aca="false">IFERROR('0. Database'!F79/'0. Database'!E79-1,"")</f>
        <v>-0.031265521658432</v>
      </c>
      <c r="F18" s="25" t="n">
        <f aca="false">IFERROR('0. Database'!G79/'0. Database'!F79-1,"")</f>
        <v>0.0227217529751464</v>
      </c>
      <c r="G18" s="25" t="n">
        <f aca="false">IFERROR('0. Database'!H79/'0. Database'!G79-1,"")</f>
        <v>0.0404232301643843</v>
      </c>
      <c r="H18" s="25" t="n">
        <f aca="false">IFERROR('0. Database'!I79/'0. Database'!H79-1,"")</f>
        <v>0.0023839111359083</v>
      </c>
      <c r="I18" s="25" t="n">
        <f aca="false">IFERROR('0. Database'!J79/'0. Database'!I79-1,"")</f>
        <v>-0.0114358001265022</v>
      </c>
      <c r="J18" s="25" t="n">
        <f aca="false">IFERROR('0. Database'!K79/'0. Database'!J79-1,"")</f>
        <v>0.036035113761421</v>
      </c>
      <c r="K18" s="25" t="n">
        <f aca="false">IFERROR('0. Database'!L79/'0. Database'!K79-1,"")</f>
        <v>0.0484177762407054</v>
      </c>
      <c r="L18" s="25" t="n">
        <f aca="false">IFERROR('0. Database'!M79/'0. Database'!L79-1,"")</f>
        <v>0.17704578120214</v>
      </c>
      <c r="M18" s="25" t="n">
        <f aca="false">IFERROR('0. Database'!N79/'0. Database'!M79-1,"")</f>
        <v>0.060174156741067</v>
      </c>
      <c r="N18" s="25" t="n">
        <f aca="false">IFERROR('0. Database'!O79/'0. Database'!N79-1,"")</f>
        <v>0.0837975113762959</v>
      </c>
      <c r="O18" s="25" t="n">
        <f aca="false">IFERROR('0. Database'!P79/'0. Database'!O79-1,"")</f>
        <v>0.172263454067144</v>
      </c>
      <c r="P18" s="25" t="n">
        <f aca="false">IFERROR('0. Database'!Q79/'0. Database'!P79-1,"")</f>
        <v>0.319457694122543</v>
      </c>
      <c r="Q18" s="25" t="n">
        <f aca="false">IFERROR('0. Database'!R79/'0. Database'!Q79-1,"")</f>
        <v>0.412955573662325</v>
      </c>
      <c r="R18" s="25" t="n">
        <f aca="false">IFERROR('0. Database'!S79/'0. Database'!R79-1,"")</f>
        <v>0.316855148927758</v>
      </c>
      <c r="S18" s="25" t="n">
        <f aca="false">IFERROR('0. Database'!T79/'0. Database'!S79-1,"")</f>
        <v>0.123262637826697</v>
      </c>
      <c r="T18" s="25" t="n">
        <f aca="false">IFERROR('0. Database'!U79/'0. Database'!T79-1,"")</f>
        <v>-1</v>
      </c>
    </row>
    <row r="21" customFormat="false" ht="15" hidden="false" customHeight="true" outlineLevel="0" collapsed="false">
      <c r="A21" s="22" t="s">
        <v>98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customFormat="false" ht="15" hidden="false" customHeight="false" outlineLevel="0" collapsed="false">
      <c r="A22" s="4" t="s">
        <v>96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9</v>
      </c>
      <c r="H22" s="4" t="s">
        <v>10</v>
      </c>
      <c r="I22" s="4" t="s">
        <v>11</v>
      </c>
      <c r="J22" s="4" t="s">
        <v>12</v>
      </c>
      <c r="K22" s="4" t="s">
        <v>13</v>
      </c>
      <c r="L22" s="4" t="s">
        <v>14</v>
      </c>
      <c r="M22" s="4" t="s">
        <v>15</v>
      </c>
      <c r="N22" s="4" t="s">
        <v>16</v>
      </c>
      <c r="O22" s="4" t="s">
        <v>17</v>
      </c>
      <c r="P22" s="4" t="s">
        <v>18</v>
      </c>
      <c r="Q22" s="4" t="s">
        <v>19</v>
      </c>
      <c r="R22" s="4" t="s">
        <v>20</v>
      </c>
      <c r="S22" s="4" t="s">
        <v>21</v>
      </c>
      <c r="T22" s="4" t="s">
        <v>22</v>
      </c>
    </row>
    <row r="23" customFormat="false" ht="15" hidden="false" customHeight="false" outlineLevel="0" collapsed="false">
      <c r="A23" s="23" t="s">
        <v>24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customFormat="false" ht="15" hidden="false" customHeight="false" outlineLevel="0" collapsed="false">
      <c r="A24" s="23" t="s">
        <v>43</v>
      </c>
      <c r="B24" s="24" t="n">
        <f aca="false">'0. Database'!C36</f>
        <v>3107.57</v>
      </c>
      <c r="C24" s="24" t="n">
        <f aca="false">'0. Database'!D36</f>
        <v>4644</v>
      </c>
      <c r="D24" s="24" t="n">
        <f aca="false">'0. Database'!E36</f>
        <v>7880</v>
      </c>
      <c r="E24" s="24" t="n">
        <f aca="false">'0. Database'!F36</f>
        <v>12219</v>
      </c>
      <c r="F24" s="24" t="n">
        <f aca="false">'0. Database'!G36</f>
        <v>17458</v>
      </c>
      <c r="G24" s="24" t="n">
        <f aca="false">'0. Database'!H36</f>
        <v>25656</v>
      </c>
      <c r="H24" s="24" t="n">
        <f aca="false">'0. Database'!I36</f>
        <v>35026</v>
      </c>
      <c r="I24" s="24" t="n">
        <f aca="false">'0. Database'!J36</f>
        <v>45370</v>
      </c>
      <c r="J24" s="24" t="n">
        <f aca="false">'0. Database'!K36</f>
        <v>62202</v>
      </c>
      <c r="K24" s="24" t="n">
        <f aca="false">'0. Database'!L36</f>
        <v>80096</v>
      </c>
      <c r="L24" s="24" t="n">
        <f aca="false">'0. Database'!M36</f>
        <v>90757</v>
      </c>
      <c r="M24" s="24" t="n">
        <f aca="false">'0. Database'!N36</f>
        <v>107556</v>
      </c>
      <c r="N24" s="24" t="n">
        <f aca="false">'0. Database'!O36</f>
        <v>128725</v>
      </c>
      <c r="O24" s="24" t="n">
        <f aca="false">'0. Database'!P36</f>
        <v>171284.9</v>
      </c>
      <c r="P24" s="24" t="n">
        <f aca="false">'0. Database'!Q36</f>
        <v>225587.94</v>
      </c>
      <c r="Q24" s="24" t="n">
        <f aca="false">'0. Database'!R36</f>
        <v>274421.67</v>
      </c>
      <c r="R24" s="24" t="n">
        <f aca="false">'0. Database'!S36</f>
        <v>323817.58</v>
      </c>
      <c r="S24" s="24" t="n">
        <f aca="false">'0. Database'!T36</f>
        <v>374009.3</v>
      </c>
      <c r="T24" s="24" t="n">
        <f aca="false">'0. Database'!U36</f>
        <v>423565.53</v>
      </c>
    </row>
    <row r="25" customFormat="false" ht="15" hidden="false" customHeight="false" outlineLevel="0" collapsed="false">
      <c r="A25" s="23" t="s">
        <v>49</v>
      </c>
      <c r="B25" s="24" t="n">
        <f aca="false">'0. Database'!C53</f>
        <v>0</v>
      </c>
      <c r="C25" s="24" t="n">
        <f aca="false">'0. Database'!D53</f>
        <v>0</v>
      </c>
      <c r="D25" s="24" t="n">
        <f aca="false">'0. Database'!E53</f>
        <v>0</v>
      </c>
      <c r="E25" s="24" t="n">
        <f aca="false">'0. Database'!F53</f>
        <v>0</v>
      </c>
      <c r="F25" s="24" t="n">
        <f aca="false">'0. Database'!G53</f>
        <v>4056</v>
      </c>
      <c r="G25" s="24" t="n">
        <f aca="false">'0. Database'!H53</f>
        <v>5838</v>
      </c>
      <c r="H25" s="24" t="n">
        <f aca="false">'0. Database'!I53</f>
        <v>8918</v>
      </c>
      <c r="I25" s="24" t="n">
        <f aca="false">'0. Database'!J53</f>
        <v>13059</v>
      </c>
      <c r="J25" s="24" t="n">
        <f aca="false">'0. Database'!K53</f>
        <v>19206</v>
      </c>
      <c r="K25" s="24" t="n">
        <f aca="false">'0. Database'!L53</f>
        <v>26280</v>
      </c>
      <c r="L25" s="24" t="n">
        <f aca="false">'0. Database'!M53</f>
        <v>33088</v>
      </c>
      <c r="M25" s="24" t="n">
        <f aca="false">'0. Database'!N53</f>
        <v>43229</v>
      </c>
      <c r="N25" s="24" t="n">
        <f aca="false">'0. Database'!O53</f>
        <v>58705</v>
      </c>
      <c r="O25" s="24" t="n">
        <f aca="false">'0. Database'!P53</f>
        <v>99085.93</v>
      </c>
      <c r="P25" s="24" t="n">
        <f aca="false">'0. Database'!Q53</f>
        <v>157303.91</v>
      </c>
      <c r="Q25" s="24" t="n">
        <f aca="false">'0. Database'!R53</f>
        <v>220225.47</v>
      </c>
      <c r="R25" s="24" t="n">
        <f aca="false">'0. Database'!S53</f>
        <v>286293.12</v>
      </c>
      <c r="S25" s="24" t="n">
        <f aca="false">'0. Database'!T53</f>
        <v>343551.74</v>
      </c>
      <c r="T25" s="24" t="n">
        <f aca="false">'0. Database'!U53</f>
        <v>400237.78</v>
      </c>
    </row>
    <row r="26" customFormat="false" ht="15" hidden="false" customHeight="false" outlineLevel="0" collapsed="false">
      <c r="A26" s="23" t="s">
        <v>57</v>
      </c>
      <c r="B26" s="24" t="n">
        <f aca="false">'0. Database'!C74</f>
        <v>6986</v>
      </c>
      <c r="C26" s="24" t="n">
        <f aca="false">'0. Database'!D74</f>
        <v>11492</v>
      </c>
      <c r="D26" s="24" t="n">
        <f aca="false">'0. Database'!E74</f>
        <v>17080</v>
      </c>
      <c r="E26" s="24" t="n">
        <f aca="false">'0. Database'!F74</f>
        <v>26885</v>
      </c>
      <c r="F26" s="24" t="n">
        <f aca="false">'0. Database'!G74</f>
        <v>39942</v>
      </c>
      <c r="G26" s="24" t="n">
        <f aca="false">'0. Database'!H74</f>
        <v>55012</v>
      </c>
      <c r="H26" s="24" t="n">
        <f aca="false">'0. Database'!I74</f>
        <v>69654.5</v>
      </c>
      <c r="I26" s="24" t="n">
        <f aca="false">'0. Database'!J74</f>
        <v>84169</v>
      </c>
      <c r="J26" s="24" t="n">
        <f aca="false">'0. Database'!K74</f>
        <v>114934</v>
      </c>
      <c r="K26" s="24" t="n">
        <f aca="false">'0. Database'!L74</f>
        <v>113641</v>
      </c>
      <c r="L26" s="24" t="n">
        <f aca="false">'0. Database'!M74</f>
        <v>131948</v>
      </c>
      <c r="M26" s="24" t="n">
        <f aca="false">'0. Database'!N74</f>
        <v>160632</v>
      </c>
      <c r="N26" s="24" t="n">
        <f aca="false">'0. Database'!O74</f>
        <v>196174</v>
      </c>
      <c r="O26" s="24" t="n">
        <f aca="false">'0. Database'!P74</f>
        <v>248664.66</v>
      </c>
      <c r="P26" s="24" t="n">
        <f aca="false">'0. Database'!Q74</f>
        <v>298597.44</v>
      </c>
      <c r="Q26" s="24" t="n">
        <f aca="false">'0. Database'!R74</f>
        <v>348271.65</v>
      </c>
      <c r="R26" s="24" t="n">
        <f aca="false">'0. Database'!S74</f>
        <v>397194.59</v>
      </c>
      <c r="S26" s="24" t="n">
        <f aca="false">'0. Database'!T74</f>
        <v>444912.31</v>
      </c>
      <c r="T26" s="24" t="n">
        <f aca="false">'0. Database'!U74</f>
        <v>491283.4</v>
      </c>
    </row>
    <row r="27" customFormat="false" ht="15" hidden="false" customHeight="false" outlineLevel="0" collapsed="false">
      <c r="A27" s="23" t="s">
        <v>64</v>
      </c>
      <c r="B27" s="24" t="n">
        <f aca="false">'0. Database'!C93</f>
        <v>1365</v>
      </c>
      <c r="C27" s="24" t="n">
        <f aca="false">'0. Database'!D93</f>
        <v>1577</v>
      </c>
      <c r="D27" s="24" t="n">
        <f aca="false">'0. Database'!E93</f>
        <v>2094</v>
      </c>
      <c r="E27" s="24" t="n">
        <f aca="false">'0. Database'!F93</f>
        <v>2854</v>
      </c>
      <c r="F27" s="24" t="n">
        <f aca="false">'0. Database'!G93</f>
        <v>4572</v>
      </c>
      <c r="G27" s="24" t="n">
        <f aca="false">'0. Database'!H93</f>
        <v>6189.17</v>
      </c>
      <c r="H27" s="24" t="n">
        <f aca="false">'0. Database'!I93</f>
        <v>6918.19</v>
      </c>
      <c r="I27" s="24" t="n">
        <f aca="false">'0. Database'!J93</f>
        <v>7811.32</v>
      </c>
      <c r="J27" s="24" t="n">
        <f aca="false">'0. Database'!K93</f>
        <v>8945</v>
      </c>
      <c r="K27" s="24" t="n">
        <f aca="false">'0. Database'!L93</f>
        <v>10809</v>
      </c>
      <c r="L27" s="24" t="n">
        <f aca="false">'0. Database'!M93</f>
        <v>15882</v>
      </c>
      <c r="M27" s="24" t="n">
        <f aca="false">'0. Database'!N93</f>
        <v>19775</v>
      </c>
      <c r="N27" s="24" t="n">
        <f aca="false">'0. Database'!O93</f>
        <v>24507</v>
      </c>
      <c r="O27" s="24" t="n">
        <f aca="false">'0. Database'!P93</f>
        <v>34020.24</v>
      </c>
      <c r="P27" s="24" t="n">
        <f aca="false">'0. Database'!Q93</f>
        <v>55591.76</v>
      </c>
      <c r="Q27" s="24" t="n">
        <f aca="false">'0. Database'!R93</f>
        <v>92351.27</v>
      </c>
      <c r="R27" s="24" t="n">
        <f aca="false">'0. Database'!S93</f>
        <v>132214.36</v>
      </c>
      <c r="S27" s="24" t="n">
        <f aca="false">'0. Database'!T93</f>
        <v>152708.94</v>
      </c>
      <c r="T27" s="24" t="n">
        <f aca="false">'0. Database'!U93</f>
        <v>0</v>
      </c>
    </row>
  </sheetData>
  <mergeCells count="4">
    <mergeCell ref="A1:T1"/>
    <mergeCell ref="A3:T3"/>
    <mergeCell ref="A12:T12"/>
    <mergeCell ref="A21:T21"/>
  </mergeCells>
  <conditionalFormatting sqref="B14:T18">
    <cfRule type="colorScale" priority="2">
      <colorScale>
        <cfvo type="num" val="-0.2"/>
        <cfvo type="num" val="0.1"/>
        <cfvo type="num" val="0.3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1" min="2" style="0" width="10"/>
  </cols>
  <sheetData>
    <row r="1" customFormat="false" ht="27.75" hidden="false" customHeight="true" outlineLevel="0" collapsed="false">
      <c r="A1" s="21" t="s">
        <v>99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3" customFormat="false" ht="15" hidden="false" customHeight="true" outlineLevel="0" collapsed="false">
      <c r="A3" s="22" t="s">
        <v>100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customFormat="false" ht="15" hidden="false" customHeight="false" outlineLevel="0" collapsed="false">
      <c r="A4" s="4" t="s">
        <v>96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</row>
    <row r="5" customFormat="false" ht="15" hidden="false" customHeight="false" outlineLevel="0" collapsed="false">
      <c r="A5" s="23" t="s">
        <v>24</v>
      </c>
      <c r="B5" s="24" t="n">
        <f aca="false">'0. Database'!C13</f>
        <v>4257</v>
      </c>
      <c r="C5" s="24" t="n">
        <f aca="false">'0. Database'!D13</f>
        <v>5485</v>
      </c>
      <c r="D5" s="24" t="n">
        <f aca="false">'0. Database'!E13</f>
        <v>5944</v>
      </c>
      <c r="E5" s="24" t="n">
        <f aca="false">'0. Database'!F13</f>
        <v>8932</v>
      </c>
      <c r="F5" s="24" t="n">
        <f aca="false">'0. Database'!G13</f>
        <v>10200</v>
      </c>
      <c r="G5" s="24" t="n">
        <f aca="false">'0. Database'!H13</f>
        <v>13600</v>
      </c>
      <c r="H5" s="24" t="n">
        <f aca="false">'0. Database'!I13</f>
        <v>16900</v>
      </c>
      <c r="I5" s="24" t="n">
        <f aca="false">'0. Database'!J13</f>
        <v>19000</v>
      </c>
      <c r="J5" s="24" t="n">
        <f aca="false">'0. Database'!K13</f>
        <v>24200</v>
      </c>
      <c r="K5" s="24" t="n">
        <f aca="false">'0. Database'!L13</f>
        <v>29200</v>
      </c>
      <c r="L5" s="24" t="n">
        <f aca="false">'0. Database'!M13</f>
        <v>31900</v>
      </c>
      <c r="M5" s="24" t="n">
        <f aca="false">'0. Database'!N13</f>
        <v>55700</v>
      </c>
      <c r="N5" s="24" t="n">
        <f aca="false">'0. Database'!O13</f>
        <v>88200</v>
      </c>
      <c r="O5" s="24" t="n">
        <f aca="false">'0. Database'!P13</f>
        <v>145871.3</v>
      </c>
      <c r="P5" s="24" t="n">
        <f aca="false">'0. Database'!Q13</f>
        <v>245263.45</v>
      </c>
      <c r="Q5" s="24" t="n">
        <f aca="false">'0. Database'!R13</f>
        <v>286760.35</v>
      </c>
      <c r="R5" s="24" t="n">
        <f aca="false">'0. Database'!S13</f>
        <v>300210.91</v>
      </c>
      <c r="S5" s="24" t="n">
        <f aca="false">'0. Database'!T13</f>
        <v>304616.04</v>
      </c>
      <c r="T5" s="24" t="n">
        <f aca="false">'0. Database'!U13</f>
        <v>0</v>
      </c>
    </row>
    <row r="6" customFormat="false" ht="15" hidden="false" customHeight="false" outlineLevel="0" collapsed="false">
      <c r="A6" s="23" t="s">
        <v>43</v>
      </c>
      <c r="B6" s="24" t="n">
        <f aca="false">'0. Database'!C32</f>
        <v>3443</v>
      </c>
      <c r="C6" s="24" t="n">
        <f aca="false">'0. Database'!D32</f>
        <v>4892</v>
      </c>
      <c r="D6" s="24" t="n">
        <f aca="false">'0. Database'!E32</f>
        <v>4588</v>
      </c>
      <c r="E6" s="24" t="n">
        <f aca="false">'0. Database'!F32</f>
        <v>6736</v>
      </c>
      <c r="F6" s="24" t="n">
        <f aca="false">'0. Database'!G32</f>
        <v>10057</v>
      </c>
      <c r="G6" s="24" t="n">
        <f aca="false">'0. Database'!H32</f>
        <v>11322</v>
      </c>
      <c r="H6" s="24" t="n">
        <f aca="false">'0. Database'!I32</f>
        <v>12690</v>
      </c>
      <c r="I6" s="24" t="n">
        <f aca="false">'0. Database'!J32</f>
        <v>35046</v>
      </c>
      <c r="J6" s="24" t="n">
        <f aca="false">'0. Database'!K32</f>
        <v>55396</v>
      </c>
      <c r="K6" s="24" t="n">
        <f aca="false">'0. Database'!L32</f>
        <v>58321</v>
      </c>
      <c r="L6" s="24" t="n">
        <f aca="false">'0. Database'!M32</f>
        <v>48133</v>
      </c>
      <c r="M6" s="24" t="n">
        <f aca="false">'0. Database'!N32</f>
        <v>77658</v>
      </c>
      <c r="N6" s="24" t="n">
        <f aca="false">'0. Database'!O32</f>
        <v>128320</v>
      </c>
      <c r="O6" s="24" t="n">
        <f aca="false">'0. Database'!P32</f>
        <v>200104.98</v>
      </c>
      <c r="P6" s="24" t="n">
        <f aca="false">'0. Database'!Q32</f>
        <v>270141.72</v>
      </c>
      <c r="Q6" s="24" t="n">
        <f aca="false">'0. Database'!R32</f>
        <v>283648.81</v>
      </c>
      <c r="R6" s="24" t="n">
        <f aca="false">'0. Database'!S32</f>
        <v>297831.25</v>
      </c>
      <c r="S6" s="24" t="n">
        <f aca="false">'0. Database'!T32</f>
        <v>312722.81</v>
      </c>
      <c r="T6" s="24" t="n">
        <f aca="false">'0. Database'!U32</f>
        <v>328358.95</v>
      </c>
    </row>
    <row r="7" customFormat="false" ht="15" hidden="false" customHeight="false" outlineLevel="0" collapsed="false">
      <c r="A7" s="23" t="s">
        <v>49</v>
      </c>
      <c r="B7" s="24" t="n">
        <f aca="false">'0. Database'!C49</f>
        <v>7358</v>
      </c>
      <c r="C7" s="24" t="n">
        <f aca="false">'0. Database'!D49</f>
        <v>10959</v>
      </c>
      <c r="D7" s="24" t="n">
        <f aca="false">'0. Database'!E49</f>
        <v>9915</v>
      </c>
      <c r="E7" s="24" t="n">
        <f aca="false">'0. Database'!F49</f>
        <v>10183</v>
      </c>
      <c r="F7" s="24" t="n">
        <f aca="false">'0. Database'!G49</f>
        <v>13184</v>
      </c>
      <c r="G7" s="24" t="n">
        <f aca="false">'0. Database'!H49</f>
        <v>25139</v>
      </c>
      <c r="H7" s="24" t="n">
        <f aca="false">'0. Database'!I49</f>
        <v>23548</v>
      </c>
      <c r="I7" s="24" t="n">
        <f aca="false">'0. Database'!J49</f>
        <v>22281</v>
      </c>
      <c r="J7" s="24" t="n">
        <f aca="false">'0. Database'!K49</f>
        <v>24640</v>
      </c>
      <c r="K7" s="24" t="n">
        <f aca="false">'0. Database'!L49</f>
        <v>31485</v>
      </c>
      <c r="L7" s="24" t="n">
        <f aca="false">'0. Database'!M49</f>
        <v>32251</v>
      </c>
      <c r="M7" s="24" t="n">
        <f aca="false">'0. Database'!N49</f>
        <v>52535</v>
      </c>
      <c r="N7" s="24" t="n">
        <f aca="false">'0. Database'!O49</f>
        <v>91447</v>
      </c>
      <c r="O7" s="24" t="n">
        <f aca="false">'0. Database'!P49</f>
        <v>185234.28</v>
      </c>
      <c r="P7" s="24" t="n">
        <f aca="false">'0. Database'!Q49</f>
        <v>259327.99</v>
      </c>
      <c r="Q7" s="24" t="n">
        <f aca="false">'0. Database'!R49</f>
        <v>285260.79</v>
      </c>
      <c r="R7" s="24" t="n">
        <f aca="false">'0. Database'!S49</f>
        <v>299523.83</v>
      </c>
      <c r="S7" s="24" t="n">
        <f aca="false">'0. Database'!T49</f>
        <v>314500.02</v>
      </c>
      <c r="T7" s="24" t="n">
        <f aca="false">'0. Database'!U49</f>
        <v>330225.02</v>
      </c>
    </row>
    <row r="8" customFormat="false" ht="15" hidden="false" customHeight="false" outlineLevel="0" collapsed="false">
      <c r="A8" s="23" t="s">
        <v>57</v>
      </c>
      <c r="B8" s="24" t="n">
        <f aca="false">'0. Database'!C68</f>
        <v>1362</v>
      </c>
      <c r="C8" s="24" t="n">
        <f aca="false">'0. Database'!D68</f>
        <v>1831</v>
      </c>
      <c r="D8" s="24" t="n">
        <f aca="false">'0. Database'!E68</f>
        <v>2523</v>
      </c>
      <c r="E8" s="24" t="n">
        <f aca="false">'0. Database'!F68</f>
        <v>4491</v>
      </c>
      <c r="F8" s="24" t="n">
        <f aca="false">'0. Database'!G68</f>
        <v>6732</v>
      </c>
      <c r="G8" s="24" t="n">
        <f aca="false">'0. Database'!H68</f>
        <v>13980</v>
      </c>
      <c r="H8" s="24" t="n">
        <f aca="false">'0. Database'!I68</f>
        <v>15102</v>
      </c>
      <c r="I8" s="24" t="n">
        <f aca="false">'0. Database'!J68</f>
        <v>15115</v>
      </c>
      <c r="J8" s="24" t="n">
        <f aca="false">'0. Database'!K68</f>
        <v>18567</v>
      </c>
      <c r="K8" s="24" t="n">
        <f aca="false">'0. Database'!L68</f>
        <v>31186</v>
      </c>
      <c r="L8" s="24" t="n">
        <f aca="false">'0. Database'!M68</f>
        <v>27045</v>
      </c>
      <c r="M8" s="24" t="n">
        <f aca="false">'0. Database'!N68</f>
        <v>37256</v>
      </c>
      <c r="N8" s="24" t="n">
        <f aca="false">'0. Database'!O68</f>
        <v>69691</v>
      </c>
      <c r="O8" s="24" t="n">
        <f aca="false">'0. Database'!P68</f>
        <v>135583.71</v>
      </c>
      <c r="P8" s="24" t="n">
        <f aca="false">'0. Database'!Q68</f>
        <v>165714.44</v>
      </c>
      <c r="Q8" s="24" t="n">
        <f aca="false">'0. Database'!R68</f>
        <v>185600.17</v>
      </c>
      <c r="R8" s="24" t="n">
        <f aca="false">'0. Database'!S68</f>
        <v>196736.18</v>
      </c>
      <c r="S8" s="24" t="n">
        <f aca="false">'0. Database'!T68</f>
        <v>208540.35</v>
      </c>
      <c r="T8" s="24" t="n">
        <f aca="false">'0. Database'!U68</f>
        <v>221052.77</v>
      </c>
    </row>
    <row r="9" customFormat="false" ht="15" hidden="false" customHeight="false" outlineLevel="0" collapsed="false">
      <c r="A9" s="23" t="s">
        <v>64</v>
      </c>
      <c r="B9" s="24" t="n">
        <f aca="false">'0. Database'!C88</f>
        <v>650</v>
      </c>
      <c r="C9" s="24" t="n">
        <f aca="false">'0. Database'!D88</f>
        <v>580</v>
      </c>
      <c r="D9" s="24" t="n">
        <f aca="false">'0. Database'!E88</f>
        <v>1391</v>
      </c>
      <c r="E9" s="24" t="n">
        <f aca="false">'0. Database'!F88</f>
        <v>1189</v>
      </c>
      <c r="F9" s="24" t="n">
        <f aca="false">'0. Database'!G88</f>
        <v>2021</v>
      </c>
      <c r="G9" s="24" t="n">
        <f aca="false">'0. Database'!H88</f>
        <v>1736</v>
      </c>
      <c r="H9" s="24" t="n">
        <f aca="false">'0. Database'!I88</f>
        <v>1660</v>
      </c>
      <c r="I9" s="24" t="n">
        <f aca="false">'0. Database'!J88</f>
        <v>1564</v>
      </c>
      <c r="J9" s="24" t="n">
        <f aca="false">'0. Database'!K88</f>
        <v>2135</v>
      </c>
      <c r="K9" s="24" t="n">
        <f aca="false">'0. Database'!L88</f>
        <v>4511</v>
      </c>
      <c r="L9" s="24" t="n">
        <f aca="false">'0. Database'!M88</f>
        <v>8695</v>
      </c>
      <c r="M9" s="24" t="n">
        <f aca="false">'0. Database'!N88</f>
        <v>6866</v>
      </c>
      <c r="N9" s="24" t="n">
        <f aca="false">'0. Database'!O88</f>
        <v>21215</v>
      </c>
      <c r="O9" s="24" t="n">
        <f aca="false">'0. Database'!P88</f>
        <v>51882</v>
      </c>
      <c r="P9" s="24" t="n">
        <f aca="false">'0. Database'!Q88</f>
        <v>52141.41</v>
      </c>
      <c r="Q9" s="24" t="n">
        <f aca="false">'0. Database'!R88</f>
        <v>69869.49</v>
      </c>
      <c r="R9" s="24" t="n">
        <f aca="false">'0. Database'!S88</f>
        <v>81048.61</v>
      </c>
      <c r="S9" s="24" t="n">
        <f aca="false">'0. Database'!T88</f>
        <v>66459.86</v>
      </c>
      <c r="T9" s="24" t="n">
        <f aca="false">'0. Database'!U88</f>
        <v>0</v>
      </c>
    </row>
    <row r="12" customFormat="false" ht="15" hidden="false" customHeight="true" outlineLevel="0" collapsed="false">
      <c r="A12" s="22" t="s">
        <v>101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</row>
    <row r="13" customFormat="false" ht="15" hidden="false" customHeight="false" outlineLevel="0" collapsed="false">
      <c r="A13" s="4" t="s">
        <v>96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  <c r="J13" s="4" t="s">
        <v>12</v>
      </c>
      <c r="K13" s="4" t="s">
        <v>13</v>
      </c>
      <c r="L13" s="4" t="s">
        <v>14</v>
      </c>
      <c r="M13" s="4" t="s">
        <v>15</v>
      </c>
      <c r="N13" s="4" t="s">
        <v>16</v>
      </c>
      <c r="O13" s="4" t="s">
        <v>17</v>
      </c>
      <c r="P13" s="4" t="s">
        <v>18</v>
      </c>
      <c r="Q13" s="4" t="s">
        <v>19</v>
      </c>
      <c r="R13" s="4" t="s">
        <v>20</v>
      </c>
      <c r="S13" s="4" t="s">
        <v>21</v>
      </c>
      <c r="T13" s="4" t="s">
        <v>22</v>
      </c>
    </row>
    <row r="14" customFormat="false" ht="15" hidden="false" customHeight="false" outlineLevel="0" collapsed="false">
      <c r="A14" s="23" t="s">
        <v>24</v>
      </c>
      <c r="B14" s="25"/>
      <c r="C14" s="25" t="n">
        <f aca="false">IFERROR('0. Database'!D13/'0. Database'!C13-1,"")</f>
        <v>0.288466055907916</v>
      </c>
      <c r="D14" s="25" t="n">
        <f aca="false">IFERROR('0. Database'!E13/'0. Database'!D13-1,"")</f>
        <v>0.0836827711941659</v>
      </c>
      <c r="E14" s="25" t="n">
        <f aca="false">IFERROR('0. Database'!F13/'0. Database'!E13-1,"")</f>
        <v>0.502691790040377</v>
      </c>
      <c r="F14" s="25" t="n">
        <f aca="false">IFERROR('0. Database'!G13/'0. Database'!F13-1,"")</f>
        <v>0.141961486789073</v>
      </c>
      <c r="G14" s="25" t="n">
        <f aca="false">IFERROR('0. Database'!H13/'0. Database'!G13-1,"")</f>
        <v>0.333333333333333</v>
      </c>
      <c r="H14" s="25" t="n">
        <f aca="false">IFERROR('0. Database'!I13/'0. Database'!H13-1,"")</f>
        <v>0.242647058823529</v>
      </c>
      <c r="I14" s="25" t="n">
        <f aca="false">IFERROR('0. Database'!J13/'0. Database'!I13-1,"")</f>
        <v>0.124260355029586</v>
      </c>
      <c r="J14" s="25" t="n">
        <f aca="false">IFERROR('0. Database'!K13/'0. Database'!J13-1,"")</f>
        <v>0.273684210526316</v>
      </c>
      <c r="K14" s="25" t="n">
        <f aca="false">IFERROR('0. Database'!L13/'0. Database'!K13-1,"")</f>
        <v>0.206611570247934</v>
      </c>
      <c r="L14" s="25" t="n">
        <f aca="false">IFERROR('0. Database'!M13/'0. Database'!L13-1,"")</f>
        <v>0.0924657534246576</v>
      </c>
      <c r="M14" s="25" t="n">
        <f aca="false">IFERROR('0. Database'!N13/'0. Database'!M13-1,"")</f>
        <v>0.746081504702194</v>
      </c>
      <c r="N14" s="25" t="n">
        <f aca="false">IFERROR('0. Database'!O13/'0. Database'!N13-1,"")</f>
        <v>0.583482944344704</v>
      </c>
      <c r="O14" s="25" t="n">
        <f aca="false">IFERROR('0. Database'!P13/'0. Database'!O13-1,"")</f>
        <v>0.653869614512472</v>
      </c>
      <c r="P14" s="25" t="n">
        <f aca="false">IFERROR('0. Database'!Q13/'0. Database'!P13-1,"")</f>
        <v>0.681368781933115</v>
      </c>
      <c r="Q14" s="25" t="n">
        <f aca="false">IFERROR('0. Database'!R13/'0. Database'!Q13-1,"")</f>
        <v>0.169193167591828</v>
      </c>
      <c r="R14" s="25" t="n">
        <f aca="false">IFERROR('0. Database'!S13/'0. Database'!R13-1,"")</f>
        <v>0.0469052294014845</v>
      </c>
      <c r="S14" s="25" t="n">
        <f aca="false">IFERROR('0. Database'!T13/'0. Database'!S13-1,"")</f>
        <v>0.0146734507416804</v>
      </c>
      <c r="T14" s="25" t="n">
        <f aca="false">IFERROR('0. Database'!U13/'0. Database'!T13-1,"")</f>
        <v>-1</v>
      </c>
    </row>
    <row r="15" customFormat="false" ht="15" hidden="false" customHeight="false" outlineLevel="0" collapsed="false">
      <c r="A15" s="23" t="s">
        <v>43</v>
      </c>
      <c r="B15" s="25"/>
      <c r="C15" s="25" t="n">
        <f aca="false">IFERROR('0. Database'!D32/'0. Database'!C32-1,"")</f>
        <v>0.42085390647691</v>
      </c>
      <c r="D15" s="25" t="n">
        <f aca="false">IFERROR('0. Database'!E32/'0. Database'!D32-1,"")</f>
        <v>-0.0621422730989371</v>
      </c>
      <c r="E15" s="25" t="n">
        <f aca="false">IFERROR('0. Database'!F32/'0. Database'!E32-1,"")</f>
        <v>0.468177855274629</v>
      </c>
      <c r="F15" s="25" t="n">
        <f aca="false">IFERROR('0. Database'!G32/'0. Database'!F32-1,"")</f>
        <v>0.493022565320665</v>
      </c>
      <c r="G15" s="25" t="n">
        <f aca="false">IFERROR('0. Database'!H32/'0. Database'!G32-1,"")</f>
        <v>0.125783036690862</v>
      </c>
      <c r="H15" s="25" t="n">
        <f aca="false">IFERROR('0. Database'!I32/'0. Database'!H32-1,"")</f>
        <v>0.120826709062003</v>
      </c>
      <c r="I15" s="25" t="n">
        <f aca="false">IFERROR('0. Database'!J32/'0. Database'!I32-1,"")</f>
        <v>1.76170212765957</v>
      </c>
      <c r="J15" s="25" t="n">
        <f aca="false">IFERROR('0. Database'!K32/'0. Database'!J32-1,"")</f>
        <v>0.580665411173886</v>
      </c>
      <c r="K15" s="25" t="n">
        <f aca="false">IFERROR('0. Database'!L32/'0. Database'!K32-1,"")</f>
        <v>0.0528016463282548</v>
      </c>
      <c r="L15" s="25" t="n">
        <f aca="false">IFERROR('0. Database'!M32/'0. Database'!L32-1,"")</f>
        <v>-0.174688362682396</v>
      </c>
      <c r="M15" s="25" t="n">
        <f aca="false">IFERROR('0. Database'!N32/'0. Database'!M32-1,"")</f>
        <v>0.613404524962084</v>
      </c>
      <c r="N15" s="25" t="n">
        <f aca="false">IFERROR('0. Database'!O32/'0. Database'!N32-1,"")</f>
        <v>0.652373226196915</v>
      </c>
      <c r="O15" s="25" t="n">
        <f aca="false">IFERROR('0. Database'!P32/'0. Database'!O32-1,"")</f>
        <v>0.559421602244389</v>
      </c>
      <c r="P15" s="25" t="n">
        <f aca="false">IFERROR('0. Database'!Q32/'0. Database'!P32-1,"")</f>
        <v>0.349999985007869</v>
      </c>
      <c r="Q15" s="25" t="n">
        <f aca="false">IFERROR('0. Database'!R32/'0. Database'!Q32-1,"")</f>
        <v>0.050000014807043</v>
      </c>
      <c r="R15" s="25" t="n">
        <f aca="false">IFERROR('0. Database'!S32/'0. Database'!R32-1,"")</f>
        <v>0.0499999982372568</v>
      </c>
      <c r="S15" s="25" t="n">
        <f aca="false">IFERROR('0. Database'!T32/'0. Database'!S32-1,"")</f>
        <v>0.049999991605985</v>
      </c>
      <c r="T15" s="25" t="n">
        <f aca="false">IFERROR('0. Database'!U32/'0. Database'!T32-1,"")</f>
        <v>0.0499999984011401</v>
      </c>
    </row>
    <row r="16" customFormat="false" ht="15" hidden="false" customHeight="false" outlineLevel="0" collapsed="false">
      <c r="A16" s="23" t="s">
        <v>49</v>
      </c>
      <c r="B16" s="25"/>
      <c r="C16" s="25" t="n">
        <f aca="false">IFERROR('0. Database'!D49/'0. Database'!C49-1,"")</f>
        <v>0.489399293286219</v>
      </c>
      <c r="D16" s="25" t="n">
        <f aca="false">IFERROR('0. Database'!E49/'0. Database'!D49-1,"")</f>
        <v>-0.0952641664385436</v>
      </c>
      <c r="E16" s="25" t="n">
        <f aca="false">IFERROR('0. Database'!F49/'0. Database'!E49-1,"")</f>
        <v>0.027029752899647</v>
      </c>
      <c r="F16" s="25" t="n">
        <f aca="false">IFERROR('0. Database'!G49/'0. Database'!F49-1,"")</f>
        <v>0.294706864381813</v>
      </c>
      <c r="G16" s="25" t="n">
        <f aca="false">IFERROR('0. Database'!H49/'0. Database'!G49-1,"")</f>
        <v>0.906780946601942</v>
      </c>
      <c r="H16" s="25" t="n">
        <f aca="false">IFERROR('0. Database'!I49/'0. Database'!H49-1,"")</f>
        <v>-0.0632881180635666</v>
      </c>
      <c r="I16" s="25" t="n">
        <f aca="false">IFERROR('0. Database'!J49/'0. Database'!I49-1,"")</f>
        <v>-0.0538049940546967</v>
      </c>
      <c r="J16" s="25" t="n">
        <f aca="false">IFERROR('0. Database'!K49/'0. Database'!J49-1,"")</f>
        <v>0.105874960728872</v>
      </c>
      <c r="K16" s="25" t="n">
        <f aca="false">IFERROR('0. Database'!L49/'0. Database'!K49-1,"")</f>
        <v>0.277800324675325</v>
      </c>
      <c r="L16" s="25" t="n">
        <f aca="false">IFERROR('0. Database'!M49/'0. Database'!L49-1,"")</f>
        <v>0.0243290455772591</v>
      </c>
      <c r="M16" s="25" t="n">
        <f aca="false">IFERROR('0. Database'!N49/'0. Database'!M49-1,"")</f>
        <v>0.628941738240675</v>
      </c>
      <c r="N16" s="25" t="n">
        <f aca="false">IFERROR('0. Database'!O49/'0. Database'!N49-1,"")</f>
        <v>0.740687160940326</v>
      </c>
      <c r="O16" s="25" t="n">
        <f aca="false">IFERROR('0. Database'!P49/'0. Database'!O49-1,"")</f>
        <v>1.0255916541822</v>
      </c>
      <c r="P16" s="25" t="n">
        <f aca="false">IFERROR('0. Database'!Q49/'0. Database'!P49-1,"")</f>
        <v>0.399999989202863</v>
      </c>
      <c r="Q16" s="25" t="n">
        <f aca="false">IFERROR('0. Database'!R49/'0. Database'!Q49-1,"")</f>
        <v>0.100000003856121</v>
      </c>
      <c r="R16" s="25" t="n">
        <f aca="false">IFERROR('0. Database'!S49/'0. Database'!R49-1,"")</f>
        <v>0.0500000017527822</v>
      </c>
      <c r="S16" s="25" t="n">
        <f aca="false">IFERROR('0. Database'!T49/'0. Database'!S49-1,"")</f>
        <v>0.0499999949920513</v>
      </c>
      <c r="T16" s="25" t="n">
        <f aca="false">IFERROR('0. Database'!U49/'0. Database'!T49-1,"")</f>
        <v>0.0499999968203499</v>
      </c>
    </row>
    <row r="17" customFormat="false" ht="15" hidden="false" customHeight="false" outlineLevel="0" collapsed="false">
      <c r="A17" s="23" t="s">
        <v>57</v>
      </c>
      <c r="B17" s="25"/>
      <c r="C17" s="25" t="n">
        <f aca="false">IFERROR('0. Database'!D68/'0. Database'!C68-1,"")</f>
        <v>0.344346549192364</v>
      </c>
      <c r="D17" s="25" t="n">
        <f aca="false">IFERROR('0. Database'!E68/'0. Database'!D68-1,"")</f>
        <v>0.37793555434189</v>
      </c>
      <c r="E17" s="25" t="n">
        <f aca="false">IFERROR('0. Database'!F68/'0. Database'!E68-1,"")</f>
        <v>0.780023781212842</v>
      </c>
      <c r="F17" s="25" t="n">
        <f aca="false">IFERROR('0. Database'!G68/'0. Database'!F68-1,"")</f>
        <v>0.498997995991984</v>
      </c>
      <c r="G17" s="25" t="n">
        <f aca="false">IFERROR('0. Database'!H68/'0. Database'!G68-1,"")</f>
        <v>1.07664884135472</v>
      </c>
      <c r="H17" s="25" t="n">
        <f aca="false">IFERROR('0. Database'!I68/'0. Database'!H68-1,"")</f>
        <v>0.0802575107296137</v>
      </c>
      <c r="I17" s="25" t="n">
        <f aca="false">IFERROR('0. Database'!J68/'0. Database'!I68-1,"")</f>
        <v>0.000860813137332883</v>
      </c>
      <c r="J17" s="25" t="n">
        <f aca="false">IFERROR('0. Database'!K68/'0. Database'!J68-1,"")</f>
        <v>0.228382401587827</v>
      </c>
      <c r="K17" s="25" t="n">
        <f aca="false">IFERROR('0. Database'!L68/'0. Database'!K68-1,"")</f>
        <v>0.679646684978726</v>
      </c>
      <c r="L17" s="25" t="n">
        <f aca="false">IFERROR('0. Database'!M68/'0. Database'!L68-1,"")</f>
        <v>-0.132783941512217</v>
      </c>
      <c r="M17" s="25" t="n">
        <f aca="false">IFERROR('0. Database'!N68/'0. Database'!M68-1,"")</f>
        <v>0.377555925309669</v>
      </c>
      <c r="N17" s="25" t="n">
        <f aca="false">IFERROR('0. Database'!O68/'0. Database'!N68-1,"")</f>
        <v>0.870598024479279</v>
      </c>
      <c r="O17" s="25" t="n">
        <f aca="false">IFERROR('0. Database'!P68/'0. Database'!O68-1,"")</f>
        <v>0.945498127448307</v>
      </c>
      <c r="P17" s="25" t="n">
        <f aca="false">IFERROR('0. Database'!Q68/'0. Database'!P68-1,"")</f>
        <v>0.22222972066482</v>
      </c>
      <c r="Q17" s="25" t="n">
        <f aca="false">IFERROR('0. Database'!R68/'0. Database'!Q68-1,"")</f>
        <v>0.119999983103464</v>
      </c>
      <c r="R17" s="25" t="n">
        <f aca="false">IFERROR('0. Database'!S68/'0. Database'!R68-1,"")</f>
        <v>0.0599999989224147</v>
      </c>
      <c r="S17" s="25" t="n">
        <f aca="false">IFERROR('0. Database'!T68/'0. Database'!S68-1,"")</f>
        <v>0.0599999959336408</v>
      </c>
      <c r="T17" s="25" t="n">
        <f aca="false">IFERROR('0. Database'!U68/'0. Database'!T68-1,"")</f>
        <v>0.059999995204765</v>
      </c>
    </row>
    <row r="18" customFormat="false" ht="15" hidden="false" customHeight="false" outlineLevel="0" collapsed="false">
      <c r="A18" s="23" t="s">
        <v>64</v>
      </c>
      <c r="B18" s="25"/>
      <c r="C18" s="25" t="n">
        <f aca="false">IFERROR('0. Database'!D88/'0. Database'!C88-1,"")</f>
        <v>-0.107692307692308</v>
      </c>
      <c r="D18" s="25" t="n">
        <f aca="false">IFERROR('0. Database'!E88/'0. Database'!D88-1,"")</f>
        <v>1.39827586206897</v>
      </c>
      <c r="E18" s="25" t="n">
        <f aca="false">IFERROR('0. Database'!F88/'0. Database'!E88-1,"")</f>
        <v>-0.145219266714594</v>
      </c>
      <c r="F18" s="25" t="n">
        <f aca="false">IFERROR('0. Database'!G88/'0. Database'!F88-1,"")</f>
        <v>0.699747687132044</v>
      </c>
      <c r="G18" s="25" t="n">
        <f aca="false">IFERROR('0. Database'!H88/'0. Database'!G88-1,"")</f>
        <v>-0.141019297377536</v>
      </c>
      <c r="H18" s="25" t="n">
        <f aca="false">IFERROR('0. Database'!I88/'0. Database'!H88-1,"")</f>
        <v>-0.043778801843318</v>
      </c>
      <c r="I18" s="25" t="n">
        <f aca="false">IFERROR('0. Database'!J88/'0. Database'!I88-1,"")</f>
        <v>-0.0578313253012048</v>
      </c>
      <c r="J18" s="25" t="n">
        <f aca="false">IFERROR('0. Database'!K88/'0. Database'!J88-1,"")</f>
        <v>0.365089514066496</v>
      </c>
      <c r="K18" s="25" t="n">
        <f aca="false">IFERROR('0. Database'!L88/'0. Database'!K88-1,"")</f>
        <v>1.11288056206089</v>
      </c>
      <c r="L18" s="25" t="n">
        <f aca="false">IFERROR('0. Database'!M88/'0. Database'!L88-1,"")</f>
        <v>0.927510529816005</v>
      </c>
      <c r="M18" s="25" t="n">
        <f aca="false">IFERROR('0. Database'!N88/'0. Database'!M88-1,"")</f>
        <v>-0.210350776308223</v>
      </c>
      <c r="N18" s="25" t="n">
        <f aca="false">IFERROR('0. Database'!O88/'0. Database'!N88-1,"")</f>
        <v>2.08986309350422</v>
      </c>
      <c r="O18" s="25" t="n">
        <f aca="false">IFERROR('0. Database'!P88/'0. Database'!O88-1,"")</f>
        <v>1.44553382041009</v>
      </c>
      <c r="P18" s="25" t="n">
        <f aca="false">IFERROR('0. Database'!Q88/'0. Database'!P88-1,"")</f>
        <v>0.00500000000000012</v>
      </c>
      <c r="Q18" s="25" t="n">
        <f aca="false">IFERROR('0. Database'!R88/'0. Database'!Q88-1,"")</f>
        <v>0.340000011507169</v>
      </c>
      <c r="R18" s="25" t="n">
        <f aca="false">IFERROR('0. Database'!S88/'0. Database'!R88-1,"")</f>
        <v>0.160000022899838</v>
      </c>
      <c r="S18" s="25" t="n">
        <f aca="false">IFERROR('0. Database'!T88/'0. Database'!S88-1,"")</f>
        <v>-0.180000002467655</v>
      </c>
      <c r="T18" s="25" t="n">
        <f aca="false">IFERROR('0. Database'!U88/'0. Database'!T88-1,"")</f>
        <v>-1</v>
      </c>
    </row>
    <row r="21" customFormat="false" ht="15" hidden="false" customHeight="true" outlineLevel="0" collapsed="false">
      <c r="A21" s="22" t="s">
        <v>102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customFormat="false" ht="15" hidden="false" customHeight="false" outlineLevel="0" collapsed="false">
      <c r="A22" s="4" t="s">
        <v>96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9</v>
      </c>
      <c r="H22" s="4" t="s">
        <v>10</v>
      </c>
      <c r="I22" s="4" t="s">
        <v>11</v>
      </c>
      <c r="J22" s="4" t="s">
        <v>12</v>
      </c>
      <c r="K22" s="4" t="s">
        <v>13</v>
      </c>
      <c r="L22" s="4" t="s">
        <v>14</v>
      </c>
      <c r="M22" s="4" t="s">
        <v>15</v>
      </c>
      <c r="N22" s="4" t="s">
        <v>16</v>
      </c>
      <c r="O22" s="4" t="s">
        <v>17</v>
      </c>
      <c r="P22" s="4" t="s">
        <v>18</v>
      </c>
      <c r="Q22" s="4" t="s">
        <v>19</v>
      </c>
      <c r="R22" s="4" t="s">
        <v>20</v>
      </c>
      <c r="S22" s="4" t="s">
        <v>21</v>
      </c>
      <c r="T22" s="4" t="s">
        <v>22</v>
      </c>
    </row>
    <row r="23" customFormat="false" ht="15" hidden="false" customHeight="false" outlineLevel="0" collapsed="false">
      <c r="A23" s="23" t="s">
        <v>24</v>
      </c>
      <c r="B23" s="25" t="n">
        <f aca="false">IFERROR('0. Database'!C13/'0. Database'!C6,"")</f>
        <v>0.0546827833369729</v>
      </c>
      <c r="C23" s="25" t="n">
        <f aca="false">IFERROR('0. Database'!D13/'0. Database'!D6,"")</f>
        <v>0.0631672290488639</v>
      </c>
      <c r="D23" s="25" t="n">
        <f aca="false">IFERROR('0. Database'!E13/'0. Database'!E6,"")</f>
        <v>0.0635178456935243</v>
      </c>
      <c r="E23" s="25" t="n">
        <f aca="false">IFERROR('0. Database'!F13/'0. Database'!F6,"")</f>
        <v>0.104688232536334</v>
      </c>
      <c r="F23" s="25" t="n">
        <f aca="false">IFERROR('0. Database'!G13/'0. Database'!G6,"")</f>
        <v>0.105621770510816</v>
      </c>
      <c r="G23" s="25" t="n">
        <f aca="false">IFERROR('0. Database'!H13/'0. Database'!H6,"")</f>
        <v>0.123233055454875</v>
      </c>
      <c r="H23" s="25" t="n">
        <f aca="false">IFERROR('0. Database'!I13/'0. Database'!I6,"")</f>
        <v>0.134294319111909</v>
      </c>
      <c r="I23" s="25" t="n">
        <f aca="false">IFERROR('0. Database'!J13/'0. Database'!J6,"")</f>
        <v>0.132853197217075</v>
      </c>
      <c r="J23" s="25" t="n">
        <f aca="false">IFERROR('0. Database'!K13/'0. Database'!K6,"")</f>
        <v>0.143972205035458</v>
      </c>
      <c r="K23" s="25" t="n">
        <f aca="false">IFERROR('0. Database'!L13/'0. Database'!L6,"")</f>
        <v>0.147273919402835</v>
      </c>
      <c r="L23" s="25" t="n">
        <f aca="false">IFERROR('0. Database'!M13/'0. Database'!M6,"")</f>
        <v>0.150532052945757</v>
      </c>
      <c r="M23" s="25" t="n">
        <f aca="false">IFERROR('0. Database'!N13/'0. Database'!N6,"")</f>
        <v>0.227233785625117</v>
      </c>
      <c r="N23" s="25" t="n">
        <f aca="false">IFERROR('0. Database'!O13/'0. Database'!O6,"")</f>
        <v>0.313072368701282</v>
      </c>
      <c r="O23" s="25" t="n">
        <f aca="false">IFERROR('0. Database'!P13/'0. Database'!P6,"")</f>
        <v>0.442785313658101</v>
      </c>
      <c r="P23" s="25" t="n">
        <f aca="false">IFERROR('0. Database'!Q13/'0. Database'!Q6,"")</f>
        <v>0.633585893558086</v>
      </c>
      <c r="Q23" s="25" t="n">
        <f aca="false">IFERROR('0. Database'!R13/'0. Database'!R6,"")</f>
        <v>0.618719161846711</v>
      </c>
      <c r="R23" s="25" t="n">
        <f aca="false">IFERROR('0. Database'!S13/'0. Database'!S6,"")</f>
        <v>0.542176336643655</v>
      </c>
      <c r="S23" s="25" t="n">
        <f aca="false">IFERROR('0. Database'!T13/'0. Database'!T6,"")</f>
        <v>0.466649535637693</v>
      </c>
      <c r="T23" s="25" t="str">
        <f aca="false">IFERROR('0. Database'!U13/'0. Database'!U6,"")</f>
        <v/>
      </c>
    </row>
    <row r="24" customFormat="false" ht="15" hidden="false" customHeight="false" outlineLevel="0" collapsed="false">
      <c r="A24" s="23" t="s">
        <v>43</v>
      </c>
      <c r="B24" s="25" t="n">
        <f aca="false">IFERROR('0. Database'!C32/'0. Database'!C25,"")</f>
        <v>0.0462439391293836</v>
      </c>
      <c r="C24" s="25" t="n">
        <f aca="false">IFERROR('0. Database'!D32/'0. Database'!D25,"")</f>
        <v>0.0549734572146482</v>
      </c>
      <c r="D24" s="25" t="n">
        <f aca="false">IFERROR('0. Database'!E32/'0. Database'!E25,"")</f>
        <v>0.0428758599936826</v>
      </c>
      <c r="E24" s="25" t="n">
        <f aca="false">IFERROR('0. Database'!F32/'0. Database'!F25,"")</f>
        <v>0.0495341466463706</v>
      </c>
      <c r="F24" s="25" t="n">
        <f aca="false">IFERROR('0. Database'!G32/'0. Database'!G25,"")</f>
        <v>0.0565425657517457</v>
      </c>
      <c r="G24" s="25" t="n">
        <f aca="false">IFERROR('0. Database'!H32/'0. Database'!H25,"")</f>
        <v>0.0486158523232297</v>
      </c>
      <c r="H24" s="25" t="n">
        <f aca="false">IFERROR('0. Database'!I32/'0. Database'!I25,"")</f>
        <v>0.0452370937038806</v>
      </c>
      <c r="I24" s="25" t="n">
        <f aca="false">IFERROR('0. Database'!J32/'0. Database'!J25,"")</f>
        <v>0.0907776948899664</v>
      </c>
      <c r="J24" s="25" t="n">
        <f aca="false">IFERROR('0. Database'!K32/'0. Database'!K25,"")</f>
        <v>0.117908484489871</v>
      </c>
      <c r="K24" s="25" t="n">
        <f aca="false">IFERROR('0. Database'!L32/'0. Database'!L25,"")</f>
        <v>0.113468733401688</v>
      </c>
      <c r="L24" s="25" t="n">
        <f aca="false">IFERROR('0. Database'!M32/'0. Database'!M25,"")</f>
        <v>0.0837408770235827</v>
      </c>
      <c r="M24" s="25" t="n">
        <f aca="false">IFERROR('0. Database'!N32/'0. Database'!N25,"")</f>
        <v>0.121728825833635</v>
      </c>
      <c r="N24" s="25" t="n">
        <f aca="false">IFERROR('0. Database'!O32/'0. Database'!O25,"")</f>
        <v>0.178986894008291</v>
      </c>
      <c r="O24" s="25" t="n">
        <f aca="false">IFERROR('0. Database'!P32/'0. Database'!P25,"")</f>
        <v>0.24178963083243</v>
      </c>
      <c r="P24" s="25" t="n">
        <f aca="false">IFERROR('0. Database'!Q32/'0. Database'!Q25,"")</f>
        <v>0.285371750643553</v>
      </c>
      <c r="Q24" s="25" t="n">
        <f aca="false">IFERROR('0. Database'!R32/'0. Database'!R25,"")</f>
        <v>0.266752546331369</v>
      </c>
      <c r="R24" s="25" t="n">
        <f aca="false">IFERROR('0. Database'!S32/'0. Database'!S25,"")</f>
        <v>0.251734248389078</v>
      </c>
      <c r="S24" s="25" t="n">
        <f aca="false">IFERROR('0. Database'!T32/'0. Database'!T25,"")</f>
        <v>0.2395580677502</v>
      </c>
      <c r="T24" s="25" t="n">
        <f aca="false">IFERROR('0. Database'!U32/'0. Database'!U25,"")</f>
        <v>0.229957313494435</v>
      </c>
    </row>
    <row r="25" customFormat="false" ht="15" hidden="false" customHeight="false" outlineLevel="0" collapsed="false">
      <c r="A25" s="23" t="s">
        <v>49</v>
      </c>
      <c r="B25" s="25" t="n">
        <f aca="false">IFERROR('0. Database'!C49/'0. Database'!C42,"")</f>
        <v>0.132531205533241</v>
      </c>
      <c r="C25" s="25" t="n">
        <f aca="false">IFERROR('0. Database'!D49/'0. Database'!D42,"")</f>
        <v>0.166042938743352</v>
      </c>
      <c r="D25" s="25" t="n">
        <f aca="false">IFERROR('0. Database'!E49/'0. Database'!E42,"")</f>
        <v>0.132219392177519</v>
      </c>
      <c r="E25" s="25" t="n">
        <f aca="false">IFERROR('0. Database'!F49/'0. Database'!F42,"")</f>
        <v>0.112803527118043</v>
      </c>
      <c r="F25" s="25" t="n">
        <f aca="false">IFERROR('0. Database'!G49/'0. Database'!G42,"")</f>
        <v>0.118930133958775</v>
      </c>
      <c r="G25" s="25" t="n">
        <f aca="false">IFERROR('0. Database'!H49/'0. Database'!H42,"")</f>
        <v>0.183739100563518</v>
      </c>
      <c r="H25" s="25" t="n">
        <f aca="false">IFERROR('0. Database'!I49/'0. Database'!I42,"")</f>
        <v>0.145486447913899</v>
      </c>
      <c r="I25" s="25" t="n">
        <f aca="false">IFERROR('0. Database'!J49/'0. Database'!J42,"")</f>
        <v>0.122069611619103</v>
      </c>
      <c r="J25" s="25" t="n">
        <f aca="false">IFERROR('0. Database'!K49/'0. Database'!K42,"")</f>
        <v>0.0956384370257378</v>
      </c>
      <c r="K25" s="25" t="n">
        <f aca="false">IFERROR('0. Database'!L49/'0. Database'!L42,"")</f>
        <v>0.111318926869281</v>
      </c>
      <c r="L25" s="25" t="n">
        <f aca="false">IFERROR('0. Database'!M49/'0. Database'!M42,"")</f>
        <v>0.104917467484726</v>
      </c>
      <c r="M25" s="25" t="n">
        <f aca="false">IFERROR('0. Database'!N49/'0. Database'!N42,"")</f>
        <v>0.150092280968407</v>
      </c>
      <c r="N25" s="25" t="n">
        <f aca="false">IFERROR('0. Database'!O49/'0. Database'!O42,"")</f>
        <v>0.227008013186508</v>
      </c>
      <c r="O25" s="25" t="n">
        <f aca="false">IFERROR('0. Database'!P49/'0. Database'!P42,"")</f>
        <v>0.37936186431271</v>
      </c>
      <c r="P25" s="25" t="n">
        <f aca="false">IFERROR('0. Database'!Q49/'0. Database'!Q42,"")</f>
        <v>0.438101591905905</v>
      </c>
      <c r="Q25" s="25" t="n">
        <f aca="false">IFERROR('0. Database'!R49/'0. Database'!R42,"")</f>
        <v>0.406693608510996</v>
      </c>
      <c r="R25" s="25" t="n">
        <f aca="false">IFERROR('0. Database'!S49/'0. Database'!S42,"")</f>
        <v>0.36738908872284</v>
      </c>
      <c r="S25" s="25" t="n">
        <f aca="false">IFERROR('0. Database'!T49/'0. Database'!T42,"")</f>
        <v>0.341152582570988</v>
      </c>
      <c r="T25" s="25" t="n">
        <f aca="false">IFERROR('0. Database'!U49/'0. Database'!U42,"")</f>
        <v>0.320846076371651</v>
      </c>
    </row>
    <row r="26" customFormat="false" ht="15" hidden="false" customHeight="false" outlineLevel="0" collapsed="false">
      <c r="A26" s="23" t="s">
        <v>57</v>
      </c>
      <c r="B26" s="25" t="n">
        <f aca="false">IFERROR('0. Database'!C68/'0. Database'!C61,"")</f>
        <v>0.173018292682927</v>
      </c>
      <c r="C26" s="25" t="n">
        <f aca="false">IFERROR('0. Database'!D68/'0. Database'!D61,"")</f>
        <v>0.146879512273384</v>
      </c>
      <c r="D26" s="25" t="n">
        <f aca="false">IFERROR('0. Database'!E68/'0. Database'!E61,"")</f>
        <v>0.140737435153679</v>
      </c>
      <c r="E26" s="25" t="n">
        <f aca="false">IFERROR('0. Database'!F68/'0. Database'!F61,"")</f>
        <v>0.162493668138071</v>
      </c>
      <c r="F26" s="25" t="n">
        <f aca="false">IFERROR('0. Database'!G68/'0. Database'!G61,"")</f>
        <v>0.165596634934691</v>
      </c>
      <c r="G26" s="25" t="n">
        <f aca="false">IFERROR('0. Database'!H68/'0. Database'!H61,"")</f>
        <v>0.25036713349332</v>
      </c>
      <c r="H26" s="25" t="n">
        <f aca="false">IFERROR('0. Database'!I68/'0. Database'!I61,"")</f>
        <v>0.213617364367402</v>
      </c>
      <c r="I26" s="25" t="n">
        <f aca="false">IFERROR('0. Database'!J68/'0. Database'!J61,"")</f>
        <v>0.17582532629179</v>
      </c>
      <c r="J26" s="25" t="n">
        <f aca="false">IFERROR('0. Database'!K68/'0. Database'!K61,"")</f>
        <v>0.157442189792163</v>
      </c>
      <c r="K26" s="25" t="n">
        <f aca="false">IFERROR('0. Database'!L68/'0. Database'!L61,"")</f>
        <v>0.267440763577425</v>
      </c>
      <c r="L26" s="25" t="n">
        <f aca="false">IFERROR('0. Database'!M68/'0. Database'!M61,"")</f>
        <v>0.200480352258323</v>
      </c>
      <c r="M26" s="25" t="n">
        <f aca="false">IFERROR('0. Database'!N68/'0. Database'!N61,"")</f>
        <v>0.226480243161094</v>
      </c>
      <c r="N26" s="25" t="n">
        <f aca="false">IFERROR('0. Database'!O68/'0. Database'!O61,"")</f>
        <v>0.346781777921529</v>
      </c>
      <c r="O26" s="25" t="n">
        <f aca="false">IFERROR('0. Database'!P68/'0. Database'!P61,"")</f>
        <v>0.531335014999085</v>
      </c>
      <c r="P26" s="25" t="n">
        <f aca="false">IFERROR('0. Database'!Q68/'0. Database'!Q61,"")</f>
        <v>0.540824903792468</v>
      </c>
      <c r="Q26" s="25" t="n">
        <f aca="false">IFERROR('0. Database'!R68/'0. Database'!R61,"")</f>
        <v>0.519399482957318</v>
      </c>
      <c r="R26" s="25" t="n">
        <f aca="false">IFERROR('0. Database'!S68/'0. Database'!S61,"")</f>
        <v>0.482963614978958</v>
      </c>
      <c r="S26" s="25" t="n">
        <f aca="false">IFERROR('0. Database'!T68/'0. Database'!T61,"")</f>
        <v>0.457132170555652</v>
      </c>
      <c r="T26" s="25" t="n">
        <f aca="false">IFERROR('0. Database'!U68/'0. Database'!U61,"")</f>
        <v>0.438865126673392</v>
      </c>
    </row>
    <row r="27" customFormat="false" ht="15" hidden="false" customHeight="false" outlineLevel="0" collapsed="false">
      <c r="A27" s="23" t="s">
        <v>64</v>
      </c>
      <c r="B27" s="25" t="n">
        <f aca="false">IFERROR('0. Database'!C88/'0. Database'!C79,"")</f>
        <v>0.0174482592006013</v>
      </c>
      <c r="C27" s="25" t="n">
        <f aca="false">IFERROR('0. Database'!D88/'0. Database'!D79,"")</f>
        <v>0.0151416264195275</v>
      </c>
      <c r="D27" s="25" t="n">
        <f aca="false">IFERROR('0. Database'!E88/'0. Database'!E79,"")</f>
        <v>0.0363631610592633</v>
      </c>
      <c r="E27" s="25" t="n">
        <f aca="false">IFERROR('0. Database'!F88/'0. Database'!F79,"")</f>
        <v>0.0320857058045713</v>
      </c>
      <c r="F27" s="25" t="n">
        <f aca="false">IFERROR('0. Database'!G88/'0. Database'!G79,"")</f>
        <v>0.0533259452756009</v>
      </c>
      <c r="G27" s="25" t="n">
        <f aca="false">IFERROR('0. Database'!H88/'0. Database'!H79,"")</f>
        <v>0.0440262737440085</v>
      </c>
      <c r="H27" s="25" t="n">
        <f aca="false">IFERROR('0. Database'!I88/'0. Database'!I79,"")</f>
        <v>0.0419987349778621</v>
      </c>
      <c r="I27" s="25" t="n">
        <f aca="false">IFERROR('0. Database'!J88/'0. Database'!J79,"")</f>
        <v>0.0400276405702147</v>
      </c>
      <c r="J27" s="25" t="n">
        <f aca="false">IFERROR('0. Database'!K88/'0. Database'!K79,"")</f>
        <v>0.0527407919764828</v>
      </c>
      <c r="K27" s="25" t="n">
        <f aca="false">IFERROR('0. Database'!L88/'0. Database'!L79,"")</f>
        <v>0.106288730237271</v>
      </c>
      <c r="L27" s="25" t="n">
        <f aca="false">IFERROR('0. Database'!M88/'0. Database'!M79,"")</f>
        <v>0.174056650985887</v>
      </c>
      <c r="M27" s="25" t="n">
        <f aca="false">IFERROR('0. Database'!N88/'0. Database'!N79,"")</f>
        <v>0.12964256717207</v>
      </c>
      <c r="N27" s="25" t="n">
        <f aca="false">IFERROR('0. Database'!O88/'0. Database'!O79,"")</f>
        <v>0.369605742260318</v>
      </c>
      <c r="O27" s="25" t="n">
        <f aca="false">IFERROR('0. Database'!P88/'0. Database'!P79,"")</f>
        <v>0.77105819496409</v>
      </c>
      <c r="P27" s="25" t="n">
        <f aca="false">IFERROR('0. Database'!Q88/'0. Database'!Q79,"")</f>
        <v>0.587296954946508</v>
      </c>
      <c r="Q27" s="25" t="n">
        <f aca="false">IFERROR('0. Database'!R88/'0. Database'!R79,"")</f>
        <v>0.556972873780193</v>
      </c>
      <c r="R27" s="25" t="n">
        <f aca="false">IFERROR('0. Database'!S88/'0. Database'!S79,"")</f>
        <v>0.490629927570763</v>
      </c>
      <c r="S27" s="25" t="n">
        <f aca="false">IFERROR('0. Database'!T88/'0. Database'!T79,"")</f>
        <v>0.358167828118745</v>
      </c>
      <c r="T27" s="25" t="str">
        <f aca="false">IFERROR('0. Database'!U88/'0. Database'!U79,"")</f>
        <v/>
      </c>
    </row>
    <row r="30" customFormat="false" ht="15" hidden="false" customHeight="true" outlineLevel="0" collapsed="false">
      <c r="A30" s="22" t="s">
        <v>103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</row>
    <row r="31" customFormat="false" ht="15" hidden="false" customHeight="false" outlineLevel="0" collapsed="false">
      <c r="A31" s="4" t="s">
        <v>96</v>
      </c>
      <c r="B31" s="4" t="s">
        <v>4</v>
      </c>
      <c r="C31" s="4" t="s">
        <v>5</v>
      </c>
      <c r="D31" s="4" t="s">
        <v>6</v>
      </c>
      <c r="E31" s="4" t="s">
        <v>7</v>
      </c>
      <c r="F31" s="4" t="s">
        <v>8</v>
      </c>
      <c r="G31" s="4" t="s">
        <v>9</v>
      </c>
      <c r="H31" s="4" t="s">
        <v>10</v>
      </c>
      <c r="I31" s="4" t="s">
        <v>11</v>
      </c>
      <c r="J31" s="4" t="s">
        <v>12</v>
      </c>
      <c r="K31" s="4" t="s">
        <v>13</v>
      </c>
      <c r="L31" s="4" t="s">
        <v>14</v>
      </c>
      <c r="M31" s="4" t="s">
        <v>15</v>
      </c>
      <c r="N31" s="4" t="s">
        <v>16</v>
      </c>
      <c r="O31" s="4" t="s">
        <v>17</v>
      </c>
      <c r="P31" s="4" t="s">
        <v>18</v>
      </c>
      <c r="Q31" s="4" t="s">
        <v>19</v>
      </c>
      <c r="R31" s="4" t="s">
        <v>20</v>
      </c>
      <c r="S31" s="4" t="s">
        <v>21</v>
      </c>
      <c r="T31" s="4" t="s">
        <v>22</v>
      </c>
    </row>
    <row r="32" customFormat="false" ht="15" hidden="false" customHeight="false" outlineLevel="0" collapsed="false">
      <c r="A32" s="23" t="s">
        <v>24</v>
      </c>
      <c r="B32" s="24" t="n">
        <f aca="false">'0. Database'!C12</f>
        <v>3339</v>
      </c>
      <c r="C32" s="24" t="n">
        <f aca="false">'0. Database'!D12</f>
        <v>4245</v>
      </c>
      <c r="D32" s="24" t="n">
        <f aca="false">'0. Database'!E12</f>
        <v>5400</v>
      </c>
      <c r="E32" s="24" t="n">
        <f aca="false">'0. Database'!F12</f>
        <v>5878</v>
      </c>
      <c r="F32" s="24" t="n">
        <f aca="false">'0. Database'!G12</f>
        <v>7800</v>
      </c>
      <c r="G32" s="24" t="n">
        <f aca="false">'0. Database'!H12</f>
        <v>9900</v>
      </c>
      <c r="H32" s="24" t="n">
        <f aca="false">'0. Database'!I12</f>
        <v>11600</v>
      </c>
      <c r="I32" s="24" t="n">
        <f aca="false">'0. Database'!J12</f>
        <v>12300</v>
      </c>
      <c r="J32" s="24" t="n">
        <f aca="false">'0. Database'!K12</f>
        <v>10900</v>
      </c>
      <c r="K32" s="24" t="n">
        <f aca="false">'0. Database'!L12</f>
        <v>14600</v>
      </c>
      <c r="L32" s="24" t="n">
        <f aca="false">'0. Database'!M12</f>
        <v>13500</v>
      </c>
      <c r="M32" s="24" t="n">
        <f aca="false">'0. Database'!N12</f>
        <v>20000</v>
      </c>
      <c r="N32" s="24" t="n">
        <f aca="false">'0. Database'!O12</f>
        <v>28000</v>
      </c>
      <c r="O32" s="24" t="n">
        <f aca="false">'0. Database'!P12</f>
        <v>39638.96</v>
      </c>
      <c r="P32" s="24" t="n">
        <f aca="false">'0. Database'!Q12</f>
        <v>62441.96</v>
      </c>
      <c r="Q32" s="24" t="n">
        <f aca="false">'0. Database'!R12</f>
        <v>94995.43</v>
      </c>
      <c r="R32" s="24" t="n">
        <f aca="false">'0. Database'!S12</f>
        <v>131504.45</v>
      </c>
      <c r="S32" s="24" t="n">
        <f aca="false">'0. Database'!T12</f>
        <v>167239.58</v>
      </c>
      <c r="T32" s="24" t="n">
        <f aca="false">'0. Database'!U12</f>
        <v>0</v>
      </c>
    </row>
    <row r="33" customFormat="false" ht="15" hidden="false" customHeight="false" outlineLevel="0" collapsed="false">
      <c r="A33" s="23" t="s">
        <v>43</v>
      </c>
      <c r="B33" s="24" t="n">
        <f aca="false">'0. Database'!C31</f>
        <v>3253</v>
      </c>
      <c r="C33" s="24" t="n">
        <f aca="false">'0. Database'!D31</f>
        <v>4745</v>
      </c>
      <c r="D33" s="24" t="n">
        <f aca="false">'0. Database'!E31</f>
        <v>6281</v>
      </c>
      <c r="E33" s="24" t="n">
        <f aca="false">'0. Database'!F31</f>
        <v>8117</v>
      </c>
      <c r="F33" s="24" t="n">
        <f aca="false">'0. Database'!G31</f>
        <v>11478</v>
      </c>
      <c r="G33" s="24" t="n">
        <f aca="false">'0. Database'!H31</f>
        <v>15341</v>
      </c>
      <c r="H33" s="24" t="n">
        <f aca="false">'0. Database'!I31</f>
        <v>21789</v>
      </c>
      <c r="I33" s="24" t="n">
        <f aca="false">'0. Database'!J31</f>
        <v>25251</v>
      </c>
      <c r="J33" s="24" t="n">
        <f aca="false">'0. Database'!K31</f>
        <v>34296</v>
      </c>
      <c r="K33" s="24" t="n">
        <f aca="false">'0. Database'!L31</f>
        <v>41461</v>
      </c>
      <c r="L33" s="24" t="n">
        <f aca="false">'0. Database'!M31</f>
        <v>48663</v>
      </c>
      <c r="M33" s="24" t="n">
        <f aca="false">'0. Database'!N31</f>
        <v>52795</v>
      </c>
      <c r="N33" s="24" t="n">
        <f aca="false">'0. Database'!O31</f>
        <v>65756</v>
      </c>
      <c r="O33" s="24" t="n">
        <f aca="false">'0. Database'!P31</f>
        <v>81175.82</v>
      </c>
      <c r="P33" s="24" t="n">
        <f aca="false">'0. Database'!Q31</f>
        <v>90716.93</v>
      </c>
      <c r="Q33" s="24" t="n">
        <f aca="false">'0. Database'!R31</f>
        <v>120533.23</v>
      </c>
      <c r="R33" s="24" t="n">
        <f aca="false">'0. Database'!S31</f>
        <v>150703.05</v>
      </c>
      <c r="S33" s="24" t="n">
        <f aca="false">'0. Database'!T31</f>
        <v>175451.44</v>
      </c>
      <c r="T33" s="24" t="n">
        <f aca="false">'0. Database'!U31</f>
        <v>191789.29</v>
      </c>
    </row>
    <row r="34" customFormat="false" ht="15" hidden="false" customHeight="false" outlineLevel="0" collapsed="false">
      <c r="A34" s="23" t="s">
        <v>49</v>
      </c>
      <c r="B34" s="24" t="n">
        <f aca="false">'0. Database'!C48</f>
        <v>2781</v>
      </c>
      <c r="C34" s="24" t="n">
        <f aca="false">'0. Database'!D48</f>
        <v>3523</v>
      </c>
      <c r="D34" s="24" t="n">
        <f aca="false">'0. Database'!E48</f>
        <v>4132</v>
      </c>
      <c r="E34" s="24" t="n">
        <f aca="false">'0. Database'!F48</f>
        <v>5267</v>
      </c>
      <c r="F34" s="24" t="n">
        <f aca="false">'0. Database'!G48</f>
        <v>6103</v>
      </c>
      <c r="G34" s="24" t="n">
        <f aca="false">'0. Database'!H48</f>
        <v>8164</v>
      </c>
      <c r="H34" s="24" t="n">
        <f aca="false">'0. Database'!I48</f>
        <v>10856</v>
      </c>
      <c r="I34" s="24" t="n">
        <f aca="false">'0. Database'!J48</f>
        <v>12905</v>
      </c>
      <c r="J34" s="24" t="n">
        <f aca="false">'0. Database'!K48</f>
        <v>11555</v>
      </c>
      <c r="K34" s="24" t="n">
        <f aca="false">'0. Database'!L48</f>
        <v>15287</v>
      </c>
      <c r="L34" s="24" t="n">
        <f aca="false">'0. Database'!M48</f>
        <v>13326</v>
      </c>
      <c r="M34" s="24" t="n">
        <f aca="false">'0. Database'!N48</f>
        <v>15311</v>
      </c>
      <c r="N34" s="24" t="n">
        <f aca="false">'0. Database'!O48</f>
        <v>21136</v>
      </c>
      <c r="O34" s="24" t="n">
        <f aca="false">'0. Database'!P48</f>
        <v>42874.7</v>
      </c>
      <c r="P34" s="24" t="n">
        <f aca="false">'0. Database'!Q48</f>
        <v>69582.72</v>
      </c>
      <c r="Q34" s="24" t="n">
        <f aca="false">'0. Database'!R48</f>
        <v>98340.16</v>
      </c>
      <c r="R34" s="24" t="n">
        <f aca="false">'0. Database'!S48</f>
        <v>127674.93</v>
      </c>
      <c r="S34" s="24" t="n">
        <f aca="false">'0. Database'!T48</f>
        <v>156155.17</v>
      </c>
      <c r="T34" s="24" t="n">
        <f aca="false">'0. Database'!U48</f>
        <v>181381.37</v>
      </c>
    </row>
    <row r="35" customFormat="false" ht="15" hidden="false" customHeight="false" outlineLevel="0" collapsed="false">
      <c r="A35" s="23" t="s">
        <v>57</v>
      </c>
      <c r="B35" s="24" t="n">
        <f aca="false">'0. Database'!C67</f>
        <v>1011</v>
      </c>
      <c r="C35" s="24" t="n">
        <f aca="false">'0. Database'!D67</f>
        <v>1243</v>
      </c>
      <c r="D35" s="24" t="n">
        <f aca="false">'0. Database'!E67</f>
        <v>1945</v>
      </c>
      <c r="E35" s="24" t="n">
        <f aca="false">'0. Database'!F67</f>
        <v>2342</v>
      </c>
      <c r="F35" s="24" t="n">
        <f aca="false">'0. Database'!G67</f>
        <v>3025</v>
      </c>
      <c r="G35" s="24" t="n">
        <f aca="false">'0. Database'!H67</f>
        <v>4315</v>
      </c>
      <c r="H35" s="24" t="n">
        <f aca="false">'0. Database'!I67</f>
        <v>5741</v>
      </c>
      <c r="I35" s="24" t="n">
        <f aca="false">'0. Database'!J67</f>
        <v>6862</v>
      </c>
      <c r="J35" s="24" t="n">
        <f aca="false">'0. Database'!K67</f>
        <v>7966</v>
      </c>
      <c r="K35" s="24" t="n">
        <f aca="false">'0. Database'!L67</f>
        <v>8686</v>
      </c>
      <c r="L35" s="24" t="n">
        <f aca="false">'0. Database'!M67</f>
        <v>11177</v>
      </c>
      <c r="M35" s="24" t="n">
        <f aca="false">'0. Database'!N67</f>
        <v>15498</v>
      </c>
      <c r="N35" s="24" t="n">
        <f aca="false">'0. Database'!O67</f>
        <v>18616</v>
      </c>
      <c r="O35" s="24" t="n">
        <f aca="false">'0. Database'!P67</f>
        <v>35955.99</v>
      </c>
      <c r="P35" s="24" t="n">
        <f aca="false">'0. Database'!Q67</f>
        <v>56602.9</v>
      </c>
      <c r="Q35" s="24" t="n">
        <f aca="false">'0. Database'!R67</f>
        <v>78641.85</v>
      </c>
      <c r="R35" s="24" t="n">
        <f aca="false">'0. Database'!S67</f>
        <v>100070.74</v>
      </c>
      <c r="S35" s="24" t="n">
        <f aca="false">'0. Database'!T67</f>
        <v>120937.09</v>
      </c>
      <c r="T35" s="24" t="n">
        <f aca="false">'0. Database'!U67</f>
        <v>136172.14</v>
      </c>
    </row>
    <row r="36" customFormat="false" ht="15" hidden="false" customHeight="false" outlineLevel="0" collapsed="false">
      <c r="A36" s="23" t="s">
        <v>64</v>
      </c>
      <c r="B36" s="24" t="n">
        <f aca="false">'0. Database'!C87</f>
        <v>546</v>
      </c>
      <c r="C36" s="24" t="n">
        <f aca="false">'0. Database'!D87</f>
        <v>608</v>
      </c>
      <c r="D36" s="24" t="n">
        <f aca="false">'0. Database'!E87</f>
        <v>712</v>
      </c>
      <c r="E36" s="24" t="n">
        <f aca="false">'0. Database'!F87</f>
        <v>871</v>
      </c>
      <c r="F36" s="24" t="n">
        <f aca="false">'0. Database'!G87</f>
        <v>1000</v>
      </c>
      <c r="G36" s="24" t="n">
        <f aca="false">'0. Database'!H87</f>
        <v>1165</v>
      </c>
      <c r="H36" s="24" t="n">
        <f aca="false">'0. Database'!I87</f>
        <v>1230</v>
      </c>
      <c r="I36" s="24" t="n">
        <f aca="false">'0. Database'!J87</f>
        <v>1382</v>
      </c>
      <c r="J36" s="24" t="n">
        <f aca="false">'0. Database'!K87</f>
        <v>1537</v>
      </c>
      <c r="K36" s="24" t="n">
        <f aca="false">'0. Database'!L87</f>
        <v>1972</v>
      </c>
      <c r="L36" s="24" t="n">
        <f aca="false">'0. Database'!M87</f>
        <v>2526</v>
      </c>
      <c r="M36" s="24" t="n">
        <f aca="false">'0. Database'!N87</f>
        <v>3129</v>
      </c>
      <c r="N36" s="24" t="n">
        <f aca="false">'0. Database'!O87</f>
        <v>3867</v>
      </c>
      <c r="O36" s="24" t="n">
        <f aca="false">'0. Database'!P87</f>
        <v>7501.53</v>
      </c>
      <c r="P36" s="24" t="n">
        <f aca="false">'0. Database'!Q87</f>
        <v>16868.58</v>
      </c>
      <c r="Q36" s="24" t="n">
        <f aca="false">'0. Database'!R87</f>
        <v>27597.91</v>
      </c>
      <c r="R36" s="24" t="n">
        <f aca="false">'0. Database'!S87</f>
        <v>39646.31</v>
      </c>
      <c r="S36" s="24" t="n">
        <f aca="false">'0. Database'!T87</f>
        <v>48244.32</v>
      </c>
      <c r="T36" s="24" t="n">
        <f aca="false">'0. Database'!U87</f>
        <v>0</v>
      </c>
    </row>
    <row r="39" customFormat="false" ht="15" hidden="false" customHeight="true" outlineLevel="0" collapsed="false">
      <c r="A39" s="22" t="s">
        <v>104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customFormat="false" ht="15" hidden="false" customHeight="false" outlineLevel="0" collapsed="false">
      <c r="A40" s="4" t="s">
        <v>96</v>
      </c>
      <c r="B40" s="4" t="s">
        <v>4</v>
      </c>
      <c r="C40" s="4" t="s">
        <v>5</v>
      </c>
      <c r="D40" s="4" t="s">
        <v>6</v>
      </c>
      <c r="E40" s="4" t="s">
        <v>7</v>
      </c>
      <c r="F40" s="4" t="s">
        <v>8</v>
      </c>
      <c r="G40" s="4" t="s">
        <v>9</v>
      </c>
      <c r="H40" s="4" t="s">
        <v>10</v>
      </c>
      <c r="I40" s="4" t="s">
        <v>11</v>
      </c>
      <c r="J40" s="4" t="s">
        <v>12</v>
      </c>
      <c r="K40" s="4" t="s">
        <v>13</v>
      </c>
      <c r="L40" s="4" t="s">
        <v>14</v>
      </c>
      <c r="M40" s="4" t="s">
        <v>15</v>
      </c>
      <c r="N40" s="4" t="s">
        <v>16</v>
      </c>
      <c r="O40" s="4" t="s">
        <v>17</v>
      </c>
      <c r="P40" s="4" t="s">
        <v>18</v>
      </c>
      <c r="Q40" s="4" t="s">
        <v>19</v>
      </c>
      <c r="R40" s="4" t="s">
        <v>20</v>
      </c>
      <c r="S40" s="4" t="s">
        <v>21</v>
      </c>
      <c r="T40" s="4" t="s">
        <v>22</v>
      </c>
    </row>
    <row r="41" customFormat="false" ht="15" hidden="false" customHeight="false" outlineLevel="0" collapsed="false">
      <c r="A41" s="23" t="s">
        <v>24</v>
      </c>
      <c r="B41" s="25" t="n">
        <f aca="false">IFERROR('0. Database'!C12/'0. Database'!C6,"")</f>
        <v>0.0428907243509872</v>
      </c>
      <c r="C41" s="25" t="n">
        <f aca="false">IFERROR('0. Database'!D12/'0. Database'!D6,"")</f>
        <v>0.0488869439038154</v>
      </c>
      <c r="D41" s="25" t="n">
        <f aca="false">IFERROR('0. Database'!E12/'0. Database'!E6,"")</f>
        <v>0.0577046377431075</v>
      </c>
      <c r="E41" s="25" t="n">
        <f aca="false">IFERROR('0. Database'!F12/'0. Database'!F6,"")</f>
        <v>0.0688935771214252</v>
      </c>
      <c r="F41" s="25" t="n">
        <f aca="false">IFERROR('0. Database'!G12/'0. Database'!G6,"")</f>
        <v>0.0807695892141533</v>
      </c>
      <c r="G41" s="25" t="n">
        <f aca="false">IFERROR('0. Database'!H12/'0. Database'!H6,"")</f>
        <v>0.0897064153678869</v>
      </c>
      <c r="H41" s="25" t="n">
        <f aca="false">IFERROR('0. Database'!I12/'0. Database'!I6,"")</f>
        <v>0.0921783492129081</v>
      </c>
      <c r="I41" s="25" t="n">
        <f aca="false">IFERROR('0. Database'!J12/'0. Database'!J6,"")</f>
        <v>0.0860049645142118</v>
      </c>
      <c r="J41" s="25" t="n">
        <f aca="false">IFERROR('0. Database'!K12/'0. Database'!K6,"")</f>
        <v>0.0648469849126648</v>
      </c>
      <c r="K41" s="25" t="n">
        <f aca="false">IFERROR('0. Database'!L12/'0. Database'!L6,"")</f>
        <v>0.0736369597014173</v>
      </c>
      <c r="L41" s="25" t="n">
        <f aca="false">IFERROR('0. Database'!M12/'0. Database'!M6,"")</f>
        <v>0.0637047872967935</v>
      </c>
      <c r="M41" s="25" t="n">
        <f aca="false">IFERROR('0. Database'!N12/'0. Database'!N6,"")</f>
        <v>0.0815920235637764</v>
      </c>
      <c r="N41" s="25" t="n">
        <f aca="false">IFERROR('0. Database'!O12/'0. Database'!O6,"")</f>
        <v>0.0993880535559626</v>
      </c>
      <c r="O41" s="25" t="n">
        <f aca="false">IFERROR('0. Database'!P12/'0. Database'!P6,"")</f>
        <v>0.120322156151902</v>
      </c>
      <c r="P41" s="25" t="n">
        <f aca="false">IFERROR('0. Database'!Q12/'0. Database'!Q6,"")</f>
        <v>0.161305506475254</v>
      </c>
      <c r="Q41" s="25" t="n">
        <f aca="false">IFERROR('0. Database'!R12/'0. Database'!R6,"")</f>
        <v>0.204963806289356</v>
      </c>
      <c r="R41" s="25" t="n">
        <f aca="false">IFERROR('0. Database'!S12/'0. Database'!S6,"")</f>
        <v>0.23749503625081</v>
      </c>
      <c r="S41" s="25" t="n">
        <f aca="false">IFERROR('0. Database'!T12/'0. Database'!T6,"")</f>
        <v>0.256198827702057</v>
      </c>
      <c r="T41" s="25" t="str">
        <f aca="false">IFERROR('0. Database'!U12/'0. Database'!U6,"")</f>
        <v/>
      </c>
    </row>
    <row r="42" customFormat="false" ht="15" hidden="false" customHeight="false" outlineLevel="0" collapsed="false">
      <c r="A42" s="23" t="s">
        <v>43</v>
      </c>
      <c r="B42" s="25" t="n">
        <f aca="false">IFERROR('0. Database'!C31/'0. Database'!C25,"")</f>
        <v>0.0436919936067049</v>
      </c>
      <c r="C42" s="25" t="n">
        <f aca="false">IFERROR('0. Database'!D31/'0. Database'!D25,"")</f>
        <v>0.0533215565174787</v>
      </c>
      <c r="D42" s="25" t="n">
        <f aca="false">IFERROR('0. Database'!E31/'0. Database'!E25,"")</f>
        <v>0.0586973139974544</v>
      </c>
      <c r="E42" s="25" t="n">
        <f aca="false">IFERROR('0. Database'!F31/'0. Database'!F25,"")</f>
        <v>0.0596895291461684</v>
      </c>
      <c r="F42" s="25" t="n">
        <f aca="false">IFERROR('0. Database'!G31/'0. Database'!G25,"")</f>
        <v>0.0645317261309075</v>
      </c>
      <c r="G42" s="25" t="n">
        <f aca="false">IFERROR('0. Database'!H31/'0. Database'!H25,"")</f>
        <v>0.0658731487803098</v>
      </c>
      <c r="H42" s="25" t="n">
        <f aca="false">IFERROR('0. Database'!I31/'0. Database'!I25,"")</f>
        <v>0.0776730523809184</v>
      </c>
      <c r="I42" s="25" t="n">
        <f aca="false">IFERROR('0. Database'!J31/'0. Database'!J25,"")</f>
        <v>0.0654062538853662</v>
      </c>
      <c r="J42" s="25" t="n">
        <f aca="false">IFERROR('0. Database'!K31/'0. Database'!K25,"")</f>
        <v>0.0729978587635317</v>
      </c>
      <c r="K42" s="25" t="n">
        <f aca="false">IFERROR('0. Database'!L31/'0. Database'!L25,"")</f>
        <v>0.080666092069193</v>
      </c>
      <c r="L42" s="25" t="n">
        <f aca="false">IFERROR('0. Database'!M31/'0. Database'!M25,"")</f>
        <v>0.0846629609332185</v>
      </c>
      <c r="M42" s="25" t="n">
        <f aca="false">IFERROR('0. Database'!N31/'0. Database'!N25,"")</f>
        <v>0.0827561018811554</v>
      </c>
      <c r="N42" s="25" t="n">
        <f aca="false">IFERROR('0. Database'!O31/'0. Database'!O25,"")</f>
        <v>0.0917196243953334</v>
      </c>
      <c r="O42" s="25" t="n">
        <f aca="false">IFERROR('0. Database'!P31/'0. Database'!P25,"")</f>
        <v>0.0980858724771357</v>
      </c>
      <c r="P42" s="25" t="n">
        <f aca="false">IFERROR('0. Database'!Q31/'0. Database'!Q25,"")</f>
        <v>0.0958313626162915</v>
      </c>
      <c r="Q42" s="25" t="n">
        <f aca="false">IFERROR('0. Database'!R31/'0. Database'!R25,"")</f>
        <v>0.113353361221732</v>
      </c>
      <c r="R42" s="25" t="n">
        <f aca="false">IFERROR('0. Database'!S31/'0. Database'!S25,"")</f>
        <v>0.127377899470562</v>
      </c>
      <c r="S42" s="25" t="n">
        <f aca="false">IFERROR('0. Database'!T31/'0. Database'!T25,"")</f>
        <v>0.13440275735048</v>
      </c>
      <c r="T42" s="25" t="n">
        <f aca="false">IFERROR('0. Database'!U31/'0. Database'!U25,"")</f>
        <v>0.134314444254999</v>
      </c>
    </row>
    <row r="43" customFormat="false" ht="15" hidden="false" customHeight="false" outlineLevel="0" collapsed="false">
      <c r="A43" s="23" t="s">
        <v>49</v>
      </c>
      <c r="B43" s="25" t="n">
        <f aca="false">IFERROR('0. Database'!C48/'0. Database'!C42,"")</f>
        <v>0.0500909598515823</v>
      </c>
      <c r="C43" s="25" t="n">
        <f aca="false">IFERROR('0. Database'!D48/'0. Database'!D42,"")</f>
        <v>0.0533779791215285</v>
      </c>
      <c r="D43" s="25" t="n">
        <f aca="false">IFERROR('0. Database'!E48/'0. Database'!E42,"")</f>
        <v>0.0551014148741816</v>
      </c>
      <c r="E43" s="25" t="n">
        <f aca="false">IFERROR('0. Database'!F48/'0. Database'!F42,"")</f>
        <v>0.0583458879829848</v>
      </c>
      <c r="F43" s="25" t="n">
        <f aca="false">IFERROR('0. Database'!G48/'0. Database'!G42,"")</f>
        <v>0.055053899237743</v>
      </c>
      <c r="G43" s="25" t="n">
        <f aca="false">IFERROR('0. Database'!H48/'0. Database'!H42,"")</f>
        <v>0.059670075062674</v>
      </c>
      <c r="H43" s="25" t="n">
        <f aca="false">IFERROR('0. Database'!I48/'0. Database'!I42,"")</f>
        <v>0.0670715508133723</v>
      </c>
      <c r="I43" s="25" t="n">
        <f aca="false">IFERROR('0. Database'!J48/'0. Database'!J42,"")</f>
        <v>0.0707018687646211</v>
      </c>
      <c r="J43" s="25" t="n">
        <f aca="false">IFERROR('0. Database'!K48/'0. Database'!K42,"")</f>
        <v>0.0448499245061851</v>
      </c>
      <c r="K43" s="25" t="n">
        <f aca="false">IFERROR('0. Database'!L48/'0. Database'!L42,"")</f>
        <v>0.0540489895204288</v>
      </c>
      <c r="L43" s="25" t="n">
        <f aca="false">IFERROR('0. Database'!M48/'0. Database'!M42,"")</f>
        <v>0.0433515293076638</v>
      </c>
      <c r="M43" s="25" t="n">
        <f aca="false">IFERROR('0. Database'!N48/'0. Database'!N42,"")</f>
        <v>0.0437434646218194</v>
      </c>
      <c r="N43" s="25" t="n">
        <f aca="false">IFERROR('0. Database'!O48/'0. Database'!O42,"")</f>
        <v>0.0524680018667646</v>
      </c>
      <c r="O43" s="25" t="n">
        <f aca="false">IFERROR('0. Database'!P48/'0. Database'!P42,"")</f>
        <v>0.0878078621508295</v>
      </c>
      <c r="P43" s="25" t="n">
        <f aca="false">IFERROR('0. Database'!Q48/'0. Database'!Q42,"")</f>
        <v>0.117551138236728</v>
      </c>
      <c r="Q43" s="25" t="n">
        <f aca="false">IFERROR('0. Database'!R48/'0. Database'!R42,"")</f>
        <v>0.140202635391807</v>
      </c>
      <c r="R43" s="25" t="n">
        <f aca="false">IFERROR('0. Database'!S48/'0. Database'!S42,"")</f>
        <v>0.156603153029435</v>
      </c>
      <c r="S43" s="25" t="n">
        <f aca="false">IFERROR('0. Database'!T48/'0. Database'!T42,"")</f>
        <v>0.169388668170233</v>
      </c>
      <c r="T43" s="25" t="n">
        <f aca="false">IFERROR('0. Database'!U48/'0. Database'!U42,"")</f>
        <v>0.176229835314764</v>
      </c>
    </row>
    <row r="44" customFormat="false" ht="15" hidden="false" customHeight="false" outlineLevel="0" collapsed="false">
      <c r="A44" s="23" t="s">
        <v>57</v>
      </c>
      <c r="B44" s="25" t="n">
        <f aca="false">IFERROR('0. Database'!C67/'0. Database'!C61,"")</f>
        <v>0.12842987804878</v>
      </c>
      <c r="C44" s="25" t="n">
        <f aca="false">IFERROR('0. Database'!D67/'0. Database'!D61,"")</f>
        <v>0.0997112145034494</v>
      </c>
      <c r="D44" s="25" t="n">
        <f aca="false">IFERROR('0. Database'!E67/'0. Database'!E61,"")</f>
        <v>0.108495565348357</v>
      </c>
      <c r="E44" s="25" t="n">
        <f aca="false">IFERROR('0. Database'!F67/'0. Database'!F61,"")</f>
        <v>0.0847384036471525</v>
      </c>
      <c r="F44" s="25" t="n">
        <f aca="false">IFERROR('0. Database'!G67/'0. Database'!G61,"")</f>
        <v>0.0744102526258825</v>
      </c>
      <c r="G44" s="25" t="n">
        <f aca="false">IFERROR('0. Database'!H67/'0. Database'!H61,"")</f>
        <v>0.0772771231061284</v>
      </c>
      <c r="H44" s="25" t="n">
        <f aca="false">IFERROR('0. Database'!I67/'0. Database'!I61,"")</f>
        <v>0.0812062831964807</v>
      </c>
      <c r="I44" s="25" t="n">
        <f aca="false">IFERROR('0. Database'!J67/'0. Database'!J61,"")</f>
        <v>0.0798222553102389</v>
      </c>
      <c r="J44" s="25" t="n">
        <f aca="false">IFERROR('0. Database'!K67/'0. Database'!K61,"")</f>
        <v>0.0675491185374251</v>
      </c>
      <c r="K44" s="25" t="n">
        <f aca="false">IFERROR('0. Database'!L67/'0. Database'!L61,"")</f>
        <v>0.0744882470478265</v>
      </c>
      <c r="L44" s="25" t="n">
        <f aca="false">IFERROR('0. Database'!M67/'0. Database'!M61,"")</f>
        <v>0.0828533517171852</v>
      </c>
      <c r="M44" s="25" t="n">
        <f aca="false">IFERROR('0. Database'!N67/'0. Database'!N61,"")</f>
        <v>0.0942127659574468</v>
      </c>
      <c r="N44" s="25" t="n">
        <f aca="false">IFERROR('0. Database'!O67/'0. Database'!O61,"")</f>
        <v>0.0926330455551962</v>
      </c>
      <c r="O44" s="25" t="n">
        <f aca="false">IFERROR('0. Database'!P67/'0. Database'!P61,"")</f>
        <v>0.140906872115809</v>
      </c>
      <c r="P44" s="25" t="n">
        <f aca="false">IFERROR('0. Database'!Q67/'0. Database'!Q61,"")</f>
        <v>0.184728970793823</v>
      </c>
      <c r="Q44" s="25" t="n">
        <f aca="false">IFERROR('0. Database'!R67/'0. Database'!R61,"")</f>
        <v>0.22007811861814</v>
      </c>
      <c r="R44" s="25" t="n">
        <f aca="false">IFERROR('0. Database'!S67/'0. Database'!S61,"")</f>
        <v>0.245661608068325</v>
      </c>
      <c r="S44" s="25" t="n">
        <f aca="false">IFERROR('0. Database'!T67/'0. Database'!T61,"")</f>
        <v>0.265100899909223</v>
      </c>
      <c r="T44" s="25" t="n">
        <f aca="false">IFERROR('0. Database'!U67/'0. Database'!U61,"")</f>
        <v>0.270348132124682</v>
      </c>
    </row>
    <row r="45" customFormat="false" ht="15" hidden="false" customHeight="false" outlineLevel="0" collapsed="false">
      <c r="A45" s="23" t="s">
        <v>64</v>
      </c>
      <c r="B45" s="25" t="n">
        <f aca="false">IFERROR('0. Database'!C87/'0. Database'!C79,"")</f>
        <v>0.0146565377285051</v>
      </c>
      <c r="C45" s="25" t="n">
        <f aca="false">IFERROR('0. Database'!D87/'0. Database'!D79,"")</f>
        <v>0.0158726014880564</v>
      </c>
      <c r="D45" s="25" t="n">
        <f aca="false">IFERROR('0. Database'!E87/'0. Database'!E79,"")</f>
        <v>0.0186129192481635</v>
      </c>
      <c r="E45" s="25" t="n">
        <f aca="false">IFERROR('0. Database'!F87/'0. Database'!F79,"")</f>
        <v>0.0235043311655018</v>
      </c>
      <c r="F45" s="25" t="n">
        <f aca="false">IFERROR('0. Database'!G87/'0. Database'!G79,"")</f>
        <v>0.0263859204728357</v>
      </c>
      <c r="G45" s="25" t="n">
        <f aca="false">IFERROR('0. Database'!H87/'0. Database'!H79,"")</f>
        <v>0.0295452816312039</v>
      </c>
      <c r="H45" s="25" t="n">
        <f aca="false">IFERROR('0. Database'!I87/'0. Database'!I79,"")</f>
        <v>0.0311195445920304</v>
      </c>
      <c r="I45" s="25" t="n">
        <f aca="false">IFERROR('0. Database'!J87/'0. Database'!J79,"")</f>
        <v>0.035369692626622</v>
      </c>
      <c r="J45" s="25" t="n">
        <f aca="false">IFERROR('0. Database'!K87/'0. Database'!K79,"")</f>
        <v>0.0379684296336553</v>
      </c>
      <c r="K45" s="25" t="n">
        <f aca="false">IFERROR('0. Database'!L87/'0. Database'!L79,"")</f>
        <v>0.0464645036639099</v>
      </c>
      <c r="L45" s="25" t="n">
        <f aca="false">IFERROR('0. Database'!M87/'0. Database'!M79,"")</f>
        <v>0.0505655089580623</v>
      </c>
      <c r="M45" s="25" t="n">
        <f aca="false">IFERROR('0. Database'!N87/'0. Database'!N79,"")</f>
        <v>0.0590812107022148</v>
      </c>
      <c r="N45" s="25" t="n">
        <f aca="false">IFERROR('0. Database'!O87/'0. Database'!O79,"")</f>
        <v>0.0673705116813882</v>
      </c>
      <c r="O45" s="25" t="n">
        <f aca="false">IFERROR('0. Database'!P87/'0. Database'!P79,"")</f>
        <v>0.111485990926891</v>
      </c>
      <c r="P45" s="25" t="n">
        <f aca="false">IFERROR('0. Database'!Q87/'0. Database'!Q79,"")</f>
        <v>0.189999957198541</v>
      </c>
      <c r="Q45" s="25" t="n">
        <f aca="false">IFERROR('0. Database'!R87/'0. Database'!R79,"")</f>
        <v>0.219999992028382</v>
      </c>
      <c r="R45" s="25" t="n">
        <f aca="false">IFERROR('0. Database'!S87/'0. Database'!S79,"")</f>
        <v>0.239999997578589</v>
      </c>
      <c r="S45" s="25" t="n">
        <f aca="false">IFERROR('0. Database'!T87/'0. Database'!T79,"")</f>
        <v>0.259999995688612</v>
      </c>
      <c r="T45" s="25" t="str">
        <f aca="false">IFERROR('0. Database'!U87/'0. Database'!U79,"")</f>
        <v/>
      </c>
    </row>
    <row r="48" customFormat="false" ht="15" hidden="false" customHeight="true" outlineLevel="0" collapsed="false">
      <c r="A48" s="22" t="s">
        <v>105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customFormat="false" ht="15" hidden="false" customHeight="false" outlineLevel="0" collapsed="false">
      <c r="A49" s="4" t="s">
        <v>96</v>
      </c>
      <c r="B49" s="4" t="s">
        <v>4</v>
      </c>
      <c r="C49" s="4" t="s">
        <v>5</v>
      </c>
      <c r="D49" s="4" t="s">
        <v>6</v>
      </c>
      <c r="E49" s="4" t="s">
        <v>7</v>
      </c>
      <c r="F49" s="4" t="s">
        <v>8</v>
      </c>
      <c r="G49" s="4" t="s">
        <v>9</v>
      </c>
      <c r="H49" s="4" t="s">
        <v>10</v>
      </c>
      <c r="I49" s="4" t="s">
        <v>11</v>
      </c>
      <c r="J49" s="4" t="s">
        <v>12</v>
      </c>
      <c r="K49" s="4" t="s">
        <v>13</v>
      </c>
      <c r="L49" s="4" t="s">
        <v>14</v>
      </c>
      <c r="M49" s="4" t="s">
        <v>15</v>
      </c>
      <c r="N49" s="4" t="s">
        <v>16</v>
      </c>
      <c r="O49" s="4" t="s">
        <v>17</v>
      </c>
      <c r="P49" s="4" t="s">
        <v>18</v>
      </c>
      <c r="Q49" s="4" t="s">
        <v>19</v>
      </c>
      <c r="R49" s="4" t="s">
        <v>20</v>
      </c>
      <c r="S49" s="4" t="s">
        <v>21</v>
      </c>
      <c r="T49" s="4" t="s">
        <v>22</v>
      </c>
    </row>
    <row r="50" customFormat="false" ht="15" hidden="false" customHeight="false" outlineLevel="0" collapsed="false">
      <c r="A50" s="23" t="s">
        <v>24</v>
      </c>
      <c r="B50" s="25"/>
      <c r="C50" s="25" t="n">
        <f aca="false">IFERROR('0. Database'!D12/'0. Database'!C12-1,"")</f>
        <v>0.271338724168913</v>
      </c>
      <c r="D50" s="25" t="n">
        <f aca="false">IFERROR('0. Database'!E12/'0. Database'!D12-1,"")</f>
        <v>0.27208480565371</v>
      </c>
      <c r="E50" s="25" t="n">
        <f aca="false">IFERROR('0. Database'!F12/'0. Database'!E12-1,"")</f>
        <v>0.0885185185185184</v>
      </c>
      <c r="F50" s="25" t="n">
        <f aca="false">IFERROR('0. Database'!G12/'0. Database'!F12-1,"")</f>
        <v>0.326981966655325</v>
      </c>
      <c r="G50" s="25" t="n">
        <f aca="false">IFERROR('0. Database'!H12/'0. Database'!G12-1,"")</f>
        <v>0.269230769230769</v>
      </c>
      <c r="H50" s="25" t="n">
        <f aca="false">IFERROR('0. Database'!I12/'0. Database'!H12-1,"")</f>
        <v>0.171717171717172</v>
      </c>
      <c r="I50" s="25" t="n">
        <f aca="false">IFERROR('0. Database'!J12/'0. Database'!I12-1,"")</f>
        <v>0.0603448275862069</v>
      </c>
      <c r="J50" s="25" t="n">
        <f aca="false">IFERROR('0. Database'!K12/'0. Database'!J12-1,"")</f>
        <v>-0.113821138211382</v>
      </c>
      <c r="K50" s="25" t="n">
        <f aca="false">IFERROR('0. Database'!L12/'0. Database'!K12-1,"")</f>
        <v>0.339449541284404</v>
      </c>
      <c r="L50" s="25" t="n">
        <f aca="false">IFERROR('0. Database'!M12/'0. Database'!L12-1,"")</f>
        <v>-0.0753424657534246</v>
      </c>
      <c r="M50" s="25" t="n">
        <f aca="false">IFERROR('0. Database'!N12/'0. Database'!M12-1,"")</f>
        <v>0.481481481481481</v>
      </c>
      <c r="N50" s="25" t="n">
        <f aca="false">IFERROR('0. Database'!O12/'0. Database'!N12-1,"")</f>
        <v>0.4</v>
      </c>
      <c r="O50" s="25" t="n">
        <f aca="false">IFERROR('0. Database'!P12/'0. Database'!O12-1,"")</f>
        <v>0.415677142857143</v>
      </c>
      <c r="P50" s="25" t="n">
        <f aca="false">IFERROR('0. Database'!Q12/'0. Database'!P12-1,"")</f>
        <v>0.575267363220428</v>
      </c>
      <c r="Q50" s="25" t="n">
        <f aca="false">IFERROR('0. Database'!R12/'0. Database'!Q12-1,"")</f>
        <v>0.521339656858946</v>
      </c>
      <c r="R50" s="25" t="n">
        <f aca="false">IFERROR('0. Database'!S12/'0. Database'!R12-1,"")</f>
        <v>0.384323961689526</v>
      </c>
      <c r="S50" s="25" t="n">
        <f aca="false">IFERROR('0. Database'!T12/'0. Database'!S12-1,"")</f>
        <v>0.271740842230054</v>
      </c>
      <c r="T50" s="25" t="n">
        <f aca="false">IFERROR('0. Database'!U12/'0. Database'!T12-1,"")</f>
        <v>-1</v>
      </c>
    </row>
    <row r="51" customFormat="false" ht="15" hidden="false" customHeight="false" outlineLevel="0" collapsed="false">
      <c r="A51" s="23" t="s">
        <v>43</v>
      </c>
      <c r="B51" s="25"/>
      <c r="C51" s="25" t="n">
        <f aca="false">IFERROR('0. Database'!D31/'0. Database'!C31-1,"")</f>
        <v>0.458653550568706</v>
      </c>
      <c r="D51" s="25" t="n">
        <f aca="false">IFERROR('0. Database'!E31/'0. Database'!D31-1,"")</f>
        <v>0.323709167544784</v>
      </c>
      <c r="E51" s="25" t="n">
        <f aca="false">IFERROR('0. Database'!F31/'0. Database'!E31-1,"")</f>
        <v>0.292310141697182</v>
      </c>
      <c r="F51" s="25" t="n">
        <f aca="false">IFERROR('0. Database'!G31/'0. Database'!F31-1,"")</f>
        <v>0.414069237402981</v>
      </c>
      <c r="G51" s="25" t="n">
        <f aca="false">IFERROR('0. Database'!H31/'0. Database'!G31-1,"")</f>
        <v>0.336556891444503</v>
      </c>
      <c r="H51" s="25" t="n">
        <f aca="false">IFERROR('0. Database'!I31/'0. Database'!H31-1,"")</f>
        <v>0.420311583338765</v>
      </c>
      <c r="I51" s="25" t="n">
        <f aca="false">IFERROR('0. Database'!J31/'0. Database'!I31-1,"")</f>
        <v>0.158887512047363</v>
      </c>
      <c r="J51" s="25" t="n">
        <f aca="false">IFERROR('0. Database'!K31/'0. Database'!J31-1,"")</f>
        <v>0.358203635499584</v>
      </c>
      <c r="K51" s="25" t="n">
        <f aca="false">IFERROR('0. Database'!L31/'0. Database'!K31-1,"")</f>
        <v>0.208916491719151</v>
      </c>
      <c r="L51" s="25" t="n">
        <f aca="false">IFERROR('0. Database'!M31/'0. Database'!L31-1,"")</f>
        <v>0.173705409903283</v>
      </c>
      <c r="M51" s="25" t="n">
        <f aca="false">IFERROR('0. Database'!N31/'0. Database'!M31-1,"")</f>
        <v>0.0849105069560034</v>
      </c>
      <c r="N51" s="25" t="n">
        <f aca="false">IFERROR('0. Database'!O31/'0. Database'!N31-1,"")</f>
        <v>0.245496732645137</v>
      </c>
      <c r="O51" s="25" t="n">
        <f aca="false">IFERROR('0. Database'!P31/'0. Database'!O31-1,"")</f>
        <v>0.234500577894033</v>
      </c>
      <c r="P51" s="25" t="n">
        <f aca="false">IFERROR('0. Database'!Q31/'0. Database'!P31-1,"")</f>
        <v>0.117536355037744</v>
      </c>
      <c r="Q51" s="25" t="n">
        <f aca="false">IFERROR('0. Database'!R31/'0. Database'!Q31-1,"")</f>
        <v>0.328674041328339</v>
      </c>
      <c r="R51" s="25" t="n">
        <f aca="false">IFERROR('0. Database'!S31/'0. Database'!R31-1,"")</f>
        <v>0.25030292476191</v>
      </c>
      <c r="S51" s="25" t="n">
        <f aca="false">IFERROR('0. Database'!T31/'0. Database'!S31-1,"")</f>
        <v>0.164219569544213</v>
      </c>
      <c r="T51" s="25" t="n">
        <f aca="false">IFERROR('0. Database'!U31/'0. Database'!T31-1,"")</f>
        <v>0.0931189279495228</v>
      </c>
    </row>
    <row r="52" customFormat="false" ht="15" hidden="false" customHeight="false" outlineLevel="0" collapsed="false">
      <c r="A52" s="23" t="s">
        <v>49</v>
      </c>
      <c r="B52" s="25"/>
      <c r="C52" s="25" t="n">
        <f aca="false">IFERROR('0. Database'!D48/'0. Database'!C48-1,"")</f>
        <v>0.266810499820209</v>
      </c>
      <c r="D52" s="25" t="n">
        <f aca="false">IFERROR('0. Database'!E48/'0. Database'!D48-1,"")</f>
        <v>0.172864036332671</v>
      </c>
      <c r="E52" s="25" t="n">
        <f aca="false">IFERROR('0. Database'!F48/'0. Database'!E48-1,"")</f>
        <v>0.274685382381413</v>
      </c>
      <c r="F52" s="25" t="n">
        <f aca="false">IFERROR('0. Database'!G48/'0. Database'!F48-1,"")</f>
        <v>0.15872413138409</v>
      </c>
      <c r="G52" s="25" t="n">
        <f aca="false">IFERROR('0. Database'!H48/'0. Database'!G48-1,"")</f>
        <v>0.337702769129936</v>
      </c>
      <c r="H52" s="25" t="n">
        <f aca="false">IFERROR('0. Database'!I48/'0. Database'!H48-1,"")</f>
        <v>0.329740323370897</v>
      </c>
      <c r="I52" s="25" t="n">
        <f aca="false">IFERROR('0. Database'!J48/'0. Database'!I48-1,"")</f>
        <v>0.188743551952837</v>
      </c>
      <c r="J52" s="25" t="n">
        <f aca="false">IFERROR('0. Database'!K48/'0. Database'!J48-1,"")</f>
        <v>-0.104610616040294</v>
      </c>
      <c r="K52" s="25" t="n">
        <f aca="false">IFERROR('0. Database'!L48/'0. Database'!K48-1,"")</f>
        <v>0.322977066205106</v>
      </c>
      <c r="L52" s="25" t="n">
        <f aca="false">IFERROR('0. Database'!M48/'0. Database'!L48-1,"")</f>
        <v>-0.128278929809642</v>
      </c>
      <c r="M52" s="25" t="n">
        <f aca="false">IFERROR('0. Database'!N48/'0. Database'!M48-1,"")</f>
        <v>0.14895692630947</v>
      </c>
      <c r="N52" s="25" t="n">
        <f aca="false">IFERROR('0. Database'!O48/'0. Database'!N48-1,"")</f>
        <v>0.380445431389197</v>
      </c>
      <c r="O52" s="25" t="n">
        <f aca="false">IFERROR('0. Database'!P48/'0. Database'!O48-1,"")</f>
        <v>1.02851532929599</v>
      </c>
      <c r="P52" s="25" t="n">
        <f aca="false">IFERROR('0. Database'!Q48/'0. Database'!P48-1,"")</f>
        <v>0.622931938882371</v>
      </c>
      <c r="Q52" s="25" t="n">
        <f aca="false">IFERROR('0. Database'!R48/'0. Database'!Q48-1,"")</f>
        <v>0.413284217690829</v>
      </c>
      <c r="R52" s="25" t="n">
        <f aca="false">IFERROR('0. Database'!S48/'0. Database'!R48-1,"")</f>
        <v>0.298298985887353</v>
      </c>
      <c r="S52" s="25" t="n">
        <f aca="false">IFERROR('0. Database'!T48/'0. Database'!S48-1,"")</f>
        <v>0.223068381553058</v>
      </c>
      <c r="T52" s="25" t="n">
        <f aca="false">IFERROR('0. Database'!U48/'0. Database'!T48-1,"")</f>
        <v>0.161545724038467</v>
      </c>
    </row>
    <row r="53" customFormat="false" ht="15" hidden="false" customHeight="false" outlineLevel="0" collapsed="false">
      <c r="A53" s="23" t="s">
        <v>57</v>
      </c>
      <c r="B53" s="25"/>
      <c r="C53" s="25" t="n">
        <f aca="false">IFERROR('0. Database'!D67/'0. Database'!C67-1,"")</f>
        <v>0.229475766567755</v>
      </c>
      <c r="D53" s="25" t="n">
        <f aca="false">IFERROR('0. Database'!E67/'0. Database'!D67-1,"")</f>
        <v>0.564762670957361</v>
      </c>
      <c r="E53" s="25" t="n">
        <f aca="false">IFERROR('0. Database'!F67/'0. Database'!E67-1,"")</f>
        <v>0.204113110539846</v>
      </c>
      <c r="F53" s="25" t="n">
        <f aca="false">IFERROR('0. Database'!G67/'0. Database'!F67-1,"")</f>
        <v>0.291631084543126</v>
      </c>
      <c r="G53" s="25" t="n">
        <f aca="false">IFERROR('0. Database'!H67/'0. Database'!G67-1,"")</f>
        <v>0.426446280991736</v>
      </c>
      <c r="H53" s="25" t="n">
        <f aca="false">IFERROR('0. Database'!I67/'0. Database'!H67-1,"")</f>
        <v>0.330475086906141</v>
      </c>
      <c r="I53" s="25" t="n">
        <f aca="false">IFERROR('0. Database'!J67/'0. Database'!I67-1,"")</f>
        <v>0.195262149451315</v>
      </c>
      <c r="J53" s="25" t="n">
        <f aca="false">IFERROR('0. Database'!K67/'0. Database'!J67-1,"")</f>
        <v>0.160886039055669</v>
      </c>
      <c r="K53" s="25" t="n">
        <f aca="false">IFERROR('0. Database'!L67/'0. Database'!K67-1,"")</f>
        <v>0.0903841325633945</v>
      </c>
      <c r="L53" s="25" t="n">
        <f aca="false">IFERROR('0. Database'!M67/'0. Database'!L67-1,"")</f>
        <v>0.28678332949574</v>
      </c>
      <c r="M53" s="25" t="n">
        <f aca="false">IFERROR('0. Database'!N67/'0. Database'!M67-1,"")</f>
        <v>0.386597476961618</v>
      </c>
      <c r="N53" s="25" t="n">
        <f aca="false">IFERROR('0. Database'!O67/'0. Database'!N67-1,"")</f>
        <v>0.201187249967738</v>
      </c>
      <c r="O53" s="25" t="n">
        <f aca="false">IFERROR('0. Database'!P67/'0. Database'!O67-1,"")</f>
        <v>0.931456274172755</v>
      </c>
      <c r="P53" s="25" t="n">
        <f aca="false">IFERROR('0. Database'!Q67/'0. Database'!P67-1,"")</f>
        <v>0.574227270616106</v>
      </c>
      <c r="Q53" s="25" t="n">
        <f aca="false">IFERROR('0. Database'!R67/'0. Database'!Q67-1,"")</f>
        <v>0.389360792468231</v>
      </c>
      <c r="R53" s="25" t="n">
        <f aca="false">IFERROR('0. Database'!S67/'0. Database'!R67-1,"")</f>
        <v>0.272487104512419</v>
      </c>
      <c r="S53" s="25" t="n">
        <f aca="false">IFERROR('0. Database'!T67/'0. Database'!S67-1,"")</f>
        <v>0.208515995784582</v>
      </c>
      <c r="T53" s="25" t="n">
        <f aca="false">IFERROR('0. Database'!U67/'0. Database'!T67-1,"")</f>
        <v>0.12597500072145</v>
      </c>
    </row>
    <row r="54" customFormat="false" ht="15" hidden="false" customHeight="false" outlineLevel="0" collapsed="false">
      <c r="A54" s="23" t="s">
        <v>64</v>
      </c>
      <c r="B54" s="25"/>
      <c r="C54" s="25" t="n">
        <f aca="false">IFERROR('0. Database'!D87/'0. Database'!C87-1,"")</f>
        <v>0.113553113553114</v>
      </c>
      <c r="D54" s="25" t="n">
        <f aca="false">IFERROR('0. Database'!E87/'0. Database'!D87-1,"")</f>
        <v>0.171052631578947</v>
      </c>
      <c r="E54" s="25" t="n">
        <f aca="false">IFERROR('0. Database'!F87/'0. Database'!E87-1,"")</f>
        <v>0.223314606741573</v>
      </c>
      <c r="F54" s="25" t="n">
        <f aca="false">IFERROR('0. Database'!G87/'0. Database'!F87-1,"")</f>
        <v>0.148105625717566</v>
      </c>
      <c r="G54" s="25" t="n">
        <f aca="false">IFERROR('0. Database'!H87/'0. Database'!G87-1,"")</f>
        <v>0.165</v>
      </c>
      <c r="H54" s="25" t="n">
        <f aca="false">IFERROR('0. Database'!I87/'0. Database'!H87-1,"")</f>
        <v>0.055793991416309</v>
      </c>
      <c r="I54" s="25" t="n">
        <f aca="false">IFERROR('0. Database'!J87/'0. Database'!I87-1,"")</f>
        <v>0.123577235772358</v>
      </c>
      <c r="J54" s="25" t="n">
        <f aca="false">IFERROR('0. Database'!K87/'0. Database'!J87-1,"")</f>
        <v>0.112156295224313</v>
      </c>
      <c r="K54" s="25" t="n">
        <f aca="false">IFERROR('0. Database'!L87/'0. Database'!K87-1,"")</f>
        <v>0.283018867924528</v>
      </c>
      <c r="L54" s="25" t="n">
        <f aca="false">IFERROR('0. Database'!M87/'0. Database'!L87-1,"")</f>
        <v>0.280933062880325</v>
      </c>
      <c r="M54" s="25" t="n">
        <f aca="false">IFERROR('0. Database'!N87/'0. Database'!M87-1,"")</f>
        <v>0.238717339667458</v>
      </c>
      <c r="N54" s="25" t="n">
        <f aca="false">IFERROR('0. Database'!O87/'0. Database'!N87-1,"")</f>
        <v>0.235858101629914</v>
      </c>
      <c r="O54" s="25" t="n">
        <f aca="false">IFERROR('0. Database'!P87/'0. Database'!O87-1,"")</f>
        <v>0.93988363072149</v>
      </c>
      <c r="P54" s="25" t="n">
        <f aca="false">IFERROR('0. Database'!Q87/'0. Database'!P87-1,"")</f>
        <v>1.24868526820529</v>
      </c>
      <c r="Q54" s="25" t="n">
        <f aca="false">IFERROR('0. Database'!R87/'0. Database'!Q87-1,"")</f>
        <v>0.636054131408808</v>
      </c>
      <c r="R54" s="25" t="n">
        <f aca="false">IFERROR('0. Database'!S87/'0. Database'!R87-1,"")</f>
        <v>0.436569290935437</v>
      </c>
      <c r="S54" s="25" t="n">
        <f aca="false">IFERROR('0. Database'!T87/'0. Database'!S87-1,"")</f>
        <v>0.216867849744403</v>
      </c>
      <c r="T54" s="25" t="n">
        <f aca="false">IFERROR('0. Database'!U87/'0. Database'!T87-1,"")</f>
        <v>-1</v>
      </c>
    </row>
  </sheetData>
  <mergeCells count="7">
    <mergeCell ref="A1:T1"/>
    <mergeCell ref="A3:T3"/>
    <mergeCell ref="A12:T12"/>
    <mergeCell ref="A21:T21"/>
    <mergeCell ref="A30:T30"/>
    <mergeCell ref="A39:T39"/>
    <mergeCell ref="A48:T48"/>
  </mergeCells>
  <conditionalFormatting sqref="B23:T27">
    <cfRule type="colorScale" priority="2">
      <colorScale>
        <cfvo type="num" val="0.05"/>
        <cfvo type="num" val="0.2"/>
        <cfvo type="num" val="0.5"/>
        <color rgb="FF63BE7B"/>
        <color rgb="FFFFEB84"/>
        <color rgb="FFF8696B"/>
      </colorScale>
    </cfRule>
  </conditionalFormatting>
  <conditionalFormatting sqref="B41:T45">
    <cfRule type="colorScale" priority="3">
      <colorScale>
        <cfvo type="num" val="0.05"/>
        <cfvo type="num" val="0.2"/>
        <cfvo type="num" val="0.5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1" min="2" style="0" width="10"/>
  </cols>
  <sheetData>
    <row r="1" customFormat="false" ht="27.75" hidden="false" customHeight="true" outlineLevel="0" collapsed="false">
      <c r="A1" s="21" t="s">
        <v>106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3" customFormat="false" ht="15" hidden="false" customHeight="true" outlineLevel="0" collapsed="false">
      <c r="A3" s="22" t="s">
        <v>107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customFormat="false" ht="15" hidden="false" customHeight="false" outlineLevel="0" collapsed="false">
      <c r="A4" s="4" t="s">
        <v>96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</row>
    <row r="5" customFormat="false" ht="15" hidden="false" customHeight="false" outlineLevel="0" collapsed="false">
      <c r="A5" s="23" t="s">
        <v>24</v>
      </c>
      <c r="B5" s="24" t="n">
        <f aca="false">'0. Database'!C16</f>
        <v>28833</v>
      </c>
      <c r="C5" s="24" t="n">
        <f aca="false">'0. Database'!D16</f>
        <v>32231</v>
      </c>
      <c r="D5" s="24" t="n">
        <f aca="false">'0. Database'!E16</f>
        <v>29080</v>
      </c>
      <c r="E5" s="24" t="n">
        <f aca="false">'0. Database'!F16</f>
        <v>33325</v>
      </c>
      <c r="F5" s="24" t="n">
        <f aca="false">'0. Database'!G16</f>
        <v>39507</v>
      </c>
      <c r="G5" s="24" t="n">
        <f aca="false">'0. Database'!H16</f>
        <v>43884</v>
      </c>
      <c r="H5" s="24" t="n">
        <f aca="false">'0. Database'!I16</f>
        <v>52185</v>
      </c>
      <c r="I5" s="24" t="n">
        <f aca="false">'0. Database'!J16</f>
        <v>60675</v>
      </c>
      <c r="J5" s="24" t="n">
        <f aca="false">'0. Database'!K16</f>
        <v>76740</v>
      </c>
      <c r="K5" s="24" t="n">
        <f aca="false">'0. Database'!L16</f>
        <v>89035</v>
      </c>
      <c r="L5" s="24" t="n">
        <f aca="false">'0. Database'!M16</f>
        <v>87582</v>
      </c>
      <c r="M5" s="24" t="n">
        <f aca="false">'0. Database'!N16</f>
        <v>118548</v>
      </c>
      <c r="N5" s="24" t="n">
        <f aca="false">'0. Database'!O16</f>
        <v>136162</v>
      </c>
      <c r="O5" s="24" t="n">
        <f aca="false">'0. Database'!P16</f>
        <v>174558.18</v>
      </c>
      <c r="P5" s="24" t="n">
        <f aca="false">'0. Database'!Q16</f>
        <v>232097.78</v>
      </c>
      <c r="Q5" s="24" t="n">
        <f aca="false">'0. Database'!R16</f>
        <v>294570.35</v>
      </c>
      <c r="R5" s="24" t="n">
        <f aca="false">'0. Database'!S16</f>
        <v>359672.36</v>
      </c>
      <c r="S5" s="24" t="n">
        <f aca="false">'0. Database'!T16</f>
        <v>438548.9</v>
      </c>
      <c r="T5" s="24" t="n">
        <f aca="false">'0. Database'!U16</f>
        <v>0</v>
      </c>
    </row>
    <row r="6" customFormat="false" ht="15" hidden="false" customHeight="false" outlineLevel="0" collapsed="false">
      <c r="A6" s="23" t="s">
        <v>43</v>
      </c>
      <c r="B6" s="24" t="n">
        <f aca="false">'0. Database'!C33</f>
        <v>5474</v>
      </c>
      <c r="C6" s="24" t="n">
        <f aca="false">'0. Database'!D33</f>
        <v>6841.4</v>
      </c>
      <c r="D6" s="24" t="n">
        <f aca="false">'0. Database'!E33</f>
        <v>11920.1</v>
      </c>
      <c r="E6" s="24" t="n">
        <f aca="false">'0. Database'!F33</f>
        <v>17271</v>
      </c>
      <c r="F6" s="24" t="n">
        <f aca="false">'0. Database'!G33</f>
        <v>18434</v>
      </c>
      <c r="G6" s="24" t="n">
        <f aca="false">'0. Database'!H33</f>
        <v>30724</v>
      </c>
      <c r="H6" s="24" t="n">
        <f aca="false">'0. Database'!I33</f>
        <v>38515</v>
      </c>
      <c r="I6" s="24" t="n">
        <f aca="false">'0. Database'!J33</f>
        <v>66064</v>
      </c>
      <c r="J6" s="24" t="n">
        <f aca="false">'0. Database'!K33</f>
        <v>46327</v>
      </c>
      <c r="K6" s="24" t="n">
        <f aca="false">'0. Database'!L33</f>
        <v>46752</v>
      </c>
      <c r="L6" s="24" t="n">
        <f aca="false">'0. Database'!M33</f>
        <v>84946</v>
      </c>
      <c r="M6" s="24" t="n">
        <f aca="false">'0. Database'!N33</f>
        <v>115877</v>
      </c>
      <c r="N6" s="24" t="n">
        <f aca="false">'0. Database'!O33</f>
        <v>139514</v>
      </c>
      <c r="O6" s="24" t="n">
        <f aca="false">'0. Database'!P33</f>
        <v>181004.31</v>
      </c>
      <c r="P6" s="24" t="n">
        <f aca="false">'0. Database'!Q33</f>
        <v>224443.7</v>
      </c>
      <c r="Q6" s="24" t="n">
        <f aca="false">'0. Database'!R33</f>
        <v>281471.71</v>
      </c>
      <c r="R6" s="24" t="n">
        <f aca="false">'0. Database'!S33</f>
        <v>342814.42</v>
      </c>
      <c r="S6" s="24" t="n">
        <f aca="false">'0. Database'!T33</f>
        <v>401080.41</v>
      </c>
      <c r="T6" s="24" t="n">
        <f aca="false">'0. Database'!U33</f>
        <v>451875.96</v>
      </c>
    </row>
    <row r="7" customFormat="false" ht="15" hidden="false" customHeight="false" outlineLevel="0" collapsed="false">
      <c r="A7" s="23" t="s">
        <v>49</v>
      </c>
      <c r="B7" s="24" t="n">
        <f aca="false">'0. Database'!C50</f>
        <v>18584</v>
      </c>
      <c r="C7" s="24" t="n">
        <f aca="false">'0. Database'!D50</f>
        <v>22272</v>
      </c>
      <c r="D7" s="24" t="n">
        <f aca="false">'0. Database'!E50</f>
        <v>25829</v>
      </c>
      <c r="E7" s="24" t="n">
        <f aca="false">'0. Database'!F50</f>
        <v>36036</v>
      </c>
      <c r="F7" s="24" t="n">
        <f aca="false">'0. Database'!G50</f>
        <v>37091</v>
      </c>
      <c r="G7" s="24" t="n">
        <f aca="false">'0. Database'!H50</f>
        <v>47971</v>
      </c>
      <c r="H7" s="24" t="n">
        <f aca="false">'0. Database'!I50</f>
        <v>54520</v>
      </c>
      <c r="I7" s="24" t="n">
        <f aca="false">'0. Database'!J50</f>
        <v>65124</v>
      </c>
      <c r="J7" s="24" t="n">
        <f aca="false">'0. Database'!K50</f>
        <v>91652</v>
      </c>
      <c r="K7" s="24" t="n">
        <f aca="false">'0. Database'!L50</f>
        <v>91495</v>
      </c>
      <c r="L7" s="24" t="n">
        <f aca="false">'0. Database'!M50</f>
        <v>101746</v>
      </c>
      <c r="M7" s="24" t="n">
        <f aca="false">'0. Database'!N50</f>
        <v>125299</v>
      </c>
      <c r="N7" s="24" t="n">
        <f aca="false">'0. Database'!O50</f>
        <v>164713</v>
      </c>
      <c r="O7" s="24" t="n">
        <f aca="false">'0. Database'!P50</f>
        <v>211985.47</v>
      </c>
      <c r="P7" s="24" t="n">
        <f aca="false">'0. Database'!Q50</f>
        <v>282346.21</v>
      </c>
      <c r="Q7" s="24" t="n">
        <f aca="false">'0. Database'!R50</f>
        <v>352943.8</v>
      </c>
      <c r="R7" s="24" t="n">
        <f aca="false">'0. Database'!S50</f>
        <v>424226.82</v>
      </c>
      <c r="S7" s="24" t="n">
        <f aca="false">'0. Database'!T50</f>
        <v>490867.35</v>
      </c>
      <c r="T7" s="24" t="n">
        <f aca="false">'0. Database'!U50</f>
        <v>557191.03</v>
      </c>
    </row>
    <row r="8" customFormat="false" ht="15" hidden="false" customHeight="false" outlineLevel="0" collapsed="false">
      <c r="A8" s="23" t="s">
        <v>57</v>
      </c>
      <c r="B8" s="24" t="n">
        <f aca="false">'0. Database'!C69</f>
        <v>4222</v>
      </c>
      <c r="C8" s="24" t="n">
        <f aca="false">'0. Database'!D69</f>
        <v>5507.8</v>
      </c>
      <c r="D8" s="24" t="n">
        <f aca="false">'0. Database'!E69</f>
        <v>8607</v>
      </c>
      <c r="E8" s="24" t="n">
        <f aca="false">'0. Database'!F69</f>
        <v>16061</v>
      </c>
      <c r="F8" s="24" t="n">
        <f aca="false">'0. Database'!G69</f>
        <v>24216</v>
      </c>
      <c r="G8" s="24" t="n">
        <f aca="false">'0. Database'!H69</f>
        <v>29339</v>
      </c>
      <c r="H8" s="24" t="n">
        <f aca="false">'0. Database'!I69</f>
        <v>36312.5</v>
      </c>
      <c r="I8" s="24" t="n">
        <f aca="false">'0. Database'!J69</f>
        <v>38747</v>
      </c>
      <c r="J8" s="24" t="n">
        <f aca="false">'0. Database'!K69</f>
        <v>57683</v>
      </c>
      <c r="K8" s="24" t="n">
        <f aca="false">'0. Database'!L69</f>
        <v>50475</v>
      </c>
      <c r="L8" s="24" t="n">
        <f aca="false">'0. Database'!M69</f>
        <v>71113</v>
      </c>
      <c r="M8" s="24" t="n">
        <f aca="false">'0. Database'!N69</f>
        <v>91328</v>
      </c>
      <c r="N8" s="24" t="n">
        <f aca="false">'0. Database'!O69</f>
        <v>115800</v>
      </c>
      <c r="O8" s="24" t="n">
        <f aca="false">'0. Database'!P69</f>
        <v>180250.64</v>
      </c>
      <c r="P8" s="24" t="n">
        <f aca="false">'0. Database'!Q69</f>
        <v>206102.96</v>
      </c>
      <c r="Q8" s="24" t="n">
        <f aca="false">'0. Database'!R69</f>
        <v>243250.01</v>
      </c>
      <c r="R8" s="24" t="n">
        <f aca="false">'0. Database'!S69</f>
        <v>279015.98</v>
      </c>
      <c r="S8" s="24" t="n">
        <f aca="false">'0. Database'!T69</f>
        <v>314478.51</v>
      </c>
      <c r="T8" s="24" t="n">
        <f aca="false">'0. Database'!U69</f>
        <v>340847.48</v>
      </c>
    </row>
    <row r="9" customFormat="false" ht="15" hidden="false" customHeight="false" outlineLevel="0" collapsed="false">
      <c r="A9" s="23" t="s">
        <v>64</v>
      </c>
      <c r="B9" s="24" t="n">
        <f aca="false">'0. Database'!C89</f>
        <v>14225</v>
      </c>
      <c r="C9" s="24" t="n">
        <f aca="false">'0. Database'!D89</f>
        <v>14921</v>
      </c>
      <c r="D9" s="24" t="n">
        <f aca="false">'0. Database'!E89</f>
        <v>14336</v>
      </c>
      <c r="E9" s="24" t="n">
        <f aca="false">'0. Database'!F89</f>
        <v>13560</v>
      </c>
      <c r="F9" s="24" t="n">
        <f aca="false">'0. Database'!G89</f>
        <v>14125</v>
      </c>
      <c r="G9" s="24" t="n">
        <f aca="false">'0. Database'!H89</f>
        <v>15386</v>
      </c>
      <c r="H9" s="24" t="n">
        <f aca="false">'0. Database'!I89</f>
        <v>14551</v>
      </c>
      <c r="I9" s="24" t="n">
        <f aca="false">'0. Database'!J89</f>
        <v>13139</v>
      </c>
      <c r="J9" s="24" t="n">
        <f aca="false">'0. Database'!K89</f>
        <v>15888</v>
      </c>
      <c r="K9" s="24" t="n">
        <f aca="false">'0. Database'!L89</f>
        <v>9540</v>
      </c>
      <c r="L9" s="24" t="n">
        <f aca="false">'0. Database'!M89</f>
        <v>17166</v>
      </c>
      <c r="M9" s="24" t="n">
        <f aca="false">'0. Database'!N89</f>
        <v>18673</v>
      </c>
      <c r="N9" s="24" t="n">
        <f aca="false">'0. Database'!O89</f>
        <v>20821</v>
      </c>
      <c r="O9" s="24" t="n">
        <f aca="false">'0. Database'!P89</f>
        <v>25457.17</v>
      </c>
      <c r="P9" s="24" t="n">
        <f aca="false">'0. Database'!Q89</f>
        <v>33694.38</v>
      </c>
      <c r="Q9" s="24" t="n">
        <f aca="false">'0. Database'!R89</f>
        <v>50132.95</v>
      </c>
      <c r="R9" s="24" t="n">
        <f aca="false">'0. Database'!S89</f>
        <v>66529.01</v>
      </c>
      <c r="S9" s="24" t="n">
        <f aca="false">'0. Database'!T89</f>
        <v>84964.12</v>
      </c>
      <c r="T9" s="24" t="n">
        <f aca="false">'0. Database'!U89</f>
        <v>0</v>
      </c>
    </row>
    <row r="12" customFormat="false" ht="15" hidden="false" customHeight="true" outlineLevel="0" collapsed="false">
      <c r="A12" s="22" t="s">
        <v>108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</row>
    <row r="13" customFormat="false" ht="15" hidden="false" customHeight="false" outlineLevel="0" collapsed="false">
      <c r="A13" s="4" t="s">
        <v>96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  <c r="J13" s="4" t="s">
        <v>12</v>
      </c>
      <c r="K13" s="4" t="s">
        <v>13</v>
      </c>
      <c r="L13" s="4" t="s">
        <v>14</v>
      </c>
      <c r="M13" s="4" t="s">
        <v>15</v>
      </c>
      <c r="N13" s="4" t="s">
        <v>16</v>
      </c>
      <c r="O13" s="4" t="s">
        <v>17</v>
      </c>
      <c r="P13" s="4" t="s">
        <v>18</v>
      </c>
      <c r="Q13" s="4" t="s">
        <v>19</v>
      </c>
      <c r="R13" s="4" t="s">
        <v>20</v>
      </c>
      <c r="S13" s="4" t="s">
        <v>21</v>
      </c>
      <c r="T13" s="4" t="s">
        <v>22</v>
      </c>
    </row>
    <row r="14" customFormat="false" ht="15" hidden="false" customHeight="false" outlineLevel="0" collapsed="false">
      <c r="A14" s="23" t="s">
        <v>24</v>
      </c>
      <c r="B14" s="24" t="n">
        <f aca="false">'0. Database'!C17</f>
        <v>24576</v>
      </c>
      <c r="C14" s="24" t="n">
        <f aca="false">'0. Database'!D17</f>
        <v>26746</v>
      </c>
      <c r="D14" s="24" t="n">
        <f aca="false">'0. Database'!E17</f>
        <v>23136</v>
      </c>
      <c r="E14" s="24" t="n">
        <f aca="false">'0. Database'!F17</f>
        <v>24393</v>
      </c>
      <c r="F14" s="24" t="n">
        <f aca="false">'0. Database'!G17</f>
        <v>29307</v>
      </c>
      <c r="G14" s="24" t="n">
        <f aca="false">'0. Database'!H17</f>
        <v>30284</v>
      </c>
      <c r="H14" s="24" t="n">
        <f aca="false">'0. Database'!I17</f>
        <v>35285</v>
      </c>
      <c r="I14" s="24" t="n">
        <f aca="false">'0. Database'!J17</f>
        <v>41675</v>
      </c>
      <c r="J14" s="24" t="n">
        <f aca="false">'0. Database'!K17</f>
        <v>52540</v>
      </c>
      <c r="K14" s="24" t="n">
        <f aca="false">'0. Database'!L17</f>
        <v>59835</v>
      </c>
      <c r="L14" s="24" t="n">
        <f aca="false">'0. Database'!M17</f>
        <v>55682</v>
      </c>
      <c r="M14" s="24" t="n">
        <f aca="false">'0. Database'!N17</f>
        <v>62848</v>
      </c>
      <c r="N14" s="24" t="n">
        <f aca="false">'0. Database'!O17</f>
        <v>47962</v>
      </c>
      <c r="O14" s="24" t="n">
        <f aca="false">'0. Database'!P17</f>
        <v>28686.88</v>
      </c>
      <c r="P14" s="24" t="n">
        <f aca="false">'0. Database'!Q17</f>
        <v>-13165.67</v>
      </c>
      <c r="Q14" s="24" t="n">
        <f aca="false">'0. Database'!R17</f>
        <v>7810</v>
      </c>
      <c r="R14" s="24" t="n">
        <f aca="false">'0. Database'!S17</f>
        <v>59461.45</v>
      </c>
      <c r="S14" s="24" t="n">
        <f aca="false">'0. Database'!T17</f>
        <v>133932.86</v>
      </c>
      <c r="T14" s="24" t="n">
        <f aca="false">'0. Database'!U17</f>
        <v>0</v>
      </c>
    </row>
    <row r="15" customFormat="false" ht="15" hidden="false" customHeight="false" outlineLevel="0" collapsed="false">
      <c r="A15" s="23" t="s">
        <v>43</v>
      </c>
      <c r="B15" s="24" t="n">
        <f aca="false">'0. Database'!C34</f>
        <v>2031</v>
      </c>
      <c r="C15" s="24" t="n">
        <f aca="false">'0. Database'!D34</f>
        <v>1949.4</v>
      </c>
      <c r="D15" s="24" t="n">
        <f aca="false">'0. Database'!E34</f>
        <v>7332.1</v>
      </c>
      <c r="E15" s="24" t="n">
        <f aca="false">'0. Database'!F34</f>
        <v>10535</v>
      </c>
      <c r="F15" s="24" t="n">
        <f aca="false">'0. Database'!G34</f>
        <v>8377</v>
      </c>
      <c r="G15" s="24" t="n">
        <f aca="false">'0. Database'!H34</f>
        <v>19402</v>
      </c>
      <c r="H15" s="24" t="n">
        <f aca="false">'0. Database'!I34</f>
        <v>25825</v>
      </c>
      <c r="I15" s="24" t="n">
        <f aca="false">'0. Database'!J34</f>
        <v>31018</v>
      </c>
      <c r="J15" s="24" t="n">
        <f aca="false">'0. Database'!K34</f>
        <v>-9069</v>
      </c>
      <c r="K15" s="24" t="n">
        <f aca="false">'0. Database'!L34</f>
        <v>-11569</v>
      </c>
      <c r="L15" s="24" t="n">
        <f aca="false">'0. Database'!M34</f>
        <v>36813</v>
      </c>
      <c r="M15" s="24" t="n">
        <f aca="false">'0. Database'!N34</f>
        <v>38219</v>
      </c>
      <c r="N15" s="24" t="n">
        <f aca="false">'0. Database'!O34</f>
        <v>11194</v>
      </c>
      <c r="O15" s="24" t="n">
        <f aca="false">'0. Database'!P34</f>
        <v>-19100.67</v>
      </c>
      <c r="P15" s="24" t="n">
        <f aca="false">'0. Database'!Q34</f>
        <v>-45698.02</v>
      </c>
      <c r="Q15" s="24" t="n">
        <f aca="false">'0. Database'!R34</f>
        <v>-2177.1</v>
      </c>
      <c r="R15" s="24" t="n">
        <f aca="false">'0. Database'!S34</f>
        <v>44983.17</v>
      </c>
      <c r="S15" s="24" t="n">
        <f aca="false">'0. Database'!T34</f>
        <v>88357.6</v>
      </c>
      <c r="T15" s="24" t="n">
        <f aca="false">'0. Database'!U34</f>
        <v>123517</v>
      </c>
    </row>
    <row r="16" customFormat="false" ht="15" hidden="false" customHeight="false" outlineLevel="0" collapsed="false">
      <c r="A16" s="23" t="s">
        <v>49</v>
      </c>
      <c r="B16" s="24" t="n">
        <f aca="false">'0. Database'!C51</f>
        <v>11226</v>
      </c>
      <c r="C16" s="24" t="n">
        <f aca="false">'0. Database'!D51</f>
        <v>11313</v>
      </c>
      <c r="D16" s="24" t="n">
        <f aca="false">'0. Database'!E51</f>
        <v>15914</v>
      </c>
      <c r="E16" s="24" t="n">
        <f aca="false">'0. Database'!F51</f>
        <v>25853</v>
      </c>
      <c r="F16" s="24" t="n">
        <f aca="false">'0. Database'!G51</f>
        <v>23907</v>
      </c>
      <c r="G16" s="24" t="n">
        <f aca="false">'0. Database'!H51</f>
        <v>22832</v>
      </c>
      <c r="H16" s="24" t="n">
        <f aca="false">'0. Database'!I51</f>
        <v>30972</v>
      </c>
      <c r="I16" s="24" t="n">
        <f aca="false">'0. Database'!J51</f>
        <v>42843</v>
      </c>
      <c r="J16" s="24" t="n">
        <f aca="false">'0. Database'!K51</f>
        <v>67012</v>
      </c>
      <c r="K16" s="24" t="n">
        <f aca="false">'0. Database'!L51</f>
        <v>60010</v>
      </c>
      <c r="L16" s="24" t="n">
        <f aca="false">'0. Database'!M51</f>
        <v>69495</v>
      </c>
      <c r="M16" s="24" t="n">
        <f aca="false">'0. Database'!N51</f>
        <v>72764</v>
      </c>
      <c r="N16" s="24" t="n">
        <f aca="false">'0. Database'!O51</f>
        <v>73266</v>
      </c>
      <c r="O16" s="24" t="n">
        <f aca="false">'0. Database'!P51</f>
        <v>26751.19</v>
      </c>
      <c r="P16" s="24" t="n">
        <f aca="false">'0. Database'!Q51</f>
        <v>23018.22</v>
      </c>
      <c r="Q16" s="24" t="n">
        <f aca="false">'0. Database'!R51</f>
        <v>67683.01</v>
      </c>
      <c r="R16" s="24" t="n">
        <f aca="false">'0. Database'!S51</f>
        <v>124702.99</v>
      </c>
      <c r="S16" s="24" t="n">
        <f aca="false">'0. Database'!T51</f>
        <v>176367.33</v>
      </c>
      <c r="T16" s="24" t="n">
        <f aca="false">'0. Database'!U51</f>
        <v>226966.01</v>
      </c>
    </row>
    <row r="17" customFormat="false" ht="15" hidden="false" customHeight="false" outlineLevel="0" collapsed="false">
      <c r="A17" s="23" t="s">
        <v>57</v>
      </c>
      <c r="B17" s="24" t="n">
        <f aca="false">'0. Database'!C70</f>
        <v>2860</v>
      </c>
      <c r="C17" s="24" t="n">
        <f aca="false">'0. Database'!D70</f>
        <v>3676.8</v>
      </c>
      <c r="D17" s="24" t="n">
        <f aca="false">'0. Database'!E70</f>
        <v>6084</v>
      </c>
      <c r="E17" s="24" t="n">
        <f aca="false">'0. Database'!F70</f>
        <v>11570</v>
      </c>
      <c r="F17" s="24" t="n">
        <f aca="false">'0. Database'!G70</f>
        <v>17484</v>
      </c>
      <c r="G17" s="24" t="n">
        <f aca="false">'0. Database'!H70</f>
        <v>15359</v>
      </c>
      <c r="H17" s="24" t="n">
        <f aca="false">'0. Database'!I70</f>
        <v>21210.5</v>
      </c>
      <c r="I17" s="24" t="n">
        <f aca="false">'0. Database'!J70</f>
        <v>23632</v>
      </c>
      <c r="J17" s="24" t="n">
        <f aca="false">'0. Database'!K70</f>
        <v>39116</v>
      </c>
      <c r="K17" s="24" t="n">
        <f aca="false">'0. Database'!L70</f>
        <v>19289</v>
      </c>
      <c r="L17" s="24" t="n">
        <f aca="false">'0. Database'!M70</f>
        <v>44068</v>
      </c>
      <c r="M17" s="24" t="n">
        <f aca="false">'0. Database'!N70</f>
        <v>54072</v>
      </c>
      <c r="N17" s="24" t="n">
        <f aca="false">'0. Database'!O70</f>
        <v>46109</v>
      </c>
      <c r="O17" s="24" t="n">
        <f aca="false">'0. Database'!P70</f>
        <v>44666.93</v>
      </c>
      <c r="P17" s="24" t="n">
        <f aca="false">'0. Database'!Q70</f>
        <v>40388.52</v>
      </c>
      <c r="Q17" s="24" t="n">
        <f aca="false">'0. Database'!R70</f>
        <v>57649.84</v>
      </c>
      <c r="R17" s="24" t="n">
        <f aca="false">'0. Database'!S70</f>
        <v>82279.8</v>
      </c>
      <c r="S17" s="24" t="n">
        <f aca="false">'0. Database'!T70</f>
        <v>105938.16</v>
      </c>
      <c r="T17" s="24" t="n">
        <f aca="false">'0. Database'!U70</f>
        <v>119794.71</v>
      </c>
    </row>
    <row r="18" customFormat="false" ht="15" hidden="false" customHeight="false" outlineLevel="0" collapsed="false">
      <c r="A18" s="23" t="s">
        <v>64</v>
      </c>
      <c r="B18" s="24" t="n">
        <f aca="false">'0. Database'!C90</f>
        <v>13575</v>
      </c>
      <c r="C18" s="24" t="n">
        <f aca="false">'0. Database'!D90</f>
        <v>14341</v>
      </c>
      <c r="D18" s="24" t="n">
        <f aca="false">'0. Database'!E90</f>
        <v>12945</v>
      </c>
      <c r="E18" s="24" t="n">
        <f aca="false">'0. Database'!F90</f>
        <v>12371</v>
      </c>
      <c r="F18" s="24" t="n">
        <f aca="false">'0. Database'!G90</f>
        <v>12104</v>
      </c>
      <c r="G18" s="24" t="n">
        <f aca="false">'0. Database'!H90</f>
        <v>13650</v>
      </c>
      <c r="H18" s="24" t="n">
        <f aca="false">'0. Database'!I90</f>
        <v>12891</v>
      </c>
      <c r="I18" s="24" t="n">
        <f aca="false">'0. Database'!J90</f>
        <v>11575</v>
      </c>
      <c r="J18" s="24" t="n">
        <f aca="false">'0. Database'!K90</f>
        <v>13753</v>
      </c>
      <c r="K18" s="24" t="n">
        <f aca="false">'0. Database'!L90</f>
        <v>5029</v>
      </c>
      <c r="L18" s="24" t="n">
        <f aca="false">'0. Database'!M90</f>
        <v>8471</v>
      </c>
      <c r="M18" s="24" t="n">
        <f aca="false">'0. Database'!N90</f>
        <v>11807</v>
      </c>
      <c r="N18" s="24" t="n">
        <f aca="false">'0. Database'!O90</f>
        <v>-394</v>
      </c>
      <c r="O18" s="24" t="n">
        <f aca="false">'0. Database'!P90</f>
        <v>-26424.83</v>
      </c>
      <c r="P18" s="24" t="n">
        <f aca="false">'0. Database'!Q90</f>
        <v>-18447.03</v>
      </c>
      <c r="Q18" s="24" t="n">
        <f aca="false">'0. Database'!R90</f>
        <v>-19736.54</v>
      </c>
      <c r="R18" s="24" t="n">
        <f aca="false">'0. Database'!S90</f>
        <v>-14519.6</v>
      </c>
      <c r="S18" s="24" t="n">
        <f aca="false">'0. Database'!T90</f>
        <v>18504.26</v>
      </c>
      <c r="T18" s="24" t="n">
        <f aca="false">'0. Database'!U90</f>
        <v>0</v>
      </c>
    </row>
    <row r="21" customFormat="false" ht="15" hidden="false" customHeight="true" outlineLevel="0" collapsed="false">
      <c r="A21" s="22" t="s">
        <v>109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customFormat="false" ht="15" hidden="false" customHeight="false" outlineLevel="0" collapsed="false">
      <c r="A22" s="4" t="s">
        <v>96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9</v>
      </c>
      <c r="H22" s="4" t="s">
        <v>10</v>
      </c>
      <c r="I22" s="4" t="s">
        <v>11</v>
      </c>
      <c r="J22" s="4" t="s">
        <v>12</v>
      </c>
      <c r="K22" s="4" t="s">
        <v>13</v>
      </c>
      <c r="L22" s="4" t="s">
        <v>14</v>
      </c>
      <c r="M22" s="4" t="s">
        <v>15</v>
      </c>
      <c r="N22" s="4" t="s">
        <v>16</v>
      </c>
      <c r="O22" s="4" t="s">
        <v>17</v>
      </c>
      <c r="P22" s="4" t="s">
        <v>18</v>
      </c>
      <c r="Q22" s="4" t="s">
        <v>19</v>
      </c>
      <c r="R22" s="4" t="s">
        <v>20</v>
      </c>
      <c r="S22" s="4" t="s">
        <v>21</v>
      </c>
      <c r="T22" s="4" t="s">
        <v>22</v>
      </c>
    </row>
    <row r="23" customFormat="false" ht="15" hidden="false" customHeight="false" outlineLevel="0" collapsed="false">
      <c r="A23" s="23" t="s">
        <v>24</v>
      </c>
      <c r="B23" s="25" t="n">
        <f aca="false">IFERROR('0. Database'!C17/'0. Database'!C6,"")</f>
        <v>0.315688062788218</v>
      </c>
      <c r="C23" s="25" t="n">
        <f aca="false">IFERROR('0. Database'!D17/'0. Database'!D6,"")</f>
        <v>0.308016537491507</v>
      </c>
      <c r="D23" s="25" t="n">
        <f aca="false">IFERROR('0. Database'!E17/'0. Database'!E6,"")</f>
        <v>0.247232314597136</v>
      </c>
      <c r="E23" s="25" t="n">
        <f aca="false">IFERROR('0. Database'!F17/'0. Database'!F6,"")</f>
        <v>0.285900140646976</v>
      </c>
      <c r="F23" s="25" t="n">
        <f aca="false">IFERROR('0. Database'!G17/'0. Database'!G6,"")</f>
        <v>0.303476198858871</v>
      </c>
      <c r="G23" s="25" t="n">
        <f aca="false">IFERROR('0. Database'!H17/'0. Database'!H6,"")</f>
        <v>0.274411018484958</v>
      </c>
      <c r="H23" s="25" t="n">
        <f aca="false">IFERROR('0. Database'!I17/'0. Database'!I6,"")</f>
        <v>0.280389056204954</v>
      </c>
      <c r="I23" s="25" t="n">
        <f aca="false">IFERROR('0. Database'!J17/'0. Database'!J6,"")</f>
        <v>0.291402999685348</v>
      </c>
      <c r="J23" s="25" t="n">
        <f aca="false">IFERROR('0. Database'!K17/'0. Database'!K6,"")</f>
        <v>0.312574365808386</v>
      </c>
      <c r="K23" s="25" t="n">
        <f aca="false">IFERROR('0. Database'!L17/'0. Database'!L6,"")</f>
        <v>0.301785444091391</v>
      </c>
      <c r="L23" s="25" t="n">
        <f aca="false">IFERROR('0. Database'!M17/'0. Database'!M6,"")</f>
        <v>0.262756293797041</v>
      </c>
      <c r="M23" s="25" t="n">
        <f aca="false">IFERROR('0. Database'!N17/'0. Database'!N6,"")</f>
        <v>0.256394774846811</v>
      </c>
      <c r="N23" s="25" t="n">
        <f aca="false">IFERROR('0. Database'!O17/'0. Database'!O6,"")</f>
        <v>0.170244636594681</v>
      </c>
      <c r="O23" s="25" t="n">
        <f aca="false">IFERROR('0. Database'!P17/'0. Database'!P6,"")</f>
        <v>0.0870776441882145</v>
      </c>
      <c r="P23" s="25" t="n">
        <f aca="false">IFERROR('0. Database'!Q17/'0. Database'!Q6,"")</f>
        <v>-0.0340107047798638</v>
      </c>
      <c r="Q23" s="25" t="n">
        <f aca="false">IFERROR('0. Database'!R17/'0. Database'!R6,"")</f>
        <v>0.0168509930121888</v>
      </c>
      <c r="R23" s="25" t="n">
        <f aca="false">IFERROR('0. Database'!S17/'0. Database'!S6,"")</f>
        <v>0.107386474170842</v>
      </c>
      <c r="S23" s="25" t="n">
        <f aca="false">IFERROR('0. Database'!T17/'0. Database'!T6,"")</f>
        <v>0.205175364126026</v>
      </c>
      <c r="T23" s="25" t="str">
        <f aca="false">IFERROR('0. Database'!U17/'0. Database'!U6,"")</f>
        <v/>
      </c>
    </row>
    <row r="24" customFormat="false" ht="15" hidden="false" customHeight="false" outlineLevel="0" collapsed="false">
      <c r="A24" s="23" t="s">
        <v>43</v>
      </c>
      <c r="B24" s="25" t="n">
        <f aca="false">IFERROR('0. Database'!C34/'0. Database'!C25,"")</f>
        <v>0.0272789545082132</v>
      </c>
      <c r="C24" s="25" t="n">
        <f aca="false">IFERROR('0. Database'!D34/'0. Database'!D25,"")</f>
        <v>0.0219062259800154</v>
      </c>
      <c r="D24" s="25" t="n">
        <f aca="false">IFERROR('0. Database'!E34/'0. Database'!E25,"")</f>
        <v>0.0685200725936531</v>
      </c>
      <c r="E24" s="25" t="n">
        <f aca="false">IFERROR('0. Database'!F34/'0. Database'!F25,"")</f>
        <v>0.0774706405759374</v>
      </c>
      <c r="F24" s="25" t="n">
        <f aca="false">IFERROR('0. Database'!G34/'0. Database'!G25,"")</f>
        <v>0.0470972529882046</v>
      </c>
      <c r="G24" s="25" t="n">
        <f aca="false">IFERROR('0. Database'!H34/'0. Database'!H25,"")</f>
        <v>0.0833107902115618</v>
      </c>
      <c r="H24" s="25" t="n">
        <f aca="false">IFERROR('0. Database'!I34/'0. Database'!I25,"")</f>
        <v>0.0920605157527752</v>
      </c>
      <c r="I24" s="25" t="n">
        <f aca="false">IFERROR('0. Database'!J34/'0. Database'!J25,"")</f>
        <v>0.0803441916366198</v>
      </c>
      <c r="J24" s="25" t="n">
        <f aca="false">IFERROR('0. Database'!K34/'0. Database'!K25,"")</f>
        <v>-0.0193030551996288</v>
      </c>
      <c r="K24" s="25" t="n">
        <f aca="false">IFERROR('0. Database'!L34/'0. Database'!L25,"")</f>
        <v>-0.0225085265465978</v>
      </c>
      <c r="L24" s="25" t="n">
        <f aca="false">IFERROR('0. Database'!M34/'0. Database'!M25,"")</f>
        <v>0.0640465565385318</v>
      </c>
      <c r="M24" s="25" t="n">
        <f aca="false">IFERROR('0. Database'!N34/'0. Database'!N25,"")</f>
        <v>0.0599082386172152</v>
      </c>
      <c r="N24" s="25" t="n">
        <f aca="false">IFERROR('0. Database'!O34/'0. Database'!O25,"")</f>
        <v>0.0156139283940836</v>
      </c>
      <c r="O24" s="25" t="n">
        <f aca="false">IFERROR('0. Database'!P34/'0. Database'!P25,"")</f>
        <v>-0.023079605254962</v>
      </c>
      <c r="P24" s="25" t="n">
        <f aca="false">IFERROR('0. Database'!Q34/'0. Database'!Q25,"")</f>
        <v>-0.0482743797157437</v>
      </c>
      <c r="Q24" s="25" t="n">
        <f aca="false">IFERROR('0. Database'!R34/'0. Database'!R25,"")</f>
        <v>-0.00204741549459708</v>
      </c>
      <c r="R24" s="25" t="n">
        <f aca="false">IFERROR('0. Database'!S34/'0. Database'!S25,"")</f>
        <v>0.0380208742034563</v>
      </c>
      <c r="S24" s="25" t="n">
        <f aca="false">IFERROR('0. Database'!T34/'0. Database'!T25,"")</f>
        <v>0.0676854238008576</v>
      </c>
      <c r="T24" s="25" t="n">
        <f aca="false">IFERROR('0. Database'!U34/'0. Database'!U25,"")</f>
        <v>0.0865017916852643</v>
      </c>
    </row>
    <row r="25" customFormat="false" ht="15" hidden="false" customHeight="false" outlineLevel="0" collapsed="false">
      <c r="A25" s="23" t="s">
        <v>49</v>
      </c>
      <c r="B25" s="25" t="n">
        <f aca="false">IFERROR('0. Database'!C51/'0. Database'!C42,"")</f>
        <v>0.202201048289775</v>
      </c>
      <c r="C25" s="25" t="n">
        <f aca="false">IFERROR('0. Database'!D51/'0. Database'!D42,"")</f>
        <v>0.171406493841002</v>
      </c>
      <c r="D25" s="25" t="n">
        <f aca="false">IFERROR('0. Database'!E51/'0. Database'!E42,"")</f>
        <v>0.212217791942818</v>
      </c>
      <c r="E25" s="25" t="n">
        <f aca="false">IFERROR('0. Database'!F51/'0. Database'!F42,"")</f>
        <v>0.286390021269054</v>
      </c>
      <c r="F25" s="25" t="n">
        <f aca="false">IFERROR('0. Database'!G51/'0. Database'!G42,"")</f>
        <v>0.215660096522484</v>
      </c>
      <c r="G25" s="25" t="n">
        <f aca="false">IFERROR('0. Database'!H51/'0. Database'!H42,"")</f>
        <v>0.16687740737763</v>
      </c>
      <c r="H25" s="25" t="n">
        <f aca="false">IFERROR('0. Database'!I51/'0. Database'!I42,"")</f>
        <v>0.191354096517296</v>
      </c>
      <c r="I25" s="25" t="n">
        <f aca="false">IFERROR('0. Database'!J51/'0. Database'!J42,"")</f>
        <v>0.234721438472116</v>
      </c>
      <c r="J25" s="25" t="n">
        <f aca="false">IFERROR('0. Database'!K51/'0. Database'!K42,"")</f>
        <v>0.260102392125355</v>
      </c>
      <c r="K25" s="25" t="n">
        <f aca="false">IFERROR('0. Database'!L51/'0. Database'!L42,"")</f>
        <v>0.212172425009546</v>
      </c>
      <c r="L25" s="25" t="n">
        <f aca="false">IFERROR('0. Database'!M51/'0. Database'!M42,"")</f>
        <v>0.226077932555613</v>
      </c>
      <c r="M25" s="25" t="n">
        <f aca="false">IFERROR('0. Database'!N51/'0. Database'!N42,"")</f>
        <v>0.20788645155392</v>
      </c>
      <c r="N25" s="25" t="n">
        <f aca="false">IFERROR('0. Database'!O51/'0. Database'!O42,"")</f>
        <v>0.181875502685957</v>
      </c>
      <c r="O25" s="25" t="n">
        <f aca="false">IFERROR('0. Database'!P51/'0. Database'!P42,"")</f>
        <v>0.0547867344585653</v>
      </c>
      <c r="P25" s="25" t="n">
        <f aca="false">IFERROR('0. Database'!Q51/'0. Database'!Q42,"")</f>
        <v>0.038886349386506</v>
      </c>
      <c r="Q25" s="25" t="n">
        <f aca="false">IFERROR('0. Database'!R51/'0. Database'!R42,"")</f>
        <v>0.0964950267850896</v>
      </c>
      <c r="R25" s="25" t="n">
        <f aca="false">IFERROR('0. Database'!S51/'0. Database'!S42,"")</f>
        <v>0.152957839304851</v>
      </c>
      <c r="S25" s="25" t="n">
        <f aca="false">IFERROR('0. Database'!T51/'0. Database'!T42,"")</f>
        <v>0.191313724274643</v>
      </c>
      <c r="T25" s="25" t="n">
        <f aca="false">IFERROR('0. Database'!U51/'0. Database'!U42,"")</f>
        <v>0.22051979519368</v>
      </c>
    </row>
    <row r="26" customFormat="false" ht="15" hidden="false" customHeight="false" outlineLevel="0" collapsed="false">
      <c r="A26" s="23" t="s">
        <v>57</v>
      </c>
      <c r="B26" s="25" t="n">
        <f aca="false">IFERROR('0. Database'!C70/'0. Database'!C61,"")</f>
        <v>0.363313008130081</v>
      </c>
      <c r="C26" s="25" t="n">
        <f aca="false">IFERROR('0. Database'!D70/'0. Database'!D61,"")</f>
        <v>0.294946253810364</v>
      </c>
      <c r="D26" s="25" t="n">
        <f aca="false">IFERROR('0. Database'!E70/'0. Database'!E61,"")</f>
        <v>0.339376359680928</v>
      </c>
      <c r="E26" s="25" t="n">
        <f aca="false">IFERROR('0. Database'!F70/'0. Database'!F61,"")</f>
        <v>0.41862652869238</v>
      </c>
      <c r="F26" s="25" t="n">
        <f aca="false">IFERROR('0. Database'!G70/'0. Database'!G61,"")</f>
        <v>0.430078960962291</v>
      </c>
      <c r="G26" s="25" t="n">
        <f aca="false">IFERROR('0. Database'!H70/'0. Database'!H61,"")</f>
        <v>0.275063576775673</v>
      </c>
      <c r="H26" s="25" t="n">
        <f aca="false">IFERROR('0. Database'!I70/'0. Database'!I61,"")</f>
        <v>0.300021924706315</v>
      </c>
      <c r="I26" s="25" t="n">
        <f aca="false">IFERROR('0. Database'!J70/'0. Database'!J61,"")</f>
        <v>0.274899378824186</v>
      </c>
      <c r="J26" s="25" t="n">
        <f aca="false">IFERROR('0. Database'!K70/'0. Database'!K61,"")</f>
        <v>0.331691102273402</v>
      </c>
      <c r="K26" s="25" t="n">
        <f aca="false">IFERROR('0. Database'!L70/'0. Database'!L61,"")</f>
        <v>0.165416048503975</v>
      </c>
      <c r="L26" s="25" t="n">
        <f aca="false">IFERROR('0. Database'!M70/'0. Database'!M61,"")</f>
        <v>0.326669187033454</v>
      </c>
      <c r="M26" s="25" t="n">
        <f aca="false">IFERROR('0. Database'!N70/'0. Database'!N61,"")</f>
        <v>0.328705167173252</v>
      </c>
      <c r="N26" s="25" t="n">
        <f aca="false">IFERROR('0. Database'!O70/'0. Database'!O61,"")</f>
        <v>0.22943796183415</v>
      </c>
      <c r="O26" s="25" t="n">
        <f aca="false">IFERROR('0. Database'!P70/'0. Database'!P61,"")</f>
        <v>0.175043918782818</v>
      </c>
      <c r="P26" s="25" t="n">
        <f aca="false">IFERROR('0. Database'!Q70/'0. Database'!Q61,"")</f>
        <v>0.131811792884918</v>
      </c>
      <c r="Q26" s="25" t="n">
        <f aca="false">IFERROR('0. Database'!R70/'0. Database'!R61,"")</f>
        <v>0.161332271886239</v>
      </c>
      <c r="R26" s="25" t="n">
        <f aca="false">IFERROR('0. Database'!S70/'0. Database'!S61,"")</f>
        <v>0.201986994195707</v>
      </c>
      <c r="S26" s="25" t="n">
        <f aca="false">IFERROR('0. Database'!T70/'0. Database'!T61,"")</f>
        <v>0.232222402165681</v>
      </c>
      <c r="T26" s="25" t="n">
        <f aca="false">IFERROR('0. Database'!U70/'0. Database'!U61,"")</f>
        <v>0.237833348928187</v>
      </c>
    </row>
    <row r="27" customFormat="false" ht="15" hidden="false" customHeight="false" outlineLevel="0" collapsed="false">
      <c r="A27" s="23" t="s">
        <v>64</v>
      </c>
      <c r="B27" s="25" t="n">
        <f aca="false">IFERROR('0. Database'!C90/'0. Database'!C79,"")</f>
        <v>0.364400182535635</v>
      </c>
      <c r="C27" s="25" t="n">
        <f aca="false">IFERROR('0. Database'!D90/'0. Database'!D79,"")</f>
        <v>0.374389766349041</v>
      </c>
      <c r="D27" s="25" t="n">
        <f aca="false">IFERROR('0. Database'!E90/'0. Database'!E79,"")</f>
        <v>0.338404830993648</v>
      </c>
      <c r="E27" s="25" t="n">
        <f aca="false">IFERROR('0. Database'!F90/'0. Database'!F79,"")</f>
        <v>0.333837061823677</v>
      </c>
      <c r="F27" s="25" t="n">
        <f aca="false">IFERROR('0. Database'!G90/'0. Database'!G79,"")</f>
        <v>0.319375181403203</v>
      </c>
      <c r="G27" s="25" t="n">
        <f aca="false">IFERROR('0. Database'!H90/'0. Database'!H79,"")</f>
        <v>0.346174329842002</v>
      </c>
      <c r="H27" s="25" t="n">
        <f aca="false">IFERROR('0. Database'!I90/'0. Database'!I79,"")</f>
        <v>0.326148007590133</v>
      </c>
      <c r="I27" s="25" t="n">
        <f aca="false">IFERROR('0. Database'!J90/'0. Database'!J79,"")</f>
        <v>0.296240370588386</v>
      </c>
      <c r="J27" s="25" t="n">
        <f aca="false">IFERROR('0. Database'!K90/'0. Database'!K79,"")</f>
        <v>0.339739630937971</v>
      </c>
      <c r="K27" s="25" t="n">
        <f aca="false">IFERROR('0. Database'!L90/'0. Database'!L79,"")</f>
        <v>0.118493909191584</v>
      </c>
      <c r="L27" s="25" t="n">
        <f aca="false">IFERROR('0. Database'!M90/'0. Database'!M79,"")</f>
        <v>0.169572615353818</v>
      </c>
      <c r="M27" s="25" t="n">
        <f aca="false">IFERROR('0. Database'!N90/'0. Database'!N79,"")</f>
        <v>0.222937633352845</v>
      </c>
      <c r="N27" s="25" t="n">
        <f aca="false">IFERROR('0. Database'!O90/'0. Database'!O79,"")</f>
        <v>-0.00686423108416523</v>
      </c>
      <c r="O27" s="25" t="n">
        <f aca="false">IFERROR('0. Database'!P90/'0. Database'!P79,"")</f>
        <v>-0.392719666204713</v>
      </c>
      <c r="P27" s="25" t="n">
        <f aca="false">IFERROR('0. Database'!Q90/'0. Database'!Q79,"")</f>
        <v>-0.207778894870831</v>
      </c>
      <c r="Q27" s="25" t="n">
        <f aca="false">IFERROR('0. Database'!R90/'0. Database'!R79,"")</f>
        <v>-0.157332154596774</v>
      </c>
      <c r="R27" s="25" t="n">
        <f aca="false">IFERROR('0. Database'!S90/'0. Database'!S79,"")</f>
        <v>-0.0878947867996312</v>
      </c>
      <c r="S27" s="25" t="n">
        <f aca="false">IFERROR('0. Database'!T90/'0. Database'!T79,"")</f>
        <v>0.0997238124658188</v>
      </c>
      <c r="T27" s="25" t="str">
        <f aca="false">IFERROR('0. Database'!U90/'0. Database'!U79,"")</f>
        <v/>
      </c>
    </row>
    <row r="30" customFormat="false" ht="15" hidden="false" customHeight="true" outlineLevel="0" collapsed="false">
      <c r="A30" s="22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</row>
    <row r="31" customFormat="false" ht="15" hidden="false" customHeight="false" outlineLevel="0" collapsed="false">
      <c r="A31" s="4" t="s">
        <v>96</v>
      </c>
      <c r="B31" s="4" t="s">
        <v>4</v>
      </c>
      <c r="C31" s="4" t="s">
        <v>5</v>
      </c>
      <c r="D31" s="4" t="s">
        <v>6</v>
      </c>
      <c r="E31" s="4" t="s">
        <v>7</v>
      </c>
      <c r="F31" s="4" t="s">
        <v>8</v>
      </c>
      <c r="G31" s="4" t="s">
        <v>9</v>
      </c>
      <c r="H31" s="4" t="s">
        <v>10</v>
      </c>
      <c r="I31" s="4" t="s">
        <v>11</v>
      </c>
      <c r="J31" s="4" t="s">
        <v>12</v>
      </c>
      <c r="K31" s="4" t="s">
        <v>13</v>
      </c>
      <c r="L31" s="4" t="s">
        <v>14</v>
      </c>
      <c r="M31" s="4" t="s">
        <v>15</v>
      </c>
      <c r="N31" s="4" t="s">
        <v>16</v>
      </c>
      <c r="O31" s="4" t="s">
        <v>17</v>
      </c>
      <c r="P31" s="4" t="s">
        <v>18</v>
      </c>
      <c r="Q31" s="4" t="s">
        <v>19</v>
      </c>
      <c r="R31" s="4" t="s">
        <v>20</v>
      </c>
      <c r="S31" s="4" t="s">
        <v>21</v>
      </c>
      <c r="T31" s="4" t="s">
        <v>22</v>
      </c>
    </row>
    <row r="32" customFormat="false" ht="15" hidden="false" customHeight="false" outlineLevel="0" collapsed="false">
      <c r="A32" s="23" t="s">
        <v>24</v>
      </c>
      <c r="B32" s="25" t="n">
        <f aca="false">IFERROR('0. Database'!C17/'0. Database'!C8,"")</f>
        <v>1.12409092988154</v>
      </c>
      <c r="C32" s="25" t="n">
        <f aca="false">IFERROR('0. Database'!D17/'0. Database'!D8,"")</f>
        <v>1.21165171695207</v>
      </c>
      <c r="D32" s="25" t="n">
        <f aca="false">IFERROR('0. Database'!E17/'0. Database'!E8,"")</f>
        <v>1.89748216189617</v>
      </c>
      <c r="E32" s="25" t="n">
        <f aca="false">IFERROR('0. Database'!F17/'0. Database'!F8,"")</f>
        <v>1.45213715918562</v>
      </c>
      <c r="F32" s="25" t="n">
        <f aca="false">IFERROR('0. Database'!G17/'0. Database'!G8,"")</f>
        <v>1.14979010553572</v>
      </c>
      <c r="G32" s="25" t="n">
        <f aca="false">IFERROR('0. Database'!H17/'0. Database'!H8,"")</f>
        <v>1.82753002232816</v>
      </c>
      <c r="H32" s="25" t="n">
        <f aca="false">IFERROR('0. Database'!I17/'0. Database'!I8,"")</f>
        <v>0.89920998980632</v>
      </c>
      <c r="I32" s="25" t="n">
        <f aca="false">IFERROR('0. Database'!J17/'0. Database'!J8,"")</f>
        <v>0.941148573880445</v>
      </c>
      <c r="J32" s="25" t="n">
        <f aca="false">IFERROR('0. Database'!K17/'0. Database'!K8,"")</f>
        <v>0.857501917709846</v>
      </c>
      <c r="K32" s="25" t="n">
        <f aca="false">IFERROR('0. Database'!L17/'0. Database'!L8,"")</f>
        <v>0.822609915037532</v>
      </c>
      <c r="L32" s="25" t="n">
        <f aca="false">IFERROR('0. Database'!M17/'0. Database'!M8,"")</f>
        <v>0.76950290902558</v>
      </c>
      <c r="M32" s="25" t="n">
        <f aca="false">IFERROR('0. Database'!N17/'0. Database'!N8,"")</f>
        <v>0.713079785785604</v>
      </c>
      <c r="N32" s="25" t="n">
        <f aca="false">IFERROR('0. Database'!O17/'0. Database'!O8,"")</f>
        <v>0.470991436876424</v>
      </c>
      <c r="O32" s="25" t="n">
        <f aca="false">IFERROR('0. Database'!P17/'0. Database'!P8,"")</f>
        <v>0.221738005946533</v>
      </c>
      <c r="P32" s="25" t="n">
        <f aca="false">IFERROR('0. Database'!Q17/'0. Database'!Q8,"")</f>
        <v>-0.0908155365093678</v>
      </c>
      <c r="Q32" s="25" t="n">
        <f aca="false">IFERROR('0. Database'!R17/'0. Database'!R8,"")</f>
        <v>0.0444548368456259</v>
      </c>
      <c r="R32" s="25" t="n">
        <f aca="false">IFERROR('0. Database'!S17/'0. Database'!S8,"")</f>
        <v>0.275958775567449</v>
      </c>
      <c r="S32" s="25" t="n">
        <f aca="false">IFERROR('0. Database'!T17/'0. Database'!T8,"")</f>
        <v>0.517218413740871</v>
      </c>
      <c r="T32" s="25" t="str">
        <f aca="false">IFERROR('0. Database'!U17/'0. Database'!U8,"")</f>
        <v/>
      </c>
    </row>
    <row r="33" customFormat="false" ht="15" hidden="false" customHeight="false" outlineLevel="0" collapsed="false">
      <c r="A33" s="23" t="s">
        <v>43</v>
      </c>
      <c r="B33" s="25" t="n">
        <f aca="false">IFERROR('0. Database'!C34/'0. Database'!C27,"")</f>
        <v>7.43956043956044</v>
      </c>
      <c r="C33" s="25" t="n">
        <f aca="false">IFERROR('0. Database'!D34/'0. Database'!D27,"")</f>
        <v>-8.10224438902743</v>
      </c>
      <c r="D33" s="25" t="n">
        <f aca="false">IFERROR('0. Database'!E34/'0. Database'!E27,"")</f>
        <v>12.3001174299614</v>
      </c>
      <c r="E33" s="25" t="n">
        <f aca="false">IFERROR('0. Database'!F34/'0. Database'!F27,"")</f>
        <v>4.44327288064108</v>
      </c>
      <c r="F33" s="25" t="n">
        <f aca="false">IFERROR('0. Database'!G34/'0. Database'!G27,"")</f>
        <v>2.76195186284207</v>
      </c>
      <c r="G33" s="25" t="n">
        <f aca="false">IFERROR('0. Database'!H34/'0. Database'!H27,"")</f>
        <v>1.92613918395711</v>
      </c>
      <c r="H33" s="25" t="n">
        <f aca="false">IFERROR('0. Database'!I34/'0. Database'!I27,"")</f>
        <v>2.22859855022437</v>
      </c>
      <c r="I33" s="25" t="n">
        <f aca="false">IFERROR('0. Database'!J34/'0. Database'!J27,"")</f>
        <v>1.4541277952276</v>
      </c>
      <c r="J33" s="25" t="n">
        <f aca="false">IFERROR('0. Database'!K34/'0. Database'!K27,"")</f>
        <v>-0.271819925668385</v>
      </c>
      <c r="K33" s="25" t="n">
        <f aca="false">IFERROR('0. Database'!L34/'0. Database'!L27,"")</f>
        <v>4.25018368846436</v>
      </c>
      <c r="L33" s="25" t="n">
        <f aca="false">IFERROR('0. Database'!M34/'0. Database'!M27,"")</f>
        <v>1.20995891536565</v>
      </c>
      <c r="M33" s="25" t="n">
        <f aca="false">IFERROR('0. Database'!N34/'0. Database'!N27,"")</f>
        <v>0.645068187955712</v>
      </c>
      <c r="N33" s="25" t="n">
        <f aca="false">IFERROR('0. Database'!O34/'0. Database'!O27,"")</f>
        <v>0.144122569846788</v>
      </c>
      <c r="O33" s="25" t="n">
        <f aca="false">IFERROR('0. Database'!P34/'0. Database'!P27,"")</f>
        <v>-0.194243337890604</v>
      </c>
      <c r="P33" s="25" t="n">
        <f aca="false">IFERROR('0. Database'!Q34/'0. Database'!Q27,"")</f>
        <v>-0.393208132275096</v>
      </c>
      <c r="Q33" s="25" t="n">
        <f aca="false">IFERROR('0. Database'!R34/'0. Database'!R27,"")</f>
        <v>-0.015012784760896</v>
      </c>
      <c r="R33" s="25" t="n">
        <f aca="false">IFERROR('0. Database'!S34/'0. Database'!S27,"")</f>
        <v>0.253889461451369</v>
      </c>
      <c r="S33" s="25" t="n">
        <f aca="false">IFERROR('0. Database'!T34/'0. Database'!T27,"")</f>
        <v>0.416926682753729</v>
      </c>
      <c r="T33" s="25" t="n">
        <f aca="false">IFERROR('0. Database'!U34/'0. Database'!U27,"")</f>
        <v>0.498881709616086</v>
      </c>
    </row>
    <row r="34" customFormat="false" ht="15" hidden="false" customHeight="false" outlineLevel="0" collapsed="false">
      <c r="A34" s="23" t="s">
        <v>49</v>
      </c>
      <c r="B34" s="25" t="n">
        <f aca="false">IFERROR('0. Database'!C51/'0. Database'!C44,"")</f>
        <v>0.882547169811321</v>
      </c>
      <c r="C34" s="25" t="n">
        <f aca="false">IFERROR('0. Database'!D51/'0. Database'!D44,"")</f>
        <v>0.800297113752122</v>
      </c>
      <c r="D34" s="25" t="n">
        <f aca="false">IFERROR('0. Database'!E51/'0. Database'!E44,"")</f>
        <v>0.973452410080744</v>
      </c>
      <c r="E34" s="25" t="n">
        <f aca="false">IFERROR('0. Database'!F51/'0. Database'!F44,"")</f>
        <v>1.32729232980799</v>
      </c>
      <c r="F34" s="25" t="n">
        <f aca="false">IFERROR('0. Database'!G51/'0. Database'!G44,"")</f>
        <v>1.88809034907598</v>
      </c>
      <c r="G34" s="25" t="n">
        <f aca="false">IFERROR('0. Database'!H51/'0. Database'!H44,"")</f>
        <v>0.742842269651223</v>
      </c>
      <c r="H34" s="25" t="n">
        <f aca="false">IFERROR('0. Database'!I51/'0. Database'!I44,"")</f>
        <v>0.901843170369508</v>
      </c>
      <c r="I34" s="25" t="n">
        <f aca="false">IFERROR('0. Database'!J51/'0. Database'!J44,"")</f>
        <v>1.06392013707815</v>
      </c>
      <c r="J34" s="25" t="n">
        <f aca="false">IFERROR('0. Database'!K51/'0. Database'!K44,"")</f>
        <v>0.881354148856418</v>
      </c>
      <c r="K34" s="25" t="n">
        <f aca="false">IFERROR('0. Database'!L51/'0. Database'!L44,"")</f>
        <v>1.00063362902688</v>
      </c>
      <c r="L34" s="25" t="n">
        <f aca="false">IFERROR('0. Database'!M51/'0. Database'!M44,"")</f>
        <v>0.941730469544007</v>
      </c>
      <c r="M34" s="25" t="n">
        <f aca="false">IFERROR('0. Database'!N51/'0. Database'!N44,"")</f>
        <v>0.726782396771809</v>
      </c>
      <c r="N34" s="25" t="n">
        <f aca="false">IFERROR('0. Database'!O51/'0. Database'!O44,"")</f>
        <v>0.554331542710146</v>
      </c>
      <c r="O34" s="25" t="n">
        <f aca="false">IFERROR('0. Database'!P51/'0. Database'!P44,"")</f>
        <v>0.158720003550423</v>
      </c>
      <c r="P34" s="25" t="n">
        <f aca="false">IFERROR('0. Database'!Q51/'0. Database'!Q44,"")</f>
        <v>0.131813659711326</v>
      </c>
      <c r="Q34" s="25" t="n">
        <f aca="false">IFERROR('0. Database'!R51/'0. Database'!R44,"")</f>
        <v>0.321147830374679</v>
      </c>
      <c r="R34" s="25" t="n">
        <f aca="false">IFERROR('0. Database'!S51/'0. Database'!S44,"")</f>
        <v>0.499834421292195</v>
      </c>
      <c r="S34" s="25" t="n">
        <f aca="false">IFERROR('0. Database'!T51/'0. Database'!T44,"")</f>
        <v>0.616721256375016</v>
      </c>
      <c r="T34" s="25" t="n">
        <f aca="false">IFERROR('0. Database'!U51/'0. Database'!U44,"")</f>
        <v>0.695569496542502</v>
      </c>
    </row>
    <row r="35" customFormat="false" ht="15" hidden="false" customHeight="false" outlineLevel="0" collapsed="false">
      <c r="A35" s="23" t="s">
        <v>57</v>
      </c>
      <c r="B35" s="25" t="n">
        <f aca="false">IFERROR('0. Database'!C70/'0. Database'!C63,"")</f>
        <v>1.91817572099262</v>
      </c>
      <c r="C35" s="25" t="n">
        <f aca="false">IFERROR('0. Database'!D70/'0. Database'!D63,"")</f>
        <v>1.25711159737418</v>
      </c>
      <c r="D35" s="25" t="n">
        <f aca="false">IFERROR('0. Database'!E70/'0. Database'!E63,"")</f>
        <v>1.65821749795585</v>
      </c>
      <c r="E35" s="25" t="n">
        <f aca="false">IFERROR('0. Database'!F70/'0. Database'!F63,"")</f>
        <v>1.13573896654625</v>
      </c>
      <c r="F35" s="25" t="n">
        <f aca="false">IFERROR('0. Database'!G70/'0. Database'!G63,"")</f>
        <v>1.09831019536403</v>
      </c>
      <c r="G35" s="25" t="n">
        <f aca="false">IFERROR('0. Database'!H70/'0. Database'!H63,"")</f>
        <v>0.6946002170767</v>
      </c>
      <c r="H35" s="25" t="n">
        <f aca="false">IFERROR('0. Database'!I70/'0. Database'!I63,"")</f>
        <v>1.14747491141226</v>
      </c>
      <c r="I35" s="25" t="n">
        <f aca="false">IFERROR('0. Database'!J70/'0. Database'!J63,"")</f>
        <v>0.810842340024018</v>
      </c>
      <c r="J35" s="25" t="n">
        <f aca="false">IFERROR('0. Database'!K70/'0. Database'!K63,"")</f>
        <v>0.993548387096774</v>
      </c>
      <c r="K35" s="25" t="n">
        <f aca="false">IFERROR('0. Database'!L70/'0. Database'!L63,"")</f>
        <v>0.831458252510884</v>
      </c>
      <c r="L35" s="25" t="n">
        <f aca="false">IFERROR('0. Database'!M70/'0. Database'!M63,"")</f>
        <v>1.12714530526639</v>
      </c>
      <c r="M35" s="25" t="n">
        <f aca="false">IFERROR('0. Database'!N70/'0. Database'!N63,"")</f>
        <v>0.867094291212316</v>
      </c>
      <c r="N35" s="25" t="n">
        <f aca="false">IFERROR('0. Database'!O70/'0. Database'!O63,"")</f>
        <v>0.762661682490324</v>
      </c>
      <c r="O35" s="25" t="n">
        <f aca="false">IFERROR('0. Database'!P70/'0. Database'!P63,"")</f>
        <v>0.520697607890434</v>
      </c>
      <c r="P35" s="25" t="n">
        <f aca="false">IFERROR('0. Database'!Q70/'0. Database'!Q63,"")</f>
        <v>0.443046331027302</v>
      </c>
      <c r="Q35" s="25" t="n">
        <f aca="false">IFERROR('0. Database'!R70/'0. Database'!R63,"")</f>
        <v>0.557257900735515</v>
      </c>
      <c r="R35" s="25" t="n">
        <f aca="false">IFERROR('0. Database'!S70/'0. Database'!S63,"")</f>
        <v>0.710248475353161</v>
      </c>
      <c r="S35" s="25" t="n">
        <f aca="false">IFERROR('0. Database'!T70/'0. Database'!T63,"")</f>
        <v>0.828908745452131</v>
      </c>
      <c r="T35" s="25" t="n">
        <f aca="false">IFERROR('0. Database'!U70/'0. Database'!U63,"")</f>
        <v>0.832243900192182</v>
      </c>
    </row>
    <row r="36" customFormat="false" ht="15" hidden="false" customHeight="false" outlineLevel="0" collapsed="false">
      <c r="A36" s="23" t="s">
        <v>64</v>
      </c>
      <c r="B36" s="25" t="n">
        <f aca="false">IFERROR('0. Database'!C90/'0. Database'!C82,"")</f>
        <v>1.24244920373421</v>
      </c>
      <c r="C36" s="25" t="n">
        <f aca="false">IFERROR('0. Database'!D90/'0. Database'!D82,"")</f>
        <v>1.30908261068005</v>
      </c>
      <c r="D36" s="25" t="n">
        <f aca="false">IFERROR('0. Database'!E90/'0. Database'!E82,"")</f>
        <v>1.30257597102033</v>
      </c>
      <c r="E36" s="25" t="n">
        <f aca="false">IFERROR('0. Database'!F90/'0. Database'!F82,"")</f>
        <v>1.39</v>
      </c>
      <c r="F36" s="25" t="n">
        <f aca="false">IFERROR('0. Database'!G90/'0. Database'!G82,"")</f>
        <v>1.29676451682023</v>
      </c>
      <c r="G36" s="25" t="n">
        <f aca="false">IFERROR('0. Database'!H90/'0. Database'!H82,"")</f>
        <v>3.80540841929189</v>
      </c>
      <c r="H36" s="25" t="n">
        <f aca="false">IFERROR('0. Database'!I90/'0. Database'!I82,"")</f>
        <v>1.16313272579626</v>
      </c>
      <c r="I36" s="25" t="n">
        <f aca="false">IFERROR('0. Database'!J90/'0. Database'!J82,"")</f>
        <v>1.14208189442526</v>
      </c>
      <c r="J36" s="25" t="n">
        <f aca="false">IFERROR('0. Database'!K90/'0. Database'!K82,"")</f>
        <v>1.00043645886375</v>
      </c>
      <c r="K36" s="25" t="n">
        <f aca="false">IFERROR('0. Database'!L90/'0. Database'!L82,"")</f>
        <v>0.748585888657338</v>
      </c>
      <c r="L36" s="25" t="n">
        <f aca="false">IFERROR('0. Database'!M90/'0. Database'!M82,"")</f>
        <v>0.996119473189087</v>
      </c>
      <c r="M36" s="25" t="n">
        <f aca="false">IFERROR('0. Database'!N90/'0. Database'!N82,"")</f>
        <v>1.12802140059234</v>
      </c>
      <c r="N36" s="25" t="n">
        <f aca="false">IFERROR('0. Database'!O90/'0. Database'!O82,"")</f>
        <v>-0.0316643896166519</v>
      </c>
      <c r="O36" s="25" t="n">
        <f aca="false">IFERROR('0. Database'!P90/'0. Database'!P82,"")</f>
        <v>-1.670285167077</v>
      </c>
      <c r="P36" s="25" t="n">
        <f aca="false">IFERROR('0. Database'!Q90/'0. Database'!Q82,"")</f>
        <v>-1.38044540563193</v>
      </c>
      <c r="Q36" s="25" t="n">
        <f aca="false">IFERROR('0. Database'!R90/'0. Database'!R82,"")</f>
        <v>-0.737079979355155</v>
      </c>
      <c r="R36" s="25" t="n">
        <f aca="false">IFERROR('0. Database'!S90/'0. Database'!S82,"")</f>
        <v>-0.364495182857611</v>
      </c>
      <c r="S36" s="25" t="n">
        <f aca="false">IFERROR('0. Database'!T90/'0. Database'!T82,"")</f>
        <v>0.419555110954715</v>
      </c>
      <c r="T36" s="25" t="str">
        <f aca="false">IFERROR('0. Database'!U90/'0. Database'!U82,"")</f>
        <v/>
      </c>
    </row>
    <row r="39" customFormat="false" ht="15" hidden="false" customHeight="true" outlineLevel="0" collapsed="false">
      <c r="A39" s="22" t="s">
        <v>111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customFormat="false" ht="15" hidden="false" customHeight="false" outlineLevel="0" collapsed="false">
      <c r="A40" s="4" t="s">
        <v>96</v>
      </c>
      <c r="B40" s="4" t="s">
        <v>4</v>
      </c>
      <c r="C40" s="4" t="s">
        <v>5</v>
      </c>
      <c r="D40" s="4" t="s">
        <v>6</v>
      </c>
      <c r="E40" s="4" t="s">
        <v>7</v>
      </c>
      <c r="F40" s="4" t="s">
        <v>8</v>
      </c>
      <c r="G40" s="4" t="s">
        <v>9</v>
      </c>
      <c r="H40" s="4" t="s">
        <v>10</v>
      </c>
      <c r="I40" s="4" t="s">
        <v>11</v>
      </c>
      <c r="J40" s="4" t="s">
        <v>12</v>
      </c>
      <c r="K40" s="4" t="s">
        <v>13</v>
      </c>
      <c r="L40" s="4" t="s">
        <v>14</v>
      </c>
      <c r="M40" s="4" t="s">
        <v>15</v>
      </c>
      <c r="N40" s="4" t="s">
        <v>16</v>
      </c>
      <c r="O40" s="4" t="s">
        <v>17</v>
      </c>
      <c r="P40" s="4" t="s">
        <v>18</v>
      </c>
      <c r="Q40" s="4" t="s">
        <v>19</v>
      </c>
      <c r="R40" s="4" t="s">
        <v>20</v>
      </c>
      <c r="S40" s="4" t="s">
        <v>21</v>
      </c>
      <c r="T40" s="4" t="s">
        <v>22</v>
      </c>
    </row>
    <row r="41" customFormat="false" ht="15" hidden="false" customHeight="false" outlineLevel="0" collapsed="false">
      <c r="A41" s="23" t="s">
        <v>24</v>
      </c>
      <c r="B41" s="24" t="n">
        <f aca="false">'0. Database'!C18</f>
        <v>5360</v>
      </c>
      <c r="C41" s="24" t="n">
        <f aca="false">'0. Database'!D18</f>
        <v>7316</v>
      </c>
      <c r="D41" s="24" t="n">
        <f aca="false">'0. Database'!E18</f>
        <v>14443</v>
      </c>
      <c r="E41" s="24" t="n">
        <f aca="false">'0. Database'!F18</f>
        <v>15969</v>
      </c>
      <c r="F41" s="24" t="n">
        <f aca="false">'0. Database'!G18</f>
        <v>11788</v>
      </c>
      <c r="G41" s="24" t="n">
        <f aca="false">'0. Database'!H18</f>
        <v>10721</v>
      </c>
      <c r="H41" s="24" t="n">
        <f aca="false">'0. Database'!I18</f>
        <v>19543</v>
      </c>
      <c r="I41" s="24" t="n">
        <f aca="false">'0. Database'!J18</f>
        <v>22968</v>
      </c>
      <c r="J41" s="24" t="n">
        <f aca="false">'0. Database'!K18</f>
        <v>27385</v>
      </c>
      <c r="K41" s="24" t="n">
        <f aca="false">'0. Database'!L18</f>
        <v>32696</v>
      </c>
      <c r="L41" s="24" t="n">
        <f aca="false">'0. Database'!M18</f>
        <v>22245</v>
      </c>
      <c r="M41" s="24" t="n">
        <f aca="false">'0. Database'!N18</f>
        <v>17254</v>
      </c>
      <c r="N41" s="24" t="n">
        <f aca="false">'0. Database'!O18</f>
        <v>18420</v>
      </c>
      <c r="O41" s="24" t="n">
        <f aca="false">'0. Database'!P18</f>
        <v>22499.7</v>
      </c>
      <c r="P41" s="24" t="n">
        <f aca="false">'0. Database'!Q18</f>
        <v>19070.28</v>
      </c>
      <c r="Q41" s="24" t="n">
        <f aca="false">'0. Database'!R18</f>
        <v>19500.41</v>
      </c>
      <c r="R41" s="24" t="n">
        <f aca="false">'0. Database'!S18</f>
        <v>20126.95</v>
      </c>
      <c r="S41" s="24" t="n">
        <f aca="false">'0. Database'!T18</f>
        <v>21047.23</v>
      </c>
      <c r="T41" s="24" t="n">
        <f aca="false">'0. Database'!U18</f>
        <v>0</v>
      </c>
    </row>
    <row r="42" customFormat="false" ht="15" hidden="false" customHeight="false" outlineLevel="0" collapsed="false">
      <c r="A42" s="23" t="s">
        <v>43</v>
      </c>
      <c r="B42" s="24" t="n">
        <f aca="false">'0. Database'!C35</f>
        <v>0</v>
      </c>
      <c r="C42" s="24" t="n">
        <f aca="false">'0. Database'!D35</f>
        <v>0</v>
      </c>
      <c r="D42" s="24" t="n">
        <f aca="false">'0. Database'!E35</f>
        <v>0</v>
      </c>
      <c r="E42" s="24" t="n">
        <f aca="false">'0. Database'!F35</f>
        <v>0</v>
      </c>
      <c r="F42" s="24" t="n">
        <f aca="false">'0. Database'!G35</f>
        <v>0</v>
      </c>
      <c r="G42" s="24" t="n">
        <f aca="false">'0. Database'!H35</f>
        <v>0</v>
      </c>
      <c r="H42" s="24" t="n">
        <f aca="false">'0. Database'!I35</f>
        <v>0</v>
      </c>
      <c r="I42" s="24" t="n">
        <f aca="false">'0. Database'!J35</f>
        <v>0</v>
      </c>
      <c r="J42" s="24" t="n">
        <f aca="false">'0. Database'!K35</f>
        <v>0</v>
      </c>
      <c r="K42" s="24" t="n">
        <f aca="false">'0. Database'!L35</f>
        <v>6000</v>
      </c>
      <c r="L42" s="24" t="n">
        <f aca="false">'0. Database'!M35</f>
        <v>0</v>
      </c>
      <c r="M42" s="24" t="n">
        <f aca="false">'0. Database'!N35</f>
        <v>0</v>
      </c>
      <c r="N42" s="24" t="n">
        <f aca="false">'0. Database'!O35</f>
        <v>0</v>
      </c>
      <c r="O42" s="24" t="n">
        <f aca="false">'0. Database'!P35</f>
        <v>0</v>
      </c>
      <c r="P42" s="24" t="n">
        <f aca="false">'0. Database'!Q35</f>
        <v>0</v>
      </c>
      <c r="Q42" s="24" t="n">
        <f aca="false">'0. Database'!R35</f>
        <v>0</v>
      </c>
      <c r="R42" s="24" t="n">
        <f aca="false">'0. Database'!S35</f>
        <v>0</v>
      </c>
      <c r="S42" s="24" t="n">
        <f aca="false">'0. Database'!T35</f>
        <v>0</v>
      </c>
      <c r="T42" s="24" t="n">
        <f aca="false">'0. Database'!U35</f>
        <v>0</v>
      </c>
    </row>
    <row r="43" customFormat="false" ht="15" hidden="false" customHeight="false" outlineLevel="0" collapsed="false">
      <c r="A43" s="23" t="s">
        <v>49</v>
      </c>
      <c r="B43" s="24" t="n">
        <f aca="false">'0. Database'!C52</f>
        <v>0</v>
      </c>
      <c r="C43" s="24" t="n">
        <f aca="false">'0. Database'!D52</f>
        <v>0</v>
      </c>
      <c r="D43" s="24" t="n">
        <f aca="false">'0. Database'!E52</f>
        <v>1827</v>
      </c>
      <c r="E43" s="24" t="n">
        <f aca="false">'0. Database'!F52</f>
        <v>3693</v>
      </c>
      <c r="F43" s="24" t="n">
        <f aca="false">'0. Database'!G52</f>
        <v>4846</v>
      </c>
      <c r="G43" s="24" t="n">
        <f aca="false">'0. Database'!H52</f>
        <v>9075</v>
      </c>
      <c r="H43" s="24" t="n">
        <f aca="false">'0. Database'!I52</f>
        <v>18396</v>
      </c>
      <c r="I43" s="24" t="n">
        <f aca="false">'0. Database'!J52</f>
        <v>31149</v>
      </c>
      <c r="J43" s="24" t="n">
        <f aca="false">'0. Database'!K52</f>
        <v>50274</v>
      </c>
      <c r="K43" s="24" t="n">
        <f aca="false">'0. Database'!L52</f>
        <v>59296</v>
      </c>
      <c r="L43" s="24" t="n">
        <f aca="false">'0. Database'!M52</f>
        <v>61504</v>
      </c>
      <c r="M43" s="24" t="n">
        <f aca="false">'0. Database'!N52</f>
        <v>62222</v>
      </c>
      <c r="N43" s="24" t="n">
        <f aca="false">'0. Database'!O52</f>
        <v>45709</v>
      </c>
      <c r="O43" s="24" t="n">
        <f aca="false">'0. Database'!P52</f>
        <v>0</v>
      </c>
      <c r="P43" s="24" t="n">
        <f aca="false">'0. Database'!Q52</f>
        <v>20000</v>
      </c>
      <c r="Q43" s="24" t="n">
        <f aca="false">'0. Database'!R52</f>
        <v>20000</v>
      </c>
      <c r="R43" s="24" t="n">
        <f aca="false">'0. Database'!S52</f>
        <v>20000</v>
      </c>
      <c r="S43" s="24" t="n">
        <f aca="false">'0. Database'!T52</f>
        <v>15000</v>
      </c>
      <c r="T43" s="24" t="n">
        <f aca="false">'0. Database'!U52</f>
        <v>0</v>
      </c>
    </row>
    <row r="44" customFormat="false" ht="15" hidden="false" customHeight="false" outlineLevel="0" collapsed="false">
      <c r="A44" s="23" t="s">
        <v>57</v>
      </c>
      <c r="B44" s="24" t="n">
        <f aca="false">'0. Database'!C71</f>
        <v>0</v>
      </c>
      <c r="C44" s="24" t="n">
        <f aca="false">'0. Database'!D71</f>
        <v>0</v>
      </c>
      <c r="D44" s="24" t="n">
        <f aca="false">'0. Database'!E71</f>
        <v>0</v>
      </c>
      <c r="E44" s="24" t="n">
        <f aca="false">'0. Database'!F71</f>
        <v>0</v>
      </c>
      <c r="F44" s="24" t="n">
        <f aca="false">'0. Database'!G71</f>
        <v>1976</v>
      </c>
      <c r="G44" s="24" t="n">
        <f aca="false">'0. Database'!H71</f>
        <v>12879</v>
      </c>
      <c r="H44" s="24" t="n">
        <f aca="false">'0. Database'!I71</f>
        <v>4201</v>
      </c>
      <c r="I44" s="24" t="n">
        <f aca="false">'0. Database'!J71</f>
        <v>6272</v>
      </c>
      <c r="J44" s="24" t="n">
        <f aca="false">'0. Database'!K71</f>
        <v>44538</v>
      </c>
      <c r="K44" s="24" t="n">
        <f aca="false">'0. Database'!L71</f>
        <v>27956</v>
      </c>
      <c r="L44" s="24" t="n">
        <f aca="false">'0. Database'!M71</f>
        <v>19775</v>
      </c>
      <c r="M44" s="24" t="n">
        <f aca="false">'0. Database'!N71</f>
        <v>30125</v>
      </c>
      <c r="N44" s="24" t="n">
        <f aca="false">'0. Database'!O71</f>
        <v>26248</v>
      </c>
      <c r="O44" s="24" t="n">
        <f aca="false">'0. Database'!P71</f>
        <v>0</v>
      </c>
      <c r="P44" s="24" t="n">
        <f aca="false">'0. Database'!Q71</f>
        <v>6000</v>
      </c>
      <c r="Q44" s="24" t="n">
        <f aca="false">'0. Database'!R71</f>
        <v>6000</v>
      </c>
      <c r="R44" s="24" t="n">
        <f aca="false">'0. Database'!S71</f>
        <v>6000</v>
      </c>
      <c r="S44" s="24" t="n">
        <f aca="false">'0. Database'!T71</f>
        <v>6000</v>
      </c>
      <c r="T44" s="24" t="n">
        <f aca="false">'0. Database'!U71</f>
        <v>1003</v>
      </c>
    </row>
    <row r="45" customFormat="false" ht="15" hidden="false" customHeight="false" outlineLevel="0" collapsed="false">
      <c r="A45" s="23" t="s">
        <v>64</v>
      </c>
      <c r="B45" s="24" t="n">
        <f aca="false">'0. Database'!C91</f>
        <v>11021</v>
      </c>
      <c r="C45" s="24" t="n">
        <f aca="false">'0. Database'!D91</f>
        <v>9813</v>
      </c>
      <c r="D45" s="24" t="n">
        <f aca="false">'0. Database'!E91</f>
        <v>8087</v>
      </c>
      <c r="E45" s="24" t="n">
        <f aca="false">'0. Database'!F91</f>
        <v>10440</v>
      </c>
      <c r="F45" s="24" t="n">
        <f aca="false">'0. Database'!G91</f>
        <v>3561</v>
      </c>
      <c r="G45" s="24" t="n">
        <f aca="false">'0. Database'!H91</f>
        <v>11347</v>
      </c>
      <c r="H45" s="24" t="n">
        <f aca="false">'0. Database'!I91</f>
        <v>36140</v>
      </c>
      <c r="I45" s="24" t="n">
        <f aca="false">'0. Database'!J91</f>
        <v>19240</v>
      </c>
      <c r="J45" s="24" t="n">
        <f aca="false">'0. Database'!K91</f>
        <v>20934</v>
      </c>
      <c r="K45" s="24" t="n">
        <f aca="false">'0. Database'!L91</f>
        <v>16248</v>
      </c>
      <c r="L45" s="24" t="n">
        <f aca="false">'0. Database'!M91</f>
        <v>1300</v>
      </c>
      <c r="M45" s="24" t="n">
        <f aca="false">'0. Database'!N91</f>
        <v>1202</v>
      </c>
      <c r="N45" s="24" t="n">
        <f aca="false">'0. Database'!O91</f>
        <v>600</v>
      </c>
      <c r="O45" s="24" t="n">
        <f aca="false">'0. Database'!P91</f>
        <v>95</v>
      </c>
      <c r="P45" s="24" t="n">
        <f aca="false">'0. Database'!Q91</f>
        <v>0</v>
      </c>
      <c r="Q45" s="24" t="n">
        <f aca="false">'0. Database'!R91</f>
        <v>0</v>
      </c>
      <c r="R45" s="24" t="n">
        <f aca="false">'0. Database'!S91</f>
        <v>0</v>
      </c>
      <c r="S45" s="24" t="n">
        <f aca="false">'0. Database'!T91</f>
        <v>0</v>
      </c>
      <c r="T45" s="24" t="n">
        <f aca="false">'0. Database'!U91</f>
        <v>0</v>
      </c>
    </row>
    <row r="48" customFormat="false" ht="15" hidden="false" customHeight="true" outlineLevel="0" collapsed="false">
      <c r="A48" s="22" t="s">
        <v>112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customFormat="false" ht="15" hidden="false" customHeight="false" outlineLevel="0" collapsed="false">
      <c r="A49" s="4" t="s">
        <v>96</v>
      </c>
      <c r="B49" s="4" t="s">
        <v>4</v>
      </c>
      <c r="C49" s="4" t="s">
        <v>5</v>
      </c>
      <c r="D49" s="4" t="s">
        <v>6</v>
      </c>
      <c r="E49" s="4" t="s">
        <v>7</v>
      </c>
      <c r="F49" s="4" t="s">
        <v>8</v>
      </c>
      <c r="G49" s="4" t="s">
        <v>9</v>
      </c>
      <c r="H49" s="4" t="s">
        <v>10</v>
      </c>
      <c r="I49" s="4" t="s">
        <v>11</v>
      </c>
      <c r="J49" s="4" t="s">
        <v>12</v>
      </c>
      <c r="K49" s="4" t="s">
        <v>13</v>
      </c>
      <c r="L49" s="4" t="s">
        <v>14</v>
      </c>
      <c r="M49" s="4" t="s">
        <v>15</v>
      </c>
      <c r="N49" s="4" t="s">
        <v>16</v>
      </c>
      <c r="O49" s="4" t="s">
        <v>17</v>
      </c>
      <c r="P49" s="4" t="s">
        <v>18</v>
      </c>
      <c r="Q49" s="4" t="s">
        <v>19</v>
      </c>
      <c r="R49" s="4" t="s">
        <v>20</v>
      </c>
      <c r="S49" s="4" t="s">
        <v>21</v>
      </c>
      <c r="T49" s="4" t="s">
        <v>22</v>
      </c>
    </row>
    <row r="50" customFormat="false" ht="15" hidden="false" customHeight="false" outlineLevel="0" collapsed="false">
      <c r="A50" s="23" t="s">
        <v>24</v>
      </c>
      <c r="B50" s="26" t="n">
        <f aca="false">IFERROR('0. Database'!C13/'0. Database'!C16,"")</f>
        <v>0.147643325356363</v>
      </c>
      <c r="C50" s="26" t="n">
        <f aca="false">IFERROR('0. Database'!D13/'0. Database'!D16,"")</f>
        <v>0.170177779156712</v>
      </c>
      <c r="D50" s="26" t="n">
        <f aca="false">IFERROR('0. Database'!E13/'0. Database'!E16,"")</f>
        <v>0.204401650618982</v>
      </c>
      <c r="E50" s="26" t="n">
        <f aca="false">IFERROR('0. Database'!F13/'0. Database'!F16,"")</f>
        <v>0.268027006751688</v>
      </c>
      <c r="F50" s="26" t="n">
        <f aca="false">IFERROR('0. Database'!G13/'0. Database'!G16,"")</f>
        <v>0.2581820943124</v>
      </c>
      <c r="G50" s="26" t="n">
        <f aca="false">IFERROR('0. Database'!H13/'0. Database'!H16,"")</f>
        <v>0.309907939112205</v>
      </c>
      <c r="H50" s="26" t="n">
        <f aca="false">IFERROR('0. Database'!I13/'0. Database'!I16,"")</f>
        <v>0.323847848998754</v>
      </c>
      <c r="I50" s="26" t="n">
        <f aca="false">IFERROR('0. Database'!J13/'0. Database'!J16,"")</f>
        <v>0.313143798928719</v>
      </c>
      <c r="J50" s="26" t="n">
        <f aca="false">IFERROR('0. Database'!K13/'0. Database'!K16,"")</f>
        <v>0.315350534271566</v>
      </c>
      <c r="K50" s="26" t="n">
        <f aca="false">IFERROR('0. Database'!L13/'0. Database'!L16,"")</f>
        <v>0.327960914247206</v>
      </c>
      <c r="L50" s="26" t="n">
        <f aca="false">IFERROR('0. Database'!M13/'0. Database'!M16,"")</f>
        <v>0.364230092941472</v>
      </c>
      <c r="M50" s="26" t="n">
        <f aca="false">IFERROR('0. Database'!N13/'0. Database'!N16,"")</f>
        <v>0.469851874346256</v>
      </c>
      <c r="N50" s="26" t="n">
        <f aca="false">IFERROR('0. Database'!O13/'0. Database'!O16,"")</f>
        <v>0.647757817893392</v>
      </c>
      <c r="O50" s="26" t="n">
        <f aca="false">IFERROR('0. Database'!P13/'0. Database'!P16,"")</f>
        <v>0.835660064741738</v>
      </c>
      <c r="P50" s="26" t="n">
        <f aca="false">IFERROR('0. Database'!Q13/'0. Database'!Q16,"")</f>
        <v>1.05672467009379</v>
      </c>
      <c r="Q50" s="26" t="n">
        <f aca="false">IFERROR('0. Database'!R13/'0. Database'!R16,"")</f>
        <v>0.973486808838704</v>
      </c>
      <c r="R50" s="26" t="n">
        <f aca="false">IFERROR('0. Database'!S13/'0. Database'!S16,"")</f>
        <v>0.83467884493543</v>
      </c>
      <c r="S50" s="26" t="n">
        <f aca="false">IFERROR('0. Database'!T13/'0. Database'!T16,"")</f>
        <v>0.694599940850382</v>
      </c>
      <c r="T50" s="26" t="str">
        <f aca="false">IFERROR('0. Database'!U13/'0. Database'!U16,"")</f>
        <v/>
      </c>
    </row>
    <row r="51" customFormat="false" ht="15" hidden="false" customHeight="false" outlineLevel="0" collapsed="false">
      <c r="A51" s="23" t="s">
        <v>43</v>
      </c>
      <c r="B51" s="26" t="n">
        <f aca="false">IFERROR('0. Database'!C32/'0. Database'!C33,"")</f>
        <v>0.62897332846182</v>
      </c>
      <c r="C51" s="26" t="n">
        <f aca="false">IFERROR('0. Database'!D32/'0. Database'!D33,"")</f>
        <v>0.715058321396206</v>
      </c>
      <c r="D51" s="26" t="n">
        <f aca="false">IFERROR('0. Database'!E32/'0. Database'!E33,"")</f>
        <v>0.384896099864934</v>
      </c>
      <c r="E51" s="26" t="n">
        <f aca="false">IFERROR('0. Database'!F32/'0. Database'!F33,"")</f>
        <v>0.390017949163337</v>
      </c>
      <c r="F51" s="26" t="n">
        <f aca="false">IFERROR('0. Database'!G32/'0. Database'!G33,"")</f>
        <v>0.545567972225236</v>
      </c>
      <c r="G51" s="26" t="n">
        <f aca="false">IFERROR('0. Database'!H32/'0. Database'!H33,"")</f>
        <v>0.368506704856139</v>
      </c>
      <c r="H51" s="26" t="n">
        <f aca="false">IFERROR('0. Database'!I32/'0. Database'!I33,"")</f>
        <v>0.329482019992211</v>
      </c>
      <c r="I51" s="26" t="n">
        <f aca="false">IFERROR('0. Database'!J32/'0. Database'!J33,"")</f>
        <v>0.53048558973117</v>
      </c>
      <c r="J51" s="26" t="n">
        <f aca="false">IFERROR('0. Database'!K32/'0. Database'!K33,"")</f>
        <v>1.19576057158892</v>
      </c>
      <c r="K51" s="26" t="n">
        <f aca="false">IFERROR('0. Database'!L32/'0. Database'!L33,"")</f>
        <v>1.24745465434634</v>
      </c>
      <c r="L51" s="26" t="n">
        <f aca="false">IFERROR('0. Database'!M32/'0. Database'!M33,"")</f>
        <v>0.566630565300308</v>
      </c>
      <c r="M51" s="26" t="n">
        <f aca="false">IFERROR('0. Database'!N32/'0. Database'!N33,"")</f>
        <v>0.67017613503974</v>
      </c>
      <c r="N51" s="26" t="n">
        <f aca="false">IFERROR('0. Database'!O32/'0. Database'!O33,"")</f>
        <v>0.919764324727268</v>
      </c>
      <c r="O51" s="26" t="n">
        <f aca="false">IFERROR('0. Database'!P32/'0. Database'!P33,"")</f>
        <v>1.10552605073327</v>
      </c>
      <c r="P51" s="26" t="n">
        <f aca="false">IFERROR('0. Database'!Q32/'0. Database'!Q33,"")</f>
        <v>1.20360571492985</v>
      </c>
      <c r="Q51" s="26" t="n">
        <f aca="false">IFERROR('0. Database'!R32/'0. Database'!R33,"")</f>
        <v>1.00773470271666</v>
      </c>
      <c r="R51" s="26" t="n">
        <f aca="false">IFERROR('0. Database'!S32/'0. Database'!S33,"")</f>
        <v>0.86878273673552</v>
      </c>
      <c r="S51" s="26" t="n">
        <f aca="false">IFERROR('0. Database'!T32/'0. Database'!T33,"")</f>
        <v>0.779701033017295</v>
      </c>
      <c r="T51" s="26" t="n">
        <f aca="false">IFERROR('0. Database'!U32/'0. Database'!U33,"")</f>
        <v>0.726657266741962</v>
      </c>
    </row>
    <row r="52" customFormat="false" ht="15" hidden="false" customHeight="false" outlineLevel="0" collapsed="false">
      <c r="A52" s="23" t="s">
        <v>49</v>
      </c>
      <c r="B52" s="26" t="n">
        <f aca="false">IFERROR('0. Database'!C49/'0. Database'!C50,"")</f>
        <v>0.395931984502798</v>
      </c>
      <c r="C52" s="26" t="n">
        <f aca="false">IFERROR('0. Database'!D49/'0. Database'!D50,"")</f>
        <v>0.492052801724138</v>
      </c>
      <c r="D52" s="26" t="n">
        <f aca="false">IFERROR('0. Database'!E49/'0. Database'!E50,"")</f>
        <v>0.383870842851059</v>
      </c>
      <c r="E52" s="26" t="n">
        <f aca="false">IFERROR('0. Database'!F49/'0. Database'!F50,"")</f>
        <v>0.282578532578533</v>
      </c>
      <c r="F52" s="26" t="n">
        <f aca="false">IFERROR('0. Database'!G49/'0. Database'!G50,"")</f>
        <v>0.355450109190909</v>
      </c>
      <c r="G52" s="26" t="n">
        <f aca="false">IFERROR('0. Database'!H49/'0. Database'!H50,"")</f>
        <v>0.524045777657335</v>
      </c>
      <c r="H52" s="26" t="n">
        <f aca="false">IFERROR('0. Database'!I49/'0. Database'!I50,"")</f>
        <v>0.431914893617021</v>
      </c>
      <c r="I52" s="26" t="n">
        <f aca="false">IFERROR('0. Database'!J49/'0. Database'!J50,"")</f>
        <v>0.342131932927953</v>
      </c>
      <c r="J52" s="26" t="n">
        <f aca="false">IFERROR('0. Database'!K49/'0. Database'!K50,"")</f>
        <v>0.268843014882381</v>
      </c>
      <c r="K52" s="26" t="n">
        <f aca="false">IFERROR('0. Database'!L49/'0. Database'!L50,"")</f>
        <v>0.344117164872397</v>
      </c>
      <c r="L52" s="26" t="n">
        <f aca="false">IFERROR('0. Database'!M49/'0. Database'!M50,"")</f>
        <v>0.316975605920626</v>
      </c>
      <c r="M52" s="26" t="n">
        <f aca="false">IFERROR('0. Database'!N49/'0. Database'!N50,"")</f>
        <v>0.419277089202627</v>
      </c>
      <c r="N52" s="26" t="n">
        <f aca="false">IFERROR('0. Database'!O49/'0. Database'!O50,"")</f>
        <v>0.55518993643489</v>
      </c>
      <c r="O52" s="26" t="n">
        <f aca="false">IFERROR('0. Database'!P49/'0. Database'!P50,"")</f>
        <v>0.873806492492151</v>
      </c>
      <c r="P52" s="26" t="n">
        <f aca="false">IFERROR('0. Database'!Q49/'0. Database'!Q50,"")</f>
        <v>0.918475193982593</v>
      </c>
      <c r="Q52" s="26" t="n">
        <f aca="false">IFERROR('0. Database'!R49/'0. Database'!R50,"")</f>
        <v>0.808232897135465</v>
      </c>
      <c r="R52" s="26" t="n">
        <f aca="false">IFERROR('0. Database'!S49/'0. Database'!S50,"")</f>
        <v>0.706046425824751</v>
      </c>
      <c r="S52" s="26" t="n">
        <f aca="false">IFERROR('0. Database'!T49/'0. Database'!T50,"")</f>
        <v>0.64070266641283</v>
      </c>
      <c r="T52" s="26" t="n">
        <f aca="false">IFERROR('0. Database'!U49/'0. Database'!U50,"")</f>
        <v>0.592660330515371</v>
      </c>
    </row>
    <row r="53" customFormat="false" ht="15" hidden="false" customHeight="false" outlineLevel="0" collapsed="false">
      <c r="A53" s="23" t="s">
        <v>57</v>
      </c>
      <c r="B53" s="26" t="n">
        <f aca="false">IFERROR('0. Database'!C68/'0. Database'!C69,"")</f>
        <v>0.322595926101374</v>
      </c>
      <c r="C53" s="26" t="n">
        <f aca="false">IFERROR('0. Database'!D68/'0. Database'!D69,"")</f>
        <v>0.332437633901013</v>
      </c>
      <c r="D53" s="26" t="n">
        <f aca="false">IFERROR('0. Database'!E68/'0. Database'!E69,"")</f>
        <v>0.293133495991635</v>
      </c>
      <c r="E53" s="26" t="n">
        <f aca="false">IFERROR('0. Database'!F68/'0. Database'!F69,"")</f>
        <v>0.279621443247618</v>
      </c>
      <c r="F53" s="26" t="n">
        <f aca="false">IFERROR('0. Database'!G68/'0. Database'!G69,"")</f>
        <v>0.277998017839445</v>
      </c>
      <c r="G53" s="26" t="n">
        <f aca="false">IFERROR('0. Database'!H68/'0. Database'!H69,"")</f>
        <v>0.476498858175125</v>
      </c>
      <c r="H53" s="26" t="n">
        <f aca="false">IFERROR('0. Database'!I68/'0. Database'!I69,"")</f>
        <v>0.415889845094664</v>
      </c>
      <c r="I53" s="26" t="n">
        <f aca="false">IFERROR('0. Database'!J68/'0. Database'!J69,"")</f>
        <v>0.390094717010349</v>
      </c>
      <c r="J53" s="26" t="n">
        <f aca="false">IFERROR('0. Database'!K68/'0. Database'!K69,"")</f>
        <v>0.321879929962034</v>
      </c>
      <c r="K53" s="26" t="n">
        <f aca="false">IFERROR('0. Database'!L68/'0. Database'!L69,"")</f>
        <v>0.617850421000495</v>
      </c>
      <c r="L53" s="26" t="n">
        <f aca="false">IFERROR('0. Database'!M68/'0. Database'!M69,"")</f>
        <v>0.380310210510033</v>
      </c>
      <c r="M53" s="26" t="n">
        <f aca="false">IFERROR('0. Database'!N68/'0. Database'!N69,"")</f>
        <v>0.407936229852838</v>
      </c>
      <c r="N53" s="26" t="n">
        <f aca="false">IFERROR('0. Database'!O68/'0. Database'!O69,"")</f>
        <v>0.601822107081175</v>
      </c>
      <c r="O53" s="26" t="n">
        <f aca="false">IFERROR('0. Database'!P68/'0. Database'!P69,"")</f>
        <v>0.752195442967637</v>
      </c>
      <c r="P53" s="26" t="n">
        <f aca="false">IFERROR('0. Database'!Q68/'0. Database'!Q69,"")</f>
        <v>0.804037166666602</v>
      </c>
      <c r="Q53" s="26" t="n">
        <f aca="false">IFERROR('0. Database'!R68/'0. Database'!R69,"")</f>
        <v>0.763001695251729</v>
      </c>
      <c r="R53" s="26" t="n">
        <f aca="false">IFERROR('0. Database'!S68/'0. Database'!S69,"")</f>
        <v>0.705107212855694</v>
      </c>
      <c r="S53" s="26" t="n">
        <f aca="false">IFERROR('0. Database'!T68/'0. Database'!T69,"")</f>
        <v>0.663130685781995</v>
      </c>
      <c r="T53" s="26" t="n">
        <f aca="false">IFERROR('0. Database'!U68/'0. Database'!U69,"")</f>
        <v>0.648538666033265</v>
      </c>
    </row>
    <row r="54" customFormat="false" ht="15" hidden="false" customHeight="false" outlineLevel="0" collapsed="false">
      <c r="A54" s="23" t="s">
        <v>64</v>
      </c>
      <c r="B54" s="26" t="n">
        <f aca="false">IFERROR('0. Database'!C88/'0. Database'!C89,"")</f>
        <v>0.0456942003514939</v>
      </c>
      <c r="C54" s="26" t="n">
        <f aca="false">IFERROR('0. Database'!D88/'0. Database'!D89,"")</f>
        <v>0.0388713893170699</v>
      </c>
      <c r="D54" s="26" t="n">
        <f aca="false">IFERROR('0. Database'!E88/'0. Database'!E89,"")</f>
        <v>0.0970284598214286</v>
      </c>
      <c r="E54" s="26" t="n">
        <f aca="false">IFERROR('0. Database'!F88/'0. Database'!F89,"")</f>
        <v>0.0876843657817109</v>
      </c>
      <c r="F54" s="26" t="n">
        <f aca="false">IFERROR('0. Database'!G88/'0. Database'!G89,"")</f>
        <v>0.143079646017699</v>
      </c>
      <c r="G54" s="26" t="n">
        <f aca="false">IFERROR('0. Database'!H88/'0. Database'!H89,"")</f>
        <v>0.112829845313922</v>
      </c>
      <c r="H54" s="26" t="n">
        <f aca="false">IFERROR('0. Database'!I88/'0. Database'!I89,"")</f>
        <v>0.114081506425675</v>
      </c>
      <c r="I54" s="26" t="n">
        <f aca="false">IFERROR('0. Database'!J88/'0. Database'!J89,"")</f>
        <v>0.119034934165462</v>
      </c>
      <c r="J54" s="26" t="n">
        <f aca="false">IFERROR('0. Database'!K88/'0. Database'!K89,"")</f>
        <v>0.134378147029204</v>
      </c>
      <c r="K54" s="26" t="n">
        <f aca="false">IFERROR('0. Database'!L88/'0. Database'!L89,"")</f>
        <v>0.472851153039832</v>
      </c>
      <c r="L54" s="26" t="n">
        <f aca="false">IFERROR('0. Database'!M88/'0. Database'!M89,"")</f>
        <v>0.506524525224281</v>
      </c>
      <c r="M54" s="26" t="n">
        <f aca="false">IFERROR('0. Database'!N88/'0. Database'!N89,"")</f>
        <v>0.367696674342634</v>
      </c>
      <c r="N54" s="26" t="n">
        <f aca="false">IFERROR('0. Database'!O88/'0. Database'!O89,"")</f>
        <v>1.0189232025359</v>
      </c>
      <c r="O54" s="26" t="n">
        <f aca="false">IFERROR('0. Database'!P88/'0. Database'!P89,"")</f>
        <v>2.03801129504969</v>
      </c>
      <c r="P54" s="26" t="n">
        <f aca="false">IFERROR('0. Database'!Q88/'0. Database'!Q89,"")</f>
        <v>1.54748091521494</v>
      </c>
      <c r="Q54" s="26" t="n">
        <f aca="false">IFERROR('0. Database'!R88/'0. Database'!R89,"")</f>
        <v>1.39368399425926</v>
      </c>
      <c r="R54" s="26" t="n">
        <f aca="false">IFERROR('0. Database'!S88/'0. Database'!S89,"")</f>
        <v>1.21824464244996</v>
      </c>
      <c r="S54" s="26" t="n">
        <f aca="false">IFERROR('0. Database'!T88/'0. Database'!T89,"")</f>
        <v>0.782210890903125</v>
      </c>
      <c r="T54" s="26" t="str">
        <f aca="false">IFERROR('0. Database'!U88/'0. Database'!U89,"")</f>
        <v/>
      </c>
    </row>
  </sheetData>
  <mergeCells count="7">
    <mergeCell ref="A1:T1"/>
    <mergeCell ref="A3:T3"/>
    <mergeCell ref="A12:T12"/>
    <mergeCell ref="A21:T21"/>
    <mergeCell ref="A30:T30"/>
    <mergeCell ref="A39:T39"/>
    <mergeCell ref="A48:T48"/>
  </mergeCells>
  <conditionalFormatting sqref="B23:T27">
    <cfRule type="colorScale" priority="2">
      <colorScale>
        <cfvo type="num" val="-0.2"/>
        <cfvo type="num" val="0.1"/>
        <cfvo type="num" val="0.3"/>
        <color rgb="FFF8696B"/>
        <color rgb="FFFFEB84"/>
        <color rgb="FF63BE7B"/>
      </colorScale>
    </cfRule>
  </conditionalFormatting>
  <conditionalFormatting sqref="B32:T36">
    <cfRule type="colorScale" priority="3">
      <colorScale>
        <cfvo type="num" val="-0.2"/>
        <cfvo type="num" val="0.1"/>
        <cfvo type="num" val="0.3"/>
        <color rgb="FFF8696B"/>
        <color rgb="FFFFEB84"/>
        <color rgb="FF63BE7B"/>
      </colorScale>
    </cfRule>
  </conditionalFormatting>
  <conditionalFormatting sqref="B50:T54">
    <cfRule type="colorScale" priority="4">
      <colorScale>
        <cfvo type="num" val="0.05"/>
        <cfvo type="num" val="0.2"/>
        <cfvo type="num" val="0.5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1" min="2" style="0" width="10"/>
  </cols>
  <sheetData>
    <row r="1" customFormat="false" ht="27.75" hidden="false" customHeight="true" outlineLevel="0" collapsed="false">
      <c r="A1" s="21" t="s">
        <v>113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3" customFormat="false" ht="15" hidden="false" customHeight="true" outlineLevel="0" collapsed="false">
      <c r="A3" s="22" t="s">
        <v>114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customFormat="false" ht="15" hidden="false" customHeight="false" outlineLevel="0" collapsed="false">
      <c r="A4" s="4" t="s">
        <v>96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</row>
    <row r="5" customFormat="false" ht="15" hidden="false" customHeight="false" outlineLevel="0" collapsed="false">
      <c r="A5" s="23" t="s">
        <v>24</v>
      </c>
      <c r="B5" s="24" t="n">
        <f aca="false">'0. Database'!C7</f>
        <v>26764</v>
      </c>
      <c r="C5" s="24" t="n">
        <f aca="false">'0. Database'!D7</f>
        <v>27759</v>
      </c>
      <c r="D5" s="24" t="n">
        <f aca="false">'0. Database'!E7</f>
        <v>18161</v>
      </c>
      <c r="E5" s="24" t="n">
        <f aca="false">'0. Database'!F7</f>
        <v>20182</v>
      </c>
      <c r="F5" s="24" t="n">
        <f aca="false">'0. Database'!G7</f>
        <v>29025</v>
      </c>
      <c r="G5" s="24" t="n">
        <f aca="false">'0. Database'!H7</f>
        <v>35058</v>
      </c>
      <c r="H5" s="24" t="n">
        <f aca="false">'0. Database'!I7</f>
        <v>42959</v>
      </c>
      <c r="I5" s="24" t="n">
        <f aca="false">'0. Database'!J7</f>
        <v>52959</v>
      </c>
      <c r="J5" s="24" t="n">
        <f aca="false">'0. Database'!K7</f>
        <v>69916</v>
      </c>
      <c r="K5" s="24" t="n">
        <f aca="false">'0. Database'!L7</f>
        <v>83383</v>
      </c>
      <c r="L5" s="24" t="n">
        <f aca="false">'0. Database'!M7</f>
        <v>88523</v>
      </c>
      <c r="M5" s="24" t="n">
        <f aca="false">'0. Database'!N7</f>
        <v>109433</v>
      </c>
      <c r="N5" s="24" t="n">
        <f aca="false">'0. Database'!O7</f>
        <v>128528</v>
      </c>
      <c r="O5" s="24" t="n">
        <f aca="false">'0. Database'!P7</f>
        <v>153454.1</v>
      </c>
      <c r="P5" s="24" t="n">
        <f aca="false">'0. Database'!Q7</f>
        <v>179274.53</v>
      </c>
      <c r="Q5" s="24" t="n">
        <f aca="false">'0. Database'!R7</f>
        <v>217551.82</v>
      </c>
      <c r="R5" s="24" t="n">
        <f aca="false">'0. Database'!S7</f>
        <v>266239.28</v>
      </c>
      <c r="S5" s="24" t="n">
        <f aca="false">'0. Database'!T7</f>
        <v>318436.19</v>
      </c>
      <c r="T5" s="24" t="n">
        <f aca="false">'0. Database'!U7</f>
        <v>0</v>
      </c>
    </row>
    <row r="6" customFormat="false" ht="15" hidden="false" customHeight="false" outlineLevel="0" collapsed="false">
      <c r="A6" s="23" t="s">
        <v>43</v>
      </c>
      <c r="B6" s="24" t="n">
        <f aca="false">'0. Database'!C26</f>
        <v>745</v>
      </c>
      <c r="C6" s="24" t="n">
        <f aca="false">'0. Database'!D26</f>
        <v>178.4</v>
      </c>
      <c r="D6" s="24" t="n">
        <f aca="false">'0. Database'!E26</f>
        <v>2232.6</v>
      </c>
      <c r="E6" s="24" t="n">
        <f aca="false">'0. Database'!F26</f>
        <v>4186</v>
      </c>
      <c r="F6" s="24" t="n">
        <f aca="false">'0. Database'!G26</f>
        <v>4107</v>
      </c>
      <c r="G6" s="24" t="n">
        <f aca="false">'0. Database'!H26</f>
        <v>12420</v>
      </c>
      <c r="H6" s="24" t="n">
        <f aca="false">'0. Database'!I26</f>
        <v>14540</v>
      </c>
      <c r="I6" s="24" t="n">
        <f aca="false">'0. Database'!J26</f>
        <v>22899</v>
      </c>
      <c r="J6" s="24" t="n">
        <f aca="false">'0. Database'!K26</f>
        <v>24879</v>
      </c>
      <c r="K6" s="24" t="n">
        <f aca="false">'0. Database'!L26</f>
        <v>12248</v>
      </c>
      <c r="L6" s="24" t="n">
        <f aca="false">'0. Database'!M26</f>
        <v>36852</v>
      </c>
      <c r="M6" s="24" t="n">
        <f aca="false">'0. Database'!N26</f>
        <v>68593</v>
      </c>
      <c r="N6" s="24" t="n">
        <f aca="false">'0. Database'!O26</f>
        <v>79975</v>
      </c>
      <c r="O6" s="24" t="n">
        <f aca="false">'0. Database'!P26</f>
        <v>109001.86</v>
      </c>
      <c r="P6" s="24" t="n">
        <f aca="false">'0. Database'!Q26</f>
        <v>146127.4</v>
      </c>
      <c r="Q6" s="24" t="n">
        <f aca="false">'0. Database'!R26</f>
        <v>183469.22</v>
      </c>
      <c r="R6" s="24" t="n">
        <f aca="false">'0. Database'!S26</f>
        <v>223208.87</v>
      </c>
      <c r="S6" s="24" t="n">
        <f aca="false">'0. Database'!T26</f>
        <v>264582.39</v>
      </c>
      <c r="T6" s="24" t="n">
        <f aca="false">'0. Database'!U26</f>
        <v>305413.69</v>
      </c>
    </row>
    <row r="7" customFormat="false" ht="15" hidden="false" customHeight="false" outlineLevel="0" collapsed="false">
      <c r="A7" s="23" t="s">
        <v>49</v>
      </c>
      <c r="B7" s="24" t="n">
        <f aca="false">'0. Database'!C43</f>
        <v>15403</v>
      </c>
      <c r="C7" s="24" t="n">
        <f aca="false">'0. Database'!D43</f>
        <v>16496</v>
      </c>
      <c r="D7" s="24" t="n">
        <f aca="false">'0. Database'!E43</f>
        <v>19360</v>
      </c>
      <c r="E7" s="24" t="n">
        <f aca="false">'0. Database'!F43</f>
        <v>23716</v>
      </c>
      <c r="F7" s="24" t="n">
        <f aca="false">'0. Database'!G43</f>
        <v>26146</v>
      </c>
      <c r="G7" s="24" t="n">
        <f aca="false">'0. Database'!H43</f>
        <v>26953</v>
      </c>
      <c r="H7" s="24" t="n">
        <f aca="false">'0. Database'!I43</f>
        <v>34231</v>
      </c>
      <c r="I7" s="24" t="n">
        <f aca="false">'0. Database'!J43</f>
        <v>41224</v>
      </c>
      <c r="J7" s="24" t="n">
        <f aca="false">'0. Database'!K43</f>
        <v>78714</v>
      </c>
      <c r="K7" s="24" t="n">
        <f aca="false">'0. Database'!L43</f>
        <v>74842</v>
      </c>
      <c r="L7" s="24" t="n">
        <f aca="false">'0. Database'!M43</f>
        <v>84293</v>
      </c>
      <c r="M7" s="24" t="n">
        <f aca="false">'0. Database'!N43</f>
        <v>112390</v>
      </c>
      <c r="N7" s="24" t="n">
        <f aca="false">'0. Database'!O43</f>
        <v>129039</v>
      </c>
      <c r="O7" s="24" t="n">
        <f aca="false">'0. Database'!P43</f>
        <v>167318.21</v>
      </c>
      <c r="P7" s="24" t="n">
        <f aca="false">'0. Database'!Q43</f>
        <v>210287.33</v>
      </c>
      <c r="Q7" s="24" t="n">
        <f aca="false">'0. Database'!R43</f>
        <v>253779.42</v>
      </c>
      <c r="R7" s="24" t="n">
        <f aca="false">'0. Database'!S43</f>
        <v>298519.7</v>
      </c>
      <c r="S7" s="24" t="n">
        <f aca="false">'0. Database'!T43</f>
        <v>338347.07</v>
      </c>
      <c r="T7" s="24" t="n">
        <f aca="false">'0. Database'!U43</f>
        <v>380286.59</v>
      </c>
    </row>
    <row r="8" customFormat="false" ht="15" hidden="false" customHeight="false" outlineLevel="0" collapsed="false">
      <c r="A8" s="23" t="s">
        <v>57</v>
      </c>
      <c r="B8" s="24" t="n">
        <f aca="false">'0. Database'!C62</f>
        <v>2804</v>
      </c>
      <c r="C8" s="24" t="n">
        <f aca="false">'0. Database'!D62</f>
        <v>4994.8</v>
      </c>
      <c r="D8" s="24" t="n">
        <f aca="false">'0. Database'!E62</f>
        <v>6225</v>
      </c>
      <c r="E8" s="24" t="n">
        <f aca="false">'0. Database'!F62</f>
        <v>12427</v>
      </c>
      <c r="F8" s="24" t="n">
        <f aca="false">'0. Database'!G62</f>
        <v>20202</v>
      </c>
      <c r="G8" s="24" t="n">
        <f aca="false">'0. Database'!H62</f>
        <v>24913</v>
      </c>
      <c r="H8" s="24" t="n">
        <f aca="false">'0. Database'!I62</f>
        <v>23985.5</v>
      </c>
      <c r="I8" s="24" t="n">
        <f aca="false">'0. Database'!J62</f>
        <v>32671</v>
      </c>
      <c r="J8" s="24" t="n">
        <f aca="false">'0. Database'!K62</f>
        <v>46753</v>
      </c>
      <c r="K8" s="24" t="n">
        <f aca="false">'0. Database'!L62</f>
        <v>28945</v>
      </c>
      <c r="L8" s="24" t="n">
        <f aca="false">'0. Database'!M62</f>
        <v>46751</v>
      </c>
      <c r="M8" s="24" t="n">
        <f aca="false">'0. Database'!N62</f>
        <v>69380</v>
      </c>
      <c r="N8" s="24" t="n">
        <f aca="false">'0. Database'!O62</f>
        <v>83276</v>
      </c>
      <c r="O8" s="24" t="n">
        <f aca="false">'0. Database'!P62</f>
        <v>90489.79</v>
      </c>
      <c r="P8" s="24" t="n">
        <f aca="false">'0. Database'!Q62</f>
        <v>104437.61</v>
      </c>
      <c r="Q8" s="24" t="n">
        <f aca="false">'0. Database'!R62</f>
        <v>118413.08</v>
      </c>
      <c r="R8" s="24" t="n">
        <f aca="false">'0. Database'!S62</f>
        <v>131523.75</v>
      </c>
      <c r="S8" s="24" t="n">
        <f aca="false">'0. Database'!T62</f>
        <v>142814.67</v>
      </c>
      <c r="T8" s="24" t="n">
        <f aca="false">'0. Database'!U62</f>
        <v>157939.61</v>
      </c>
    </row>
    <row r="9" customFormat="false" ht="15" hidden="false" customHeight="false" outlineLevel="0" collapsed="false">
      <c r="A9" s="23" t="s">
        <v>64</v>
      </c>
      <c r="B9" s="24" t="n">
        <f aca="false">'0. Database'!C80</f>
        <v>14684</v>
      </c>
      <c r="C9" s="24" t="n">
        <f aca="false">'0. Database'!D80</f>
        <v>14758</v>
      </c>
      <c r="D9" s="24" t="n">
        <f aca="false">'0. Database'!E80</f>
        <v>13870</v>
      </c>
      <c r="E9" s="24" t="n">
        <f aca="false">'0. Database'!F80</f>
        <v>12604</v>
      </c>
      <c r="F9" s="24" t="n">
        <f aca="false">'0. Database'!G80</f>
        <v>12710</v>
      </c>
      <c r="G9" s="24" t="n">
        <f aca="false">'0. Database'!H80</f>
        <v>13264</v>
      </c>
      <c r="H9" s="24" t="n">
        <f aca="false">'0. Database'!I80</f>
        <v>13535</v>
      </c>
      <c r="I9" s="24" t="n">
        <f aca="false">'0. Database'!J80</f>
        <v>13897</v>
      </c>
      <c r="J9" s="24" t="n">
        <f aca="false">'0. Database'!K80</f>
        <v>15214</v>
      </c>
      <c r="K9" s="24" t="n">
        <f aca="false">'0. Database'!L80</f>
        <v>10927</v>
      </c>
      <c r="L9" s="24" t="n">
        <f aca="false">'0. Database'!M80</f>
        <v>13094</v>
      </c>
      <c r="M9" s="24" t="n">
        <f aca="false">'0. Database'!N80</f>
        <v>15354</v>
      </c>
      <c r="N9" s="24" t="n">
        <f aca="false">'0. Database'!O80</f>
        <v>17678</v>
      </c>
      <c r="O9" s="24" t="n">
        <f aca="false">'0. Database'!P80</f>
        <v>19462.44</v>
      </c>
      <c r="P9" s="24" t="n">
        <f aca="false">'0. Database'!Q80</f>
        <v>21128.19</v>
      </c>
      <c r="Q9" s="24" t="n">
        <f aca="false">'0. Database'!R80</f>
        <v>36930.86</v>
      </c>
      <c r="R9" s="24" t="n">
        <f aca="false">'0. Database'!S80</f>
        <v>53057.71</v>
      </c>
      <c r="S9" s="24" t="n">
        <f aca="false">'0. Database'!T80</f>
        <v>57952.82</v>
      </c>
      <c r="T9" s="24" t="n">
        <f aca="false">'0. Database'!U80</f>
        <v>0</v>
      </c>
    </row>
    <row r="12" customFormat="false" ht="15" hidden="false" customHeight="true" outlineLevel="0" collapsed="false">
      <c r="A12" s="22" t="s">
        <v>115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</row>
    <row r="13" customFormat="false" ht="15" hidden="false" customHeight="false" outlineLevel="0" collapsed="false">
      <c r="A13" s="4" t="s">
        <v>96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  <c r="J13" s="4" t="s">
        <v>12</v>
      </c>
      <c r="K13" s="4" t="s">
        <v>13</v>
      </c>
      <c r="L13" s="4" t="s">
        <v>14</v>
      </c>
      <c r="M13" s="4" t="s">
        <v>15</v>
      </c>
      <c r="N13" s="4" t="s">
        <v>16</v>
      </c>
      <c r="O13" s="4" t="s">
        <v>17</v>
      </c>
      <c r="P13" s="4" t="s">
        <v>18</v>
      </c>
      <c r="Q13" s="4" t="s">
        <v>19</v>
      </c>
      <c r="R13" s="4" t="s">
        <v>20</v>
      </c>
      <c r="S13" s="4" t="s">
        <v>21</v>
      </c>
      <c r="T13" s="4" t="s">
        <v>22</v>
      </c>
    </row>
    <row r="14" customFormat="false" ht="15" hidden="false" customHeight="false" outlineLevel="0" collapsed="false">
      <c r="A14" s="23" t="s">
        <v>24</v>
      </c>
      <c r="B14" s="25" t="n">
        <f aca="false">IFERROR('0. Database'!C7/'0. Database'!C6,"")</f>
        <v>0.343793754576167</v>
      </c>
      <c r="C14" s="25" t="n">
        <f aca="false">IFERROR('0. Database'!D7/'0. Database'!D6,"")</f>
        <v>0.319682609146292</v>
      </c>
      <c r="D14" s="25" t="n">
        <f aca="false">IFERROR('0. Database'!E7/'0. Database'!E6,"")</f>
        <v>0.194069245565292</v>
      </c>
      <c r="E14" s="25" t="n">
        <f aca="false">IFERROR('0. Database'!F7/'0. Database'!F6,"")</f>
        <v>0.236544772620722</v>
      </c>
      <c r="F14" s="25" t="n">
        <f aca="false">IFERROR('0. Database'!G7/'0. Database'!G6,"")</f>
        <v>0.300556067556513</v>
      </c>
      <c r="G14" s="25" t="n">
        <f aca="false">IFERROR('0. Database'!H7/'0. Database'!H6,"")</f>
        <v>0.317669445451251</v>
      </c>
      <c r="H14" s="25" t="n">
        <f aca="false">IFERROR('0. Database'!I7/'0. Database'!I6,"")</f>
        <v>0.341369802054942</v>
      </c>
      <c r="I14" s="25" t="n">
        <f aca="false">IFERROR('0. Database'!J7/'0. Database'!J6,"")</f>
        <v>0.370303814285215</v>
      </c>
      <c r="J14" s="25" t="n">
        <f aca="false">IFERROR('0. Database'!K7/'0. Database'!K6,"")</f>
        <v>0.415948788729713</v>
      </c>
      <c r="K14" s="25" t="n">
        <f aca="false">IFERROR('0. Database'!L7/'0. Database'!L6,"")</f>
        <v>0.420552781560498</v>
      </c>
      <c r="L14" s="25" t="n">
        <f aca="false">IFERROR('0. Database'!M7/'0. Database'!M6,"")</f>
        <v>0.417728806361041</v>
      </c>
      <c r="M14" s="25" t="n">
        <f aca="false">IFERROR('0. Database'!N7/'0. Database'!N6,"")</f>
        <v>0.446442995732737</v>
      </c>
      <c r="N14" s="25" t="n">
        <f aca="false">IFERROR('0. Database'!O7/'0. Database'!O6,"")</f>
        <v>0.456219562408599</v>
      </c>
      <c r="O14" s="25" t="n">
        <f aca="false">IFERROR('0. Database'!P7/'0. Database'!P6,"")</f>
        <v>0.465802538269156</v>
      </c>
      <c r="P14" s="25" t="n">
        <f aca="false">IFERROR('0. Database'!Q7/'0. Database'!Q6,"")</f>
        <v>0.463117571257584</v>
      </c>
      <c r="Q14" s="25" t="n">
        <f aca="false">IFERROR('0. Database'!R7/'0. Database'!R6,"")</f>
        <v>0.469393623381428</v>
      </c>
      <c r="R14" s="25" t="n">
        <f aca="false">IFERROR('0. Database'!S7/'0. Database'!S6,"")</f>
        <v>0.480824089640994</v>
      </c>
      <c r="S14" s="25" t="n">
        <f aca="false">IFERROR('0. Database'!T7/'0. Database'!T6,"")</f>
        <v>0.487820996536282</v>
      </c>
      <c r="T14" s="25" t="str">
        <f aca="false">IFERROR('0. Database'!U7/'0. Database'!U6,"")</f>
        <v/>
      </c>
    </row>
    <row r="15" customFormat="false" ht="15" hidden="false" customHeight="false" outlineLevel="0" collapsed="false">
      <c r="A15" s="23" t="s">
        <v>43</v>
      </c>
      <c r="B15" s="25" t="n">
        <f aca="false">IFERROR('0. Database'!C26/'0. Database'!C25,"")</f>
        <v>0.0100063127073456</v>
      </c>
      <c r="C15" s="25" t="n">
        <f aca="false">IFERROR('0. Database'!D26/'0. Database'!D25,"")</f>
        <v>0.0020047556760207</v>
      </c>
      <c r="D15" s="25" t="n">
        <f aca="false">IFERROR('0. Database'!E26/'0. Database'!E25,"")</f>
        <v>0.0208641336141883</v>
      </c>
      <c r="E15" s="25" t="n">
        <f aca="false">IFERROR('0. Database'!F26/'0. Database'!F25,"")</f>
        <v>0.0307823541956216</v>
      </c>
      <c r="F15" s="25" t="n">
        <f aca="false">IFERROR('0. Database'!G26/'0. Database'!G25,"")</f>
        <v>0.023090416380871</v>
      </c>
      <c r="G15" s="25" t="n">
        <f aca="false">IFERROR('0. Database'!H26/'0. Database'!H25,"")</f>
        <v>0.0533305852194412</v>
      </c>
      <c r="H15" s="25" t="n">
        <f aca="false">IFERROR('0. Database'!I26/'0. Database'!I25,"")</f>
        <v>0.0518319418797813</v>
      </c>
      <c r="I15" s="25" t="n">
        <f aca="false">IFERROR('0. Database'!J26/'0. Database'!J25,"")</f>
        <v>0.0593139997513366</v>
      </c>
      <c r="J15" s="25" t="n">
        <f aca="false">IFERROR('0. Database'!K26/'0. Database'!K25,"")</f>
        <v>0.0529540975092695</v>
      </c>
      <c r="K15" s="25" t="n">
        <f aca="false">IFERROR('0. Database'!L26/'0. Database'!L25,"")</f>
        <v>0.0238295819122422</v>
      </c>
      <c r="L15" s="25" t="n">
        <f aca="false">IFERROR('0. Database'!M26/'0. Database'!M25,"")</f>
        <v>0.0641144079960333</v>
      </c>
      <c r="M15" s="25" t="n">
        <f aca="false">IFERROR('0. Database'!N26/'0. Database'!N25,"")</f>
        <v>0.107519448742004</v>
      </c>
      <c r="N15" s="25" t="n">
        <f aca="false">IFERROR('0. Database'!O26/'0. Database'!O25,"")</f>
        <v>0.111552967957552</v>
      </c>
      <c r="O15" s="25" t="n">
        <f aca="false">IFERROR('0. Database'!P26/'0. Database'!P25,"")</f>
        <v>0.131708463674658</v>
      </c>
      <c r="P15" s="25" t="n">
        <f aca="false">IFERROR('0. Database'!Q26/'0. Database'!Q25,"")</f>
        <v>0.154365760146159</v>
      </c>
      <c r="Q15" s="25" t="n">
        <f aca="false">IFERROR('0. Database'!R26/'0. Database'!R25,"")</f>
        <v>0.172540408713261</v>
      </c>
      <c r="R15" s="25" t="n">
        <f aca="false">IFERROR('0. Database'!S26/'0. Database'!S25,"")</f>
        <v>0.188661589820496</v>
      </c>
      <c r="S15" s="25" t="n">
        <f aca="false">IFERROR('0. Database'!T26/'0. Database'!T25,"")</f>
        <v>0.202680597904355</v>
      </c>
      <c r="T15" s="25" t="n">
        <f aca="false">IFERROR('0. Database'!U26/'0. Database'!U25,"")</f>
        <v>0.213888220975314</v>
      </c>
    </row>
    <row r="16" customFormat="false" ht="15" hidden="false" customHeight="false" outlineLevel="0" collapsed="false">
      <c r="A16" s="23" t="s">
        <v>49</v>
      </c>
      <c r="B16" s="25" t="n">
        <f aca="false">IFERROR('0. Database'!C43/'0. Database'!C42,"")</f>
        <v>0.27743655325204</v>
      </c>
      <c r="C16" s="25" t="n">
        <f aca="false">IFERROR('0. Database'!D43/'0. Database'!D42,"")</f>
        <v>0.249935607036257</v>
      </c>
      <c r="D16" s="25" t="n">
        <f aca="false">IFERROR('0. Database'!E43/'0. Database'!E42,"")</f>
        <v>0.258171198442438</v>
      </c>
      <c r="E16" s="25" t="n">
        <f aca="false">IFERROR('0. Database'!F43/'0. Database'!F42,"")</f>
        <v>0.262717121588089</v>
      </c>
      <c r="F16" s="25" t="n">
        <f aca="false">IFERROR('0. Database'!G43/'0. Database'!G42,"")</f>
        <v>0.235857651887601</v>
      </c>
      <c r="G16" s="25" t="n">
        <f aca="false">IFERROR('0. Database'!H43/'0. Database'!H42,"")</f>
        <v>0.196997493038248</v>
      </c>
      <c r="H16" s="25" t="n">
        <f aca="false">IFERROR('0. Database'!I43/'0. Database'!I42,"")</f>
        <v>0.211489154006314</v>
      </c>
      <c r="I16" s="25" t="n">
        <f aca="false">IFERROR('0. Database'!J43/'0. Database'!J42,"")</f>
        <v>0.225851517857632</v>
      </c>
      <c r="J16" s="25" t="n">
        <f aca="false">IFERROR('0. Database'!K43/'0. Database'!K42,"")</f>
        <v>0.305522886852432</v>
      </c>
      <c r="K16" s="25" t="n">
        <f aca="false">IFERROR('0. Database'!L43/'0. Database'!L42,"")</f>
        <v>0.26461270842467</v>
      </c>
      <c r="L16" s="25" t="n">
        <f aca="false">IFERROR('0. Database'!M43/'0. Database'!M42,"")</f>
        <v>0.274218104452266</v>
      </c>
      <c r="M16" s="25" t="n">
        <f aca="false">IFERROR('0. Database'!N43/'0. Database'!N42,"")</f>
        <v>0.321097772114577</v>
      </c>
      <c r="N16" s="25" t="n">
        <f aca="false">IFERROR('0. Database'!O43/'0. Database'!O42,"")</f>
        <v>0.3203263859238</v>
      </c>
      <c r="O16" s="25" t="n">
        <f aca="false">IFERROR('0. Database'!P43/'0. Database'!P42,"")</f>
        <v>0.342669553816202</v>
      </c>
      <c r="P16" s="25" t="n">
        <f aca="false">IFERROR('0. Database'!Q43/'0. Database'!Q42,"")</f>
        <v>0.355253646282618</v>
      </c>
      <c r="Q16" s="25" t="n">
        <f aca="false">IFERROR('0. Database'!R43/'0. Database'!R42,"")</f>
        <v>0.36181091725094</v>
      </c>
      <c r="R16" s="25" t="n">
        <f aca="false">IFERROR('0. Database'!S43/'0. Database'!S42,"")</f>
        <v>0.366157445799273</v>
      </c>
      <c r="S16" s="25" t="n">
        <f aca="false">IFERROR('0. Database'!T43/'0. Database'!T42,"")</f>
        <v>0.367020570414675</v>
      </c>
      <c r="T16" s="25" t="n">
        <f aca="false">IFERROR('0. Database'!U43/'0. Database'!U42,"")</f>
        <v>0.369485813940611</v>
      </c>
    </row>
    <row r="17" customFormat="false" ht="15" hidden="false" customHeight="false" outlineLevel="0" collapsed="false">
      <c r="A17" s="23" t="s">
        <v>57</v>
      </c>
      <c r="B17" s="25" t="n">
        <f aca="false">IFERROR('0. Database'!C62/'0. Database'!C61,"")</f>
        <v>0.35619918699187</v>
      </c>
      <c r="C17" s="25" t="n">
        <f aca="false">IFERROR('0. Database'!D62/'0. Database'!D61,"")</f>
        <v>0.400673832825285</v>
      </c>
      <c r="D17" s="25" t="n">
        <f aca="false">IFERROR('0. Database'!E62/'0. Database'!E61,"")</f>
        <v>0.347241590896413</v>
      </c>
      <c r="E17" s="25" t="n">
        <f aca="false">IFERROR('0. Database'!F62/'0. Database'!F61,"")</f>
        <v>0.449634561111513</v>
      </c>
      <c r="F17" s="25" t="n">
        <f aca="false">IFERROR('0. Database'!G62/'0. Database'!G61,"")</f>
        <v>0.496937495387794</v>
      </c>
      <c r="G17" s="25" t="n">
        <f aca="false">IFERROR('0. Database'!H62/'0. Database'!H61,"")</f>
        <v>0.446165693613668</v>
      </c>
      <c r="H17" s="25" t="n">
        <f aca="false">IFERROR('0. Database'!I62/'0. Database'!I61,"")</f>
        <v>0.339274221496114</v>
      </c>
      <c r="I17" s="25" t="n">
        <f aca="false">IFERROR('0. Database'!J62/'0. Database'!J61,"")</f>
        <v>0.380045599423028</v>
      </c>
      <c r="J17" s="25" t="n">
        <f aca="false">IFERROR('0. Database'!K62/'0. Database'!K61,"")</f>
        <v>0.396450406600582</v>
      </c>
      <c r="K17" s="25" t="n">
        <f aca="false">IFERROR('0. Database'!L62/'0. Database'!L61,"")</f>
        <v>0.248222692931077</v>
      </c>
      <c r="L17" s="25" t="n">
        <f aca="false">IFERROR('0. Database'!M62/'0. Database'!M61,"")</f>
        <v>0.346557846124195</v>
      </c>
      <c r="M17" s="25" t="n">
        <f aca="false">IFERROR('0. Database'!N62/'0. Database'!N61,"")</f>
        <v>0.421762917933131</v>
      </c>
      <c r="N17" s="25" t="n">
        <f aca="false">IFERROR('0. Database'!O62/'0. Database'!O61,"")</f>
        <v>0.414380613539671</v>
      </c>
      <c r="O17" s="25" t="n">
        <f aca="false">IFERROR('0. Database'!P62/'0. Database'!P61,"")</f>
        <v>0.354617777658644</v>
      </c>
      <c r="P17" s="25" t="n">
        <f aca="false">IFERROR('0. Database'!Q62/'0. Database'!Q61,"")</f>
        <v>0.340842115995234</v>
      </c>
      <c r="Q17" s="25" t="n">
        <f aca="false">IFERROR('0. Database'!R62/'0. Database'!R61,"")</f>
        <v>0.331377350179063</v>
      </c>
      <c r="R17" s="25" t="n">
        <f aca="false">IFERROR('0. Database'!S62/'0. Database'!S61,"")</f>
        <v>0.32287495749683</v>
      </c>
      <c r="S17" s="25" t="n">
        <f aca="false">IFERROR('0. Database'!T62/'0. Database'!T61,"")</f>
        <v>0.313057785144646</v>
      </c>
      <c r="T17" s="25" t="n">
        <f aca="false">IFERROR('0. Database'!U62/'0. Database'!U61,"")</f>
        <v>0.313563982706012</v>
      </c>
    </row>
    <row r="18" customFormat="false" ht="15" hidden="false" customHeight="false" outlineLevel="0" collapsed="false">
      <c r="A18" s="23" t="s">
        <v>64</v>
      </c>
      <c r="B18" s="25" t="n">
        <f aca="false">IFERROR('0. Database'!C80/'0. Database'!C79,"")</f>
        <v>0.39416959707943</v>
      </c>
      <c r="C18" s="25" t="n">
        <f aca="false">IFERROR('0. Database'!D80/'0. Database'!D79,"")</f>
        <v>0.385276073619632</v>
      </c>
      <c r="D18" s="25" t="n">
        <f aca="false">IFERROR('0. Database'!E80/'0. Database'!E79,"")</f>
        <v>0.36258594097195</v>
      </c>
      <c r="E18" s="25" t="n">
        <f aca="false">IFERROR('0. Database'!F80/'0. Database'!F79,"")</f>
        <v>0.34012467280136</v>
      </c>
      <c r="F18" s="25" t="n">
        <f aca="false">IFERROR('0. Database'!G80/'0. Database'!G79,"")</f>
        <v>0.335365049209742</v>
      </c>
      <c r="G18" s="25" t="n">
        <f aca="false">IFERROR('0. Database'!H80/'0. Database'!H79,"")</f>
        <v>0.336385077730719</v>
      </c>
      <c r="H18" s="25" t="n">
        <f aca="false">IFERROR('0. Database'!I80/'0. Database'!I79,"")</f>
        <v>0.342441492726123</v>
      </c>
      <c r="I18" s="25" t="n">
        <f aca="false">IFERROR('0. Database'!J80/'0. Database'!J79,"")</f>
        <v>0.355667596550047</v>
      </c>
      <c r="J18" s="25" t="n">
        <f aca="false">IFERROR('0. Database'!K80/'0. Database'!K79,"")</f>
        <v>0.375830636594946</v>
      </c>
      <c r="K18" s="25" t="n">
        <f aca="false">IFERROR('0. Database'!L80/'0. Database'!L79,"")</f>
        <v>0.257463301995712</v>
      </c>
      <c r="L18" s="25" t="n">
        <f aca="false">IFERROR('0. Database'!M80/'0. Database'!M79,"")</f>
        <v>0.262115904313883</v>
      </c>
      <c r="M18" s="25" t="n">
        <f aca="false">IFERROR('0. Database'!N80/'0. Database'!N79,"")</f>
        <v>0.289911444270312</v>
      </c>
      <c r="N18" s="25" t="n">
        <f aca="false">IFERROR('0. Database'!O80/'0. Database'!O79,"")</f>
        <v>0.307984459659576</v>
      </c>
      <c r="O18" s="25" t="n">
        <f aca="false">IFERROR('0. Database'!P80/'0. Database'!P79,"")</f>
        <v>0.289246248332696</v>
      </c>
      <c r="P18" s="25" t="n">
        <f aca="false">IFERROR('0. Database'!Q80/'0. Database'!Q79,"")</f>
        <v>0.23797825280389</v>
      </c>
      <c r="Q18" s="25" t="n">
        <f aca="false">IFERROR('0. Database'!R80/'0. Database'!R79,"")</f>
        <v>0.294398702858343</v>
      </c>
      <c r="R18" s="25" t="n">
        <f aca="false">IFERROR('0. Database'!S80/'0. Database'!S79,"")</f>
        <v>0.32118626604911</v>
      </c>
      <c r="S18" s="25" t="n">
        <f aca="false">IFERROR('0. Database'!T80/'0. Database'!T79,"")</f>
        <v>0.312321387266789</v>
      </c>
      <c r="T18" s="25" t="str">
        <f aca="false">IFERROR('0. Database'!U80/'0. Database'!U79,"")</f>
        <v/>
      </c>
    </row>
    <row r="21" customFormat="false" ht="15" hidden="false" customHeight="true" outlineLevel="0" collapsed="false">
      <c r="A21" s="22" t="s">
        <v>116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customFormat="false" ht="15" hidden="false" customHeight="false" outlineLevel="0" collapsed="false">
      <c r="A22" s="4" t="s">
        <v>96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9</v>
      </c>
      <c r="H22" s="4" t="s">
        <v>10</v>
      </c>
      <c r="I22" s="4" t="s">
        <v>11</v>
      </c>
      <c r="J22" s="4" t="s">
        <v>12</v>
      </c>
      <c r="K22" s="4" t="s">
        <v>13</v>
      </c>
      <c r="L22" s="4" t="s">
        <v>14</v>
      </c>
      <c r="M22" s="4" t="s">
        <v>15</v>
      </c>
      <c r="N22" s="4" t="s">
        <v>16</v>
      </c>
      <c r="O22" s="4" t="s">
        <v>17</v>
      </c>
      <c r="P22" s="4" t="s">
        <v>18</v>
      </c>
      <c r="Q22" s="4" t="s">
        <v>19</v>
      </c>
      <c r="R22" s="4" t="s">
        <v>20</v>
      </c>
      <c r="S22" s="4" t="s">
        <v>21</v>
      </c>
      <c r="T22" s="4" t="s">
        <v>22</v>
      </c>
    </row>
    <row r="23" customFormat="false" ht="15" hidden="false" customHeight="false" outlineLevel="0" collapsed="false">
      <c r="A23" s="23" t="s">
        <v>24</v>
      </c>
      <c r="B23" s="24" t="n">
        <f aca="false">'0. Database'!C8</f>
        <v>21863</v>
      </c>
      <c r="C23" s="24" t="n">
        <f aca="false">'0. Database'!D8</f>
        <v>22074</v>
      </c>
      <c r="D23" s="24" t="n">
        <f aca="false">'0. Database'!E8</f>
        <v>12193</v>
      </c>
      <c r="E23" s="24" t="n">
        <f aca="false">'0. Database'!F8</f>
        <v>16798</v>
      </c>
      <c r="F23" s="24" t="n">
        <f aca="false">'0. Database'!G8</f>
        <v>25489</v>
      </c>
      <c r="G23" s="24" t="n">
        <f aca="false">'0. Database'!H8</f>
        <v>16571</v>
      </c>
      <c r="H23" s="24" t="n">
        <f aca="false">'0. Database'!I8</f>
        <v>39240</v>
      </c>
      <c r="I23" s="24" t="n">
        <f aca="false">'0. Database'!J8</f>
        <v>44281</v>
      </c>
      <c r="J23" s="24" t="n">
        <f aca="false">'0. Database'!K8</f>
        <v>61271</v>
      </c>
      <c r="K23" s="24" t="n">
        <f aca="false">'0. Database'!L8</f>
        <v>72738</v>
      </c>
      <c r="L23" s="24" t="n">
        <f aca="false">'0. Database'!M8</f>
        <v>72361</v>
      </c>
      <c r="M23" s="24" t="n">
        <f aca="false">'0. Database'!N8</f>
        <v>88136</v>
      </c>
      <c r="N23" s="24" t="n">
        <f aca="false">'0. Database'!O8</f>
        <v>101832</v>
      </c>
      <c r="O23" s="24" t="n">
        <f aca="false">'0. Database'!P8</f>
        <v>129372.86</v>
      </c>
      <c r="P23" s="24" t="n">
        <f aca="false">'0. Database'!Q8</f>
        <v>144971.56</v>
      </c>
      <c r="Q23" s="24" t="n">
        <f aca="false">'0. Database'!R8</f>
        <v>175683.92</v>
      </c>
      <c r="R23" s="24" t="n">
        <f aca="false">'0. Database'!S8</f>
        <v>215472.22</v>
      </c>
      <c r="S23" s="24" t="n">
        <f aca="false">'0. Database'!T8</f>
        <v>258948.36</v>
      </c>
      <c r="T23" s="24" t="n">
        <f aca="false">'0. Database'!U8</f>
        <v>0</v>
      </c>
    </row>
    <row r="24" customFormat="false" ht="15" hidden="false" customHeight="false" outlineLevel="0" collapsed="false">
      <c r="A24" s="23" t="s">
        <v>43</v>
      </c>
      <c r="B24" s="24" t="n">
        <f aca="false">'0. Database'!C27</f>
        <v>273</v>
      </c>
      <c r="C24" s="24" t="n">
        <f aca="false">'0. Database'!D27</f>
        <v>-240.6</v>
      </c>
      <c r="D24" s="24" t="n">
        <f aca="false">'0. Database'!E27</f>
        <v>596.1</v>
      </c>
      <c r="E24" s="24" t="n">
        <f aca="false">'0. Database'!F27</f>
        <v>2371</v>
      </c>
      <c r="F24" s="24" t="n">
        <f aca="false">'0. Database'!G27</f>
        <v>3033</v>
      </c>
      <c r="G24" s="24" t="n">
        <f aca="false">'0. Database'!H27</f>
        <v>10073</v>
      </c>
      <c r="H24" s="24" t="n">
        <f aca="false">'0. Database'!I27</f>
        <v>11588</v>
      </c>
      <c r="I24" s="24" t="n">
        <f aca="false">'0. Database'!J27</f>
        <v>21331</v>
      </c>
      <c r="J24" s="24" t="n">
        <f aca="false">'0. Database'!K27</f>
        <v>33364</v>
      </c>
      <c r="K24" s="24" t="n">
        <f aca="false">'0. Database'!L27</f>
        <v>-2722</v>
      </c>
      <c r="L24" s="24" t="n">
        <f aca="false">'0. Database'!M27</f>
        <v>30425</v>
      </c>
      <c r="M24" s="24" t="n">
        <f aca="false">'0. Database'!N27</f>
        <v>59248</v>
      </c>
      <c r="N24" s="24" t="n">
        <f aca="false">'0. Database'!O27</f>
        <v>77670</v>
      </c>
      <c r="O24" s="24" t="n">
        <f aca="false">'0. Database'!P27</f>
        <v>98333.72</v>
      </c>
      <c r="P24" s="24" t="n">
        <f aca="false">'0. Database'!Q27</f>
        <v>116218.4</v>
      </c>
      <c r="Q24" s="24" t="n">
        <f aca="false">'0. Database'!R27</f>
        <v>145016.4</v>
      </c>
      <c r="R24" s="24" t="n">
        <f aca="false">'0. Database'!S27</f>
        <v>177176.2</v>
      </c>
      <c r="S24" s="24" t="n">
        <f aca="false">'0. Database'!T27</f>
        <v>211925.99</v>
      </c>
      <c r="T24" s="24" t="n">
        <f aca="false">'0. Database'!U27</f>
        <v>247587.75</v>
      </c>
    </row>
    <row r="25" customFormat="false" ht="15" hidden="false" customHeight="false" outlineLevel="0" collapsed="false">
      <c r="A25" s="23" t="s">
        <v>49</v>
      </c>
      <c r="B25" s="24" t="n">
        <f aca="false">'0. Database'!C44</f>
        <v>12720</v>
      </c>
      <c r="C25" s="24" t="n">
        <f aca="false">'0. Database'!D44</f>
        <v>14136</v>
      </c>
      <c r="D25" s="24" t="n">
        <f aca="false">'0. Database'!E44</f>
        <v>16348</v>
      </c>
      <c r="E25" s="24" t="n">
        <f aca="false">'0. Database'!F44</f>
        <v>19478</v>
      </c>
      <c r="F25" s="24" t="n">
        <f aca="false">'0. Database'!G44</f>
        <v>12662</v>
      </c>
      <c r="G25" s="24" t="n">
        <f aca="false">'0. Database'!H44</f>
        <v>30736</v>
      </c>
      <c r="H25" s="24" t="n">
        <f aca="false">'0. Database'!I44</f>
        <v>34343</v>
      </c>
      <c r="I25" s="24" t="n">
        <f aca="false">'0. Database'!J44</f>
        <v>40269</v>
      </c>
      <c r="J25" s="24" t="n">
        <f aca="false">'0. Database'!K44</f>
        <v>76033</v>
      </c>
      <c r="K25" s="24" t="n">
        <f aca="false">'0. Database'!L44</f>
        <v>59972</v>
      </c>
      <c r="L25" s="24" t="n">
        <f aca="false">'0. Database'!M44</f>
        <v>73795</v>
      </c>
      <c r="M25" s="24" t="n">
        <f aca="false">'0. Database'!N44</f>
        <v>100118</v>
      </c>
      <c r="N25" s="24" t="n">
        <f aca="false">'0. Database'!O44</f>
        <v>132170</v>
      </c>
      <c r="O25" s="24" t="n">
        <f aca="false">'0. Database'!P44</f>
        <v>168543.28</v>
      </c>
      <c r="P25" s="24" t="n">
        <f aca="false">'0. Database'!Q44</f>
        <v>174626.97</v>
      </c>
      <c r="Q25" s="24" t="n">
        <f aca="false">'0. Database'!R44</f>
        <v>210753.44</v>
      </c>
      <c r="R25" s="24" t="n">
        <f aca="false">'0. Database'!S44</f>
        <v>249488.6</v>
      </c>
      <c r="S25" s="24" t="n">
        <f aca="false">'0. Database'!T44</f>
        <v>285975.76</v>
      </c>
      <c r="T25" s="24" t="n">
        <f aca="false">'0. Database'!U44</f>
        <v>326302.42</v>
      </c>
    </row>
    <row r="26" customFormat="false" ht="15" hidden="false" customHeight="false" outlineLevel="0" collapsed="false">
      <c r="A26" s="23" t="s">
        <v>57</v>
      </c>
      <c r="B26" s="24" t="n">
        <f aca="false">'0. Database'!C63</f>
        <v>1491</v>
      </c>
      <c r="C26" s="24" t="n">
        <f aca="false">'0. Database'!D63</f>
        <v>2924.8</v>
      </c>
      <c r="D26" s="24" t="n">
        <f aca="false">'0. Database'!E63</f>
        <v>3669</v>
      </c>
      <c r="E26" s="24" t="n">
        <f aca="false">'0. Database'!F63</f>
        <v>10187.2</v>
      </c>
      <c r="F26" s="24" t="n">
        <f aca="false">'0. Database'!G63</f>
        <v>15919</v>
      </c>
      <c r="G26" s="24" t="n">
        <f aca="false">'0. Database'!H63</f>
        <v>22112</v>
      </c>
      <c r="H26" s="24" t="n">
        <f aca="false">'0. Database'!I63</f>
        <v>18484.5</v>
      </c>
      <c r="I26" s="24" t="n">
        <f aca="false">'0. Database'!J63</f>
        <v>29145</v>
      </c>
      <c r="J26" s="24" t="n">
        <f aca="false">'0. Database'!K63</f>
        <v>39370</v>
      </c>
      <c r="K26" s="24" t="n">
        <f aca="false">'0. Database'!L63</f>
        <v>23199</v>
      </c>
      <c r="L26" s="24" t="n">
        <f aca="false">'0. Database'!M63</f>
        <v>39097</v>
      </c>
      <c r="M26" s="24" t="n">
        <f aca="false">'0. Database'!N63</f>
        <v>62360</v>
      </c>
      <c r="N26" s="24" t="n">
        <f aca="false">'0. Database'!O63</f>
        <v>60458</v>
      </c>
      <c r="O26" s="24" t="n">
        <f aca="false">'0. Database'!P63</f>
        <v>85782.86</v>
      </c>
      <c r="P26" s="24" t="n">
        <f aca="false">'0. Database'!Q63</f>
        <v>91160.94</v>
      </c>
      <c r="Q26" s="24" t="n">
        <f aca="false">'0. Database'!R63</f>
        <v>103452.71</v>
      </c>
      <c r="R26" s="24" t="n">
        <f aca="false">'0. Database'!S63</f>
        <v>115846.5</v>
      </c>
      <c r="S26" s="24" t="n">
        <f aca="false">'0. Database'!T63</f>
        <v>127804.37</v>
      </c>
      <c r="T26" s="24" t="n">
        <f aca="false">'0. Database'!U63</f>
        <v>143941.83</v>
      </c>
    </row>
    <row r="27" customFormat="false" ht="15" hidden="false" customHeight="false" outlineLevel="0" collapsed="false">
      <c r="A27" s="23" t="s">
        <v>64</v>
      </c>
      <c r="B27" s="24" t="n">
        <f aca="false">'0. Database'!C82</f>
        <v>10926</v>
      </c>
      <c r="C27" s="24" t="n">
        <f aca="false">'0. Database'!D82</f>
        <v>10955</v>
      </c>
      <c r="D27" s="24" t="n">
        <f aca="false">'0. Database'!E82</f>
        <v>9938</v>
      </c>
      <c r="E27" s="24" t="n">
        <f aca="false">'0. Database'!F82</f>
        <v>8900</v>
      </c>
      <c r="F27" s="24" t="n">
        <f aca="false">'0. Database'!G82</f>
        <v>9334</v>
      </c>
      <c r="G27" s="24" t="n">
        <f aca="false">'0. Database'!H82</f>
        <v>3587</v>
      </c>
      <c r="H27" s="24" t="n">
        <f aca="false">'0. Database'!I82</f>
        <v>11083</v>
      </c>
      <c r="I27" s="24" t="n">
        <f aca="false">'0. Database'!J82</f>
        <v>10135</v>
      </c>
      <c r="J27" s="24" t="n">
        <f aca="false">'0. Database'!K82</f>
        <v>13747</v>
      </c>
      <c r="K27" s="24" t="n">
        <f aca="false">'0. Database'!L82</f>
        <v>6718</v>
      </c>
      <c r="L27" s="24" t="n">
        <f aca="false">'0. Database'!M82</f>
        <v>8504</v>
      </c>
      <c r="M27" s="24" t="n">
        <f aca="false">'0. Database'!N82</f>
        <v>10467</v>
      </c>
      <c r="N27" s="24" t="n">
        <f aca="false">'0. Database'!O82</f>
        <v>12443</v>
      </c>
      <c r="O27" s="24" t="n">
        <f aca="false">'0. Database'!P82</f>
        <v>15820.55</v>
      </c>
      <c r="P27" s="24" t="n">
        <f aca="false">'0. Database'!Q82</f>
        <v>13363.1</v>
      </c>
      <c r="Q27" s="24" t="n">
        <f aca="false">'0. Database'!R82</f>
        <v>26776.66</v>
      </c>
      <c r="R27" s="24" t="n">
        <f aca="false">'0. Database'!S82</f>
        <v>39834.82</v>
      </c>
      <c r="S27" s="24" t="n">
        <f aca="false">'0. Database'!T82</f>
        <v>44104.48</v>
      </c>
      <c r="T27" s="24" t="n">
        <f aca="false">'0. Database'!U82</f>
        <v>0</v>
      </c>
    </row>
    <row r="30" customFormat="false" ht="15" hidden="false" customHeight="true" outlineLevel="0" collapsed="false">
      <c r="A30" s="22" t="s">
        <v>117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</row>
    <row r="31" customFormat="false" ht="15" hidden="false" customHeight="false" outlineLevel="0" collapsed="false">
      <c r="A31" s="4" t="s">
        <v>96</v>
      </c>
      <c r="B31" s="4" t="s">
        <v>4</v>
      </c>
      <c r="C31" s="4" t="s">
        <v>5</v>
      </c>
      <c r="D31" s="4" t="s">
        <v>6</v>
      </c>
      <c r="E31" s="4" t="s">
        <v>7</v>
      </c>
      <c r="F31" s="4" t="s">
        <v>8</v>
      </c>
      <c r="G31" s="4" t="s">
        <v>9</v>
      </c>
      <c r="H31" s="4" t="s">
        <v>10</v>
      </c>
      <c r="I31" s="4" t="s">
        <v>11</v>
      </c>
      <c r="J31" s="4" t="s">
        <v>12</v>
      </c>
      <c r="K31" s="4" t="s">
        <v>13</v>
      </c>
      <c r="L31" s="4" t="s">
        <v>14</v>
      </c>
      <c r="M31" s="4" t="s">
        <v>15</v>
      </c>
      <c r="N31" s="4" t="s">
        <v>16</v>
      </c>
      <c r="O31" s="4" t="s">
        <v>17</v>
      </c>
      <c r="P31" s="4" t="s">
        <v>18</v>
      </c>
      <c r="Q31" s="4" t="s">
        <v>19</v>
      </c>
      <c r="R31" s="4" t="s">
        <v>20</v>
      </c>
      <c r="S31" s="4" t="s">
        <v>21</v>
      </c>
      <c r="T31" s="4" t="s">
        <v>22</v>
      </c>
    </row>
    <row r="32" customFormat="false" ht="15" hidden="false" customHeight="false" outlineLevel="0" collapsed="false">
      <c r="A32" s="23" t="s">
        <v>24</v>
      </c>
      <c r="B32" s="27" t="n">
        <f aca="false">'0. Database'!C9</f>
        <v>2.63</v>
      </c>
      <c r="C32" s="27" t="n">
        <f aca="false">'0. Database'!D9</f>
        <v>2.66</v>
      </c>
      <c r="D32" s="27" t="n">
        <f aca="false">'0. Database'!E9</f>
        <v>2.59</v>
      </c>
      <c r="E32" s="27" t="n">
        <f aca="false">'0. Database'!F9</f>
        <v>2.79</v>
      </c>
      <c r="F32" s="27" t="n">
        <f aca="false">'0. Database'!G9</f>
        <v>3.29</v>
      </c>
      <c r="G32" s="27" t="n">
        <f aca="false">'0. Database'!H9</f>
        <v>3.88</v>
      </c>
      <c r="H32" s="27" t="n">
        <f aca="false">'0. Database'!I9</f>
        <v>4.75</v>
      </c>
      <c r="I32" s="27" t="n">
        <f aca="false">'0. Database'!J9</f>
        <v>5.76</v>
      </c>
      <c r="J32" s="27" t="n">
        <f aca="false">'0. Database'!K9</f>
        <v>7.97</v>
      </c>
      <c r="K32" s="27" t="n">
        <f aca="false">'0. Database'!L9</f>
        <v>9.21</v>
      </c>
      <c r="L32" s="27" t="n">
        <f aca="false">'0. Database'!M9</f>
        <v>9.81</v>
      </c>
      <c r="M32" s="27" t="n">
        <f aca="false">'0. Database'!N9</f>
        <v>11.8</v>
      </c>
      <c r="N32" s="27" t="n">
        <f aca="false">'0. Database'!O9</f>
        <v>13.91</v>
      </c>
      <c r="O32" s="27" t="n">
        <f aca="false">'0. Database'!P9</f>
        <v>16.75</v>
      </c>
      <c r="P32" s="27" t="n">
        <f aca="false">'0. Database'!Q9</f>
        <v>19.47</v>
      </c>
      <c r="Q32" s="27" t="n">
        <f aca="false">'0. Database'!R9</f>
        <v>23.61</v>
      </c>
      <c r="R32" s="27" t="n">
        <f aca="false">'0. Database'!S9</f>
        <v>28.97</v>
      </c>
      <c r="S32" s="27" t="n">
        <f aca="false">'0. Database'!T9</f>
        <v>34.82</v>
      </c>
      <c r="T32" s="27" t="n">
        <f aca="false">'0. Database'!U9</f>
        <v>0</v>
      </c>
    </row>
    <row r="33" customFormat="false" ht="15" hidden="false" customHeight="false" outlineLevel="0" collapsed="false">
      <c r="A33" s="23" t="s">
        <v>43</v>
      </c>
      <c r="B33" s="27" t="n">
        <f aca="false">'0. Database'!C28</f>
        <v>0.03</v>
      </c>
      <c r="C33" s="27" t="n">
        <f aca="false">'0. Database'!D28</f>
        <v>-0.03</v>
      </c>
      <c r="D33" s="27" t="n">
        <f aca="false">'0. Database'!E28</f>
        <v>0.06</v>
      </c>
      <c r="E33" s="27" t="n">
        <f aca="false">'0. Database'!F28</f>
        <v>0.24</v>
      </c>
      <c r="F33" s="27" t="n">
        <f aca="false">'0. Database'!G28</f>
        <v>0.31</v>
      </c>
      <c r="G33" s="27" t="n">
        <f aca="false">'0. Database'!H28</f>
        <v>1.01</v>
      </c>
      <c r="H33" s="27" t="n">
        <f aca="false">'0. Database'!I28</f>
        <v>1.15</v>
      </c>
      <c r="I33" s="27" t="n">
        <f aca="false">'0. Database'!J28</f>
        <v>2.08</v>
      </c>
      <c r="J33" s="27" t="n">
        <f aca="false">'0. Database'!K28</f>
        <v>3.25</v>
      </c>
      <c r="K33" s="27" t="n">
        <f aca="false">'0. Database'!L28</f>
        <v>-0.26</v>
      </c>
      <c r="L33" s="27" t="n">
        <f aca="false">'0. Database'!M28</f>
        <v>2.88</v>
      </c>
      <c r="M33" s="27" t="n">
        <f aca="false">'0. Database'!N28</f>
        <v>5.53</v>
      </c>
      <c r="N33" s="27" t="n">
        <f aca="false">'0. Database'!O28</f>
        <v>7.17</v>
      </c>
      <c r="O33" s="27" t="n">
        <f aca="false">'0. Database'!P28</f>
        <v>9.02</v>
      </c>
      <c r="P33" s="27" t="n">
        <f aca="false">'0. Database'!Q28</f>
        <v>10.58</v>
      </c>
      <c r="Q33" s="27" t="n">
        <f aca="false">'0. Database'!R28</f>
        <v>13.11</v>
      </c>
      <c r="R33" s="27" t="n">
        <f aca="false">'0. Database'!S28</f>
        <v>15.92</v>
      </c>
      <c r="S33" s="27" t="n">
        <f aca="false">'0. Database'!T28</f>
        <v>18.92</v>
      </c>
      <c r="T33" s="27" t="n">
        <f aca="false">'0. Database'!U28</f>
        <v>21.97</v>
      </c>
    </row>
    <row r="34" customFormat="false" ht="15" hidden="false" customHeight="false" outlineLevel="0" collapsed="false">
      <c r="A34" s="23" t="s">
        <v>49</v>
      </c>
      <c r="B34" s="27" t="n">
        <f aca="false">'0. Database'!C45</f>
        <v>0.94</v>
      </c>
      <c r="C34" s="27" t="n">
        <f aca="false">'0. Database'!D45</f>
        <v>1.03</v>
      </c>
      <c r="D34" s="27" t="n">
        <f aca="false">'0. Database'!E45</f>
        <v>1.18</v>
      </c>
      <c r="E34" s="27" t="n">
        <f aca="false">'0. Database'!F45</f>
        <v>1.39</v>
      </c>
      <c r="F34" s="27" t="n">
        <f aca="false">'0. Database'!G45</f>
        <v>0.9</v>
      </c>
      <c r="G34" s="27" t="n">
        <f aca="false">'0. Database'!H45</f>
        <v>2.19</v>
      </c>
      <c r="H34" s="27" t="n">
        <f aca="false">'0. Database'!I45</f>
        <v>2.46</v>
      </c>
      <c r="I34" s="27" t="n">
        <f aca="false">'0. Database'!J45</f>
        <v>2.93</v>
      </c>
      <c r="J34" s="27" t="n">
        <f aca="false">'0. Database'!K45</f>
        <v>5.61</v>
      </c>
      <c r="K34" s="27" t="n">
        <f aca="false">'0. Database'!L45</f>
        <v>4.56</v>
      </c>
      <c r="L34" s="27" t="n">
        <f aca="false">'0. Database'!M45</f>
        <v>5.8</v>
      </c>
      <c r="M34" s="27" t="n">
        <f aca="false">'0. Database'!N45</f>
        <v>8.04</v>
      </c>
      <c r="N34" s="27" t="n">
        <f aca="false">'0. Database'!O45</f>
        <v>10.81</v>
      </c>
      <c r="O34" s="27" t="n">
        <f aca="false">'0. Database'!P45</f>
        <v>13.73</v>
      </c>
      <c r="P34" s="27" t="n">
        <f aca="false">'0. Database'!Q45</f>
        <v>14.16</v>
      </c>
      <c r="Q34" s="27" t="n">
        <f aca="false">'0. Database'!R45</f>
        <v>17.04</v>
      </c>
      <c r="R34" s="27" t="n">
        <f aca="false">'0. Database'!S45</f>
        <v>20.12</v>
      </c>
      <c r="S34" s="27" t="n">
        <f aca="false">'0. Database'!T45</f>
        <v>22.99</v>
      </c>
      <c r="T34" s="27" t="n">
        <f aca="false">'0. Database'!U45</f>
        <v>26.09</v>
      </c>
    </row>
    <row r="35" customFormat="false" ht="15" hidden="false" customHeight="false" outlineLevel="0" collapsed="false">
      <c r="A35" s="23" t="s">
        <v>57</v>
      </c>
      <c r="B35" s="27" t="n">
        <f aca="false">'0. Database'!C64</f>
        <v>0.59</v>
      </c>
      <c r="C35" s="27" t="n">
        <f aca="false">'0. Database'!D64</f>
        <v>1.1</v>
      </c>
      <c r="D35" s="27" t="n">
        <f aca="false">'0. Database'!E64</f>
        <v>1.28</v>
      </c>
      <c r="E35" s="27" t="n">
        <f aca="false">'0. Database'!F64</f>
        <v>3.48</v>
      </c>
      <c r="F35" s="27" t="n">
        <f aca="false">'0. Database'!G64</f>
        <v>5.39</v>
      </c>
      <c r="G35" s="27" t="n">
        <f aca="false">'0. Database'!H64</f>
        <v>7.66</v>
      </c>
      <c r="H35" s="27" t="n">
        <f aca="false">'0. Database'!I64</f>
        <v>6.44</v>
      </c>
      <c r="I35" s="27" t="n">
        <f aca="false">'0. Database'!J64</f>
        <v>10.08</v>
      </c>
      <c r="J35" s="27" t="n">
        <f aca="false">'0. Database'!K64</f>
        <v>14.07</v>
      </c>
      <c r="K35" s="27" t="n">
        <f aca="false">'0. Database'!L64</f>
        <v>8.79</v>
      </c>
      <c r="L35" s="27" t="n">
        <f aca="false">'0. Database'!M64</f>
        <v>14.87</v>
      </c>
      <c r="M35" s="27" t="n">
        <f aca="false">'0. Database'!N64</f>
        <v>23.99</v>
      </c>
      <c r="N35" s="27" t="n">
        <f aca="false">'0. Database'!O64</f>
        <v>23.49</v>
      </c>
      <c r="O35" s="27" t="n">
        <f aca="false">'0. Database'!P64</f>
        <v>33.28</v>
      </c>
      <c r="P35" s="27" t="n">
        <f aca="false">'0. Database'!Q64</f>
        <v>34.94</v>
      </c>
      <c r="Q35" s="27" t="n">
        <f aca="false">'0. Database'!R64</f>
        <v>39.24</v>
      </c>
      <c r="R35" s="27" t="n">
        <f aca="false">'0. Database'!S64</f>
        <v>43.51</v>
      </c>
      <c r="S35" s="27" t="n">
        <f aca="false">'0. Database'!T64</f>
        <v>47.52</v>
      </c>
      <c r="T35" s="27" t="n">
        <f aca="false">'0. Database'!U64</f>
        <v>52.96</v>
      </c>
    </row>
    <row r="36" customFormat="false" ht="15" hidden="false" customHeight="false" outlineLevel="0" collapsed="false">
      <c r="A36" s="23" t="s">
        <v>64</v>
      </c>
      <c r="B36" s="27" t="n">
        <f aca="false">'0. Database'!C83</f>
        <v>2.26</v>
      </c>
      <c r="C36" s="27" t="n">
        <f aca="false">'0. Database'!D83</f>
        <v>2.38</v>
      </c>
      <c r="D36" s="27" t="n">
        <f aca="false">'0. Database'!E83</f>
        <v>2.21</v>
      </c>
      <c r="E36" s="27" t="n">
        <f aca="false">'0. Database'!F83</f>
        <v>2.07</v>
      </c>
      <c r="F36" s="27" t="n">
        <f aca="false">'0. Database'!G83</f>
        <v>2.21</v>
      </c>
      <c r="G36" s="27" t="n">
        <f aca="false">'0. Database'!H83</f>
        <v>0.85</v>
      </c>
      <c r="H36" s="27" t="n">
        <f aca="false">'0. Database'!I83</f>
        <v>2.97</v>
      </c>
      <c r="I36" s="27" t="n">
        <f aca="false">'0. Database'!J83</f>
        <v>3.08</v>
      </c>
      <c r="J36" s="27" t="n">
        <f aca="false">'0. Database'!K83</f>
        <v>4.55</v>
      </c>
      <c r="K36" s="27" t="n">
        <f aca="false">'0. Database'!L83</f>
        <v>2.41</v>
      </c>
      <c r="L36" s="27" t="n">
        <f aca="false">'0. Database'!M83</f>
        <v>3.07</v>
      </c>
      <c r="M36" s="27" t="n">
        <f aca="false">'0. Database'!N83</f>
        <v>3.71</v>
      </c>
      <c r="N36" s="27" t="n">
        <f aca="false">'0. Database'!O83</f>
        <v>4.34</v>
      </c>
      <c r="O36" s="27" t="n">
        <f aca="false">'0. Database'!P83</f>
        <v>5.43</v>
      </c>
      <c r="P36" s="27" t="n">
        <f aca="false">'0. Database'!Q83</f>
        <v>4.54</v>
      </c>
      <c r="Q36" s="27" t="n">
        <f aca="false">'0. Database'!R83</f>
        <v>8.98</v>
      </c>
      <c r="R36" s="27" t="n">
        <f aca="false">'0. Database'!S83</f>
        <v>13.15</v>
      </c>
      <c r="S36" s="27" t="n">
        <f aca="false">'0. Database'!T83</f>
        <v>14.32</v>
      </c>
      <c r="T36" s="27" t="n">
        <f aca="false">'0. Database'!U83</f>
        <v>0</v>
      </c>
    </row>
    <row r="39" customFormat="false" ht="15" hidden="false" customHeight="true" outlineLevel="0" collapsed="false">
      <c r="A39" s="22" t="s">
        <v>118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customFormat="false" ht="15" hidden="false" customHeight="false" outlineLevel="0" collapsed="false">
      <c r="A40" s="4" t="s">
        <v>96</v>
      </c>
      <c r="B40" s="4" t="s">
        <v>4</v>
      </c>
      <c r="C40" s="4" t="s">
        <v>5</v>
      </c>
      <c r="D40" s="4" t="s">
        <v>6</v>
      </c>
      <c r="E40" s="4" t="s">
        <v>7</v>
      </c>
      <c r="F40" s="4" t="s">
        <v>8</v>
      </c>
      <c r="G40" s="4" t="s">
        <v>9</v>
      </c>
      <c r="H40" s="4" t="s">
        <v>10</v>
      </c>
      <c r="I40" s="4" t="s">
        <v>11</v>
      </c>
      <c r="J40" s="4" t="s">
        <v>12</v>
      </c>
      <c r="K40" s="4" t="s">
        <v>13</v>
      </c>
      <c r="L40" s="4" t="s">
        <v>14</v>
      </c>
      <c r="M40" s="4" t="s">
        <v>15</v>
      </c>
      <c r="N40" s="4" t="s">
        <v>16</v>
      </c>
      <c r="O40" s="4" t="s">
        <v>17</v>
      </c>
      <c r="P40" s="4" t="s">
        <v>18</v>
      </c>
      <c r="Q40" s="4" t="s">
        <v>19</v>
      </c>
      <c r="R40" s="4" t="s">
        <v>20</v>
      </c>
      <c r="S40" s="4" t="s">
        <v>21</v>
      </c>
      <c r="T40" s="4" t="s">
        <v>22</v>
      </c>
    </row>
    <row r="41" customFormat="false" ht="15" hidden="false" customHeight="false" outlineLevel="0" collapsed="false">
      <c r="A41" s="23" t="s">
        <v>24</v>
      </c>
      <c r="B41" s="25"/>
      <c r="C41" s="25" t="n">
        <f aca="false">IFERROR('0. Database'!D9/'0. Database'!C9-1,"")</f>
        <v>0.0114068441064639</v>
      </c>
      <c r="D41" s="25" t="n">
        <f aca="false">IFERROR('0. Database'!E9/'0. Database'!D9-1,"")</f>
        <v>-0.0263157894736843</v>
      </c>
      <c r="E41" s="25" t="n">
        <f aca="false">IFERROR('0. Database'!F9/'0. Database'!E9-1,"")</f>
        <v>0.0772200772200773</v>
      </c>
      <c r="F41" s="25" t="n">
        <f aca="false">IFERROR('0. Database'!G9/'0. Database'!F9-1,"")</f>
        <v>0.17921146953405</v>
      </c>
      <c r="G41" s="25" t="n">
        <f aca="false">IFERROR('0. Database'!H9/'0. Database'!G9-1,"")</f>
        <v>0.179331306990882</v>
      </c>
      <c r="H41" s="25" t="n">
        <f aca="false">IFERROR('0. Database'!I9/'0. Database'!H9-1,"")</f>
        <v>0.224226804123711</v>
      </c>
      <c r="I41" s="25" t="n">
        <f aca="false">IFERROR('0. Database'!J9/'0. Database'!I9-1,"")</f>
        <v>0.212631578947368</v>
      </c>
      <c r="J41" s="25" t="n">
        <f aca="false">IFERROR('0. Database'!K9/'0. Database'!J9-1,"")</f>
        <v>0.383680555555556</v>
      </c>
      <c r="K41" s="25" t="n">
        <f aca="false">IFERROR('0. Database'!L9/'0. Database'!K9-1,"")</f>
        <v>0.155583437892096</v>
      </c>
      <c r="L41" s="25" t="n">
        <f aca="false">IFERROR('0. Database'!M9/'0. Database'!L9-1,"")</f>
        <v>0.0651465798045603</v>
      </c>
      <c r="M41" s="25" t="n">
        <f aca="false">IFERROR('0. Database'!N9/'0. Database'!M9-1,"")</f>
        <v>0.202854230377166</v>
      </c>
      <c r="N41" s="25" t="n">
        <f aca="false">IFERROR('0. Database'!O9/'0. Database'!N9-1,"")</f>
        <v>0.178813559322034</v>
      </c>
      <c r="O41" s="25" t="n">
        <f aca="false">IFERROR('0. Database'!P9/'0. Database'!O9-1,"")</f>
        <v>0.204169662113587</v>
      </c>
      <c r="P41" s="25" t="n">
        <f aca="false">IFERROR('0. Database'!Q9/'0. Database'!P9-1,"")</f>
        <v>0.162388059701492</v>
      </c>
      <c r="Q41" s="25" t="n">
        <f aca="false">IFERROR('0. Database'!R9/'0. Database'!Q9-1,"")</f>
        <v>0.212634822804314</v>
      </c>
      <c r="R41" s="25" t="n">
        <f aca="false">IFERROR('0. Database'!S9/'0. Database'!R9-1,"")</f>
        <v>0.227022448115205</v>
      </c>
      <c r="S41" s="25" t="n">
        <f aca="false">IFERROR('0. Database'!T9/'0. Database'!S9-1,"")</f>
        <v>0.201933034173283</v>
      </c>
      <c r="T41" s="25" t="n">
        <f aca="false">IFERROR('0. Database'!U9/'0. Database'!T9-1,"")</f>
        <v>-1</v>
      </c>
    </row>
    <row r="42" customFormat="false" ht="15" hidden="false" customHeight="false" outlineLevel="0" collapsed="false">
      <c r="A42" s="23" t="s">
        <v>43</v>
      </c>
      <c r="B42" s="25"/>
      <c r="C42" s="25" t="n">
        <f aca="false">IFERROR('0. Database'!D28/'0. Database'!C28-1,"")</f>
        <v>-2</v>
      </c>
      <c r="D42" s="25" t="n">
        <f aca="false">IFERROR('0. Database'!E28/'0. Database'!D28-1,"")</f>
        <v>-3</v>
      </c>
      <c r="E42" s="25" t="n">
        <f aca="false">IFERROR('0. Database'!F28/'0. Database'!E28-1,"")</f>
        <v>3</v>
      </c>
      <c r="F42" s="25" t="n">
        <f aca="false">IFERROR('0. Database'!G28/'0. Database'!F28-1,"")</f>
        <v>0.291666666666667</v>
      </c>
      <c r="G42" s="25" t="n">
        <f aca="false">IFERROR('0. Database'!H28/'0. Database'!G28-1,"")</f>
        <v>2.25806451612903</v>
      </c>
      <c r="H42" s="25" t="n">
        <f aca="false">IFERROR('0. Database'!I28/'0. Database'!H28-1,"")</f>
        <v>0.138613861386139</v>
      </c>
      <c r="I42" s="25" t="n">
        <f aca="false">IFERROR('0. Database'!J28/'0. Database'!I28-1,"")</f>
        <v>0.808695652173913</v>
      </c>
      <c r="J42" s="25" t="n">
        <f aca="false">IFERROR('0. Database'!K28/'0. Database'!J28-1,"")</f>
        <v>0.5625</v>
      </c>
      <c r="K42" s="25" t="n">
        <f aca="false">IFERROR('0. Database'!L28/'0. Database'!K28-1,"")</f>
        <v>-1.08</v>
      </c>
      <c r="L42" s="25" t="n">
        <f aca="false">IFERROR('0. Database'!M28/'0. Database'!L28-1,"")</f>
        <v>-12.0769230769231</v>
      </c>
      <c r="M42" s="25" t="n">
        <f aca="false">IFERROR('0. Database'!N28/'0. Database'!M28-1,"")</f>
        <v>0.920138888888889</v>
      </c>
      <c r="N42" s="25" t="n">
        <f aca="false">IFERROR('0. Database'!O28/'0. Database'!N28-1,"")</f>
        <v>0.296564195298372</v>
      </c>
      <c r="O42" s="25" t="n">
        <f aca="false">IFERROR('0. Database'!P28/'0. Database'!O28-1,"")</f>
        <v>0.258019525801953</v>
      </c>
      <c r="P42" s="25" t="n">
        <f aca="false">IFERROR('0. Database'!Q28/'0. Database'!P28-1,"")</f>
        <v>0.172949002217295</v>
      </c>
      <c r="Q42" s="25" t="n">
        <f aca="false">IFERROR('0. Database'!R28/'0. Database'!Q28-1,"")</f>
        <v>0.239130434782609</v>
      </c>
      <c r="R42" s="25" t="n">
        <f aca="false">IFERROR('0. Database'!S28/'0. Database'!R28-1,"")</f>
        <v>0.214340198321892</v>
      </c>
      <c r="S42" s="25" t="n">
        <f aca="false">IFERROR('0. Database'!T28/'0. Database'!S28-1,"")</f>
        <v>0.188442211055277</v>
      </c>
      <c r="T42" s="25" t="n">
        <f aca="false">IFERROR('0. Database'!U28/'0. Database'!T28-1,"")</f>
        <v>0.161205073995772</v>
      </c>
    </row>
    <row r="43" customFormat="false" ht="15" hidden="false" customHeight="false" outlineLevel="0" collapsed="false">
      <c r="A43" s="23" t="s">
        <v>49</v>
      </c>
      <c r="B43" s="25"/>
      <c r="C43" s="25" t="n">
        <f aca="false">IFERROR('0. Database'!D45/'0. Database'!C45-1,"")</f>
        <v>0.095744680851064</v>
      </c>
      <c r="D43" s="25" t="n">
        <f aca="false">IFERROR('0. Database'!E45/'0. Database'!D45-1,"")</f>
        <v>0.145631067961165</v>
      </c>
      <c r="E43" s="25" t="n">
        <f aca="false">IFERROR('0. Database'!F45/'0. Database'!E45-1,"")</f>
        <v>0.177966101694915</v>
      </c>
      <c r="F43" s="25" t="n">
        <f aca="false">IFERROR('0. Database'!G45/'0. Database'!F45-1,"")</f>
        <v>-0.352517985611511</v>
      </c>
      <c r="G43" s="25" t="n">
        <f aca="false">IFERROR('0. Database'!H45/'0. Database'!G45-1,"")</f>
        <v>1.43333333333333</v>
      </c>
      <c r="H43" s="25" t="n">
        <f aca="false">IFERROR('0. Database'!I45/'0. Database'!H45-1,"")</f>
        <v>0.123287671232877</v>
      </c>
      <c r="I43" s="25" t="n">
        <f aca="false">IFERROR('0. Database'!J45/'0. Database'!I45-1,"")</f>
        <v>0.191056910569106</v>
      </c>
      <c r="J43" s="25" t="n">
        <f aca="false">IFERROR('0. Database'!K45/'0. Database'!J45-1,"")</f>
        <v>0.914675767918089</v>
      </c>
      <c r="K43" s="25" t="n">
        <f aca="false">IFERROR('0. Database'!L45/'0. Database'!K45-1,"")</f>
        <v>-0.18716577540107</v>
      </c>
      <c r="L43" s="25" t="n">
        <f aca="false">IFERROR('0. Database'!M45/'0. Database'!L45-1,"")</f>
        <v>0.271929824561404</v>
      </c>
      <c r="M43" s="25" t="n">
        <f aca="false">IFERROR('0. Database'!N45/'0. Database'!M45-1,"")</f>
        <v>0.386206896551724</v>
      </c>
      <c r="N43" s="25" t="n">
        <f aca="false">IFERROR('0. Database'!O45/'0. Database'!N45-1,"")</f>
        <v>0.34452736318408</v>
      </c>
      <c r="O43" s="25" t="n">
        <f aca="false">IFERROR('0. Database'!P45/'0. Database'!O45-1,"")</f>
        <v>0.270120259019427</v>
      </c>
      <c r="P43" s="25" t="n">
        <f aca="false">IFERROR('0. Database'!Q45/'0. Database'!P45-1,"")</f>
        <v>0.0313182811361981</v>
      </c>
      <c r="Q43" s="25" t="n">
        <f aca="false">IFERROR('0. Database'!R45/'0. Database'!Q45-1,"")</f>
        <v>0.203389830508474</v>
      </c>
      <c r="R43" s="25" t="n">
        <f aca="false">IFERROR('0. Database'!S45/'0. Database'!R45-1,"")</f>
        <v>0.18075117370892</v>
      </c>
      <c r="S43" s="25" t="n">
        <f aca="false">IFERROR('0. Database'!T45/'0. Database'!S45-1,"")</f>
        <v>0.142644135188867</v>
      </c>
      <c r="T43" s="25" t="n">
        <f aca="false">IFERROR('0. Database'!U45/'0. Database'!T45-1,"")</f>
        <v>0.134841235319704</v>
      </c>
    </row>
    <row r="44" customFormat="false" ht="15" hidden="false" customHeight="false" outlineLevel="0" collapsed="false">
      <c r="A44" s="23" t="s">
        <v>57</v>
      </c>
      <c r="B44" s="25"/>
      <c r="C44" s="25" t="n">
        <f aca="false">IFERROR('0. Database'!D64/'0. Database'!C64-1,"")</f>
        <v>0.864406779661017</v>
      </c>
      <c r="D44" s="25" t="n">
        <f aca="false">IFERROR('0. Database'!E64/'0. Database'!D64-1,"")</f>
        <v>0.163636363636364</v>
      </c>
      <c r="E44" s="25" t="n">
        <f aca="false">IFERROR('0. Database'!F64/'0. Database'!E64-1,"")</f>
        <v>1.71875</v>
      </c>
      <c r="F44" s="25" t="n">
        <f aca="false">IFERROR('0. Database'!G64/'0. Database'!F64-1,"")</f>
        <v>0.548850574712644</v>
      </c>
      <c r="G44" s="25" t="n">
        <f aca="false">IFERROR('0. Database'!H64/'0. Database'!G64-1,"")</f>
        <v>0.421150278293136</v>
      </c>
      <c r="H44" s="25" t="n">
        <f aca="false">IFERROR('0. Database'!I64/'0. Database'!H64-1,"")</f>
        <v>-0.159268929503916</v>
      </c>
      <c r="I44" s="25" t="n">
        <f aca="false">IFERROR('0. Database'!J64/'0. Database'!I64-1,"")</f>
        <v>0.565217391304348</v>
      </c>
      <c r="J44" s="25" t="n">
        <f aca="false">IFERROR('0. Database'!K64/'0. Database'!J64-1,"")</f>
        <v>0.395833333333333</v>
      </c>
      <c r="K44" s="25" t="n">
        <f aca="false">IFERROR('0. Database'!L64/'0. Database'!K64-1,"")</f>
        <v>-0.375266524520256</v>
      </c>
      <c r="L44" s="25" t="n">
        <f aca="false">IFERROR('0. Database'!M64/'0. Database'!L64-1,"")</f>
        <v>0.691695108077361</v>
      </c>
      <c r="M44" s="25" t="n">
        <f aca="false">IFERROR('0. Database'!N64/'0. Database'!M64-1,"")</f>
        <v>0.613315400134499</v>
      </c>
      <c r="N44" s="25" t="n">
        <f aca="false">IFERROR('0. Database'!O64/'0. Database'!N64-1,"")</f>
        <v>-0.0208420175072948</v>
      </c>
      <c r="O44" s="25" t="n">
        <f aca="false">IFERROR('0. Database'!P64/'0. Database'!O64-1,"")</f>
        <v>0.416773094934015</v>
      </c>
      <c r="P44" s="25" t="n">
        <f aca="false">IFERROR('0. Database'!Q64/'0. Database'!P64-1,"")</f>
        <v>0.0498798076923075</v>
      </c>
      <c r="Q44" s="25" t="n">
        <f aca="false">IFERROR('0. Database'!R64/'0. Database'!Q64-1,"")</f>
        <v>0.123068116771609</v>
      </c>
      <c r="R44" s="25" t="n">
        <f aca="false">IFERROR('0. Database'!S64/'0. Database'!R64-1,"")</f>
        <v>0.10881753312946</v>
      </c>
      <c r="S44" s="25" t="n">
        <f aca="false">IFERROR('0. Database'!T64/'0. Database'!S64-1,"")</f>
        <v>0.0921627212135143</v>
      </c>
      <c r="T44" s="25" t="n">
        <f aca="false">IFERROR('0. Database'!U64/'0. Database'!T64-1,"")</f>
        <v>0.114478114478114</v>
      </c>
    </row>
    <row r="45" customFormat="false" ht="15" hidden="false" customHeight="false" outlineLevel="0" collapsed="false">
      <c r="A45" s="23" t="s">
        <v>64</v>
      </c>
      <c r="B45" s="25"/>
      <c r="C45" s="25" t="n">
        <f aca="false">IFERROR('0. Database'!D83/'0. Database'!C83-1,"")</f>
        <v>0.0530973451327434</v>
      </c>
      <c r="D45" s="25" t="n">
        <f aca="false">IFERROR('0. Database'!E83/'0. Database'!D83-1,"")</f>
        <v>-0.0714285714285714</v>
      </c>
      <c r="E45" s="25" t="n">
        <f aca="false">IFERROR('0. Database'!F83/'0. Database'!E83-1,"")</f>
        <v>-0.0633484162895929</v>
      </c>
      <c r="F45" s="25" t="n">
        <f aca="false">IFERROR('0. Database'!G83/'0. Database'!F83-1,"")</f>
        <v>0.067632850241546</v>
      </c>
      <c r="G45" s="25" t="n">
        <f aca="false">IFERROR('0. Database'!H83/'0. Database'!G83-1,"")</f>
        <v>-0.615384615384615</v>
      </c>
      <c r="H45" s="25" t="n">
        <f aca="false">IFERROR('0. Database'!I83/'0. Database'!H83-1,"")</f>
        <v>2.49411764705882</v>
      </c>
      <c r="I45" s="25" t="n">
        <f aca="false">IFERROR('0. Database'!J83/'0. Database'!I83-1,"")</f>
        <v>0.037037037037037</v>
      </c>
      <c r="J45" s="25" t="n">
        <f aca="false">IFERROR('0. Database'!K83/'0. Database'!J83-1,"")</f>
        <v>0.477272727272727</v>
      </c>
      <c r="K45" s="25" t="n">
        <f aca="false">IFERROR('0. Database'!L83/'0. Database'!K83-1,"")</f>
        <v>-0.47032967032967</v>
      </c>
      <c r="L45" s="25" t="n">
        <f aca="false">IFERROR('0. Database'!M83/'0. Database'!L83-1,"")</f>
        <v>0.273858921161826</v>
      </c>
      <c r="M45" s="25" t="n">
        <f aca="false">IFERROR('0. Database'!N83/'0. Database'!M83-1,"")</f>
        <v>0.208469055374593</v>
      </c>
      <c r="N45" s="25" t="n">
        <f aca="false">IFERROR('0. Database'!O83/'0. Database'!N83-1,"")</f>
        <v>0.169811320754717</v>
      </c>
      <c r="O45" s="25" t="n">
        <f aca="false">IFERROR('0. Database'!P83/'0. Database'!O83-1,"")</f>
        <v>0.251152073732719</v>
      </c>
      <c r="P45" s="25" t="n">
        <f aca="false">IFERROR('0. Database'!Q83/'0. Database'!P83-1,"")</f>
        <v>-0.16390423572744</v>
      </c>
      <c r="Q45" s="25" t="n">
        <f aca="false">IFERROR('0. Database'!R83/'0. Database'!Q83-1,"")</f>
        <v>0.977973568281938</v>
      </c>
      <c r="R45" s="25" t="n">
        <f aca="false">IFERROR('0. Database'!S83/'0. Database'!R83-1,"")</f>
        <v>0.464365256124722</v>
      </c>
      <c r="S45" s="25" t="n">
        <f aca="false">IFERROR('0. Database'!T83/'0. Database'!S83-1,"")</f>
        <v>0.0889733840304183</v>
      </c>
      <c r="T45" s="25" t="n">
        <f aca="false">IFERROR('0. Database'!U83/'0. Database'!T83-1,"")</f>
        <v>-1</v>
      </c>
    </row>
    <row r="48" customFormat="false" ht="15" hidden="false" customHeight="true" outlineLevel="0" collapsed="false">
      <c r="A48" s="22" t="s">
        <v>119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customFormat="false" ht="15" hidden="false" customHeight="false" outlineLevel="0" collapsed="false">
      <c r="A49" s="4" t="s">
        <v>96</v>
      </c>
      <c r="B49" s="4" t="s">
        <v>4</v>
      </c>
      <c r="C49" s="4" t="s">
        <v>5</v>
      </c>
      <c r="D49" s="4" t="s">
        <v>6</v>
      </c>
      <c r="E49" s="4" t="s">
        <v>7</v>
      </c>
      <c r="F49" s="4" t="s">
        <v>8</v>
      </c>
      <c r="G49" s="4" t="s">
        <v>9</v>
      </c>
      <c r="H49" s="4" t="s">
        <v>10</v>
      </c>
      <c r="I49" s="4" t="s">
        <v>11</v>
      </c>
      <c r="J49" s="4" t="s">
        <v>12</v>
      </c>
      <c r="K49" s="4" t="s">
        <v>13</v>
      </c>
      <c r="L49" s="4" t="s">
        <v>14</v>
      </c>
      <c r="M49" s="4" t="s">
        <v>15</v>
      </c>
      <c r="N49" s="4" t="s">
        <v>16</v>
      </c>
      <c r="O49" s="4" t="s">
        <v>17</v>
      </c>
      <c r="P49" s="4" t="s">
        <v>18</v>
      </c>
      <c r="Q49" s="4" t="s">
        <v>19</v>
      </c>
      <c r="R49" s="4" t="s">
        <v>20</v>
      </c>
      <c r="S49" s="4" t="s">
        <v>21</v>
      </c>
      <c r="T49" s="4" t="s">
        <v>22</v>
      </c>
    </row>
    <row r="50" customFormat="false" ht="15" hidden="false" customHeight="false" outlineLevel="0" collapsed="false">
      <c r="A50" s="23" t="s">
        <v>24</v>
      </c>
      <c r="B50" s="24" t="n">
        <f aca="false">'0. Database'!C10</f>
        <v>8452.25</v>
      </c>
      <c r="C50" s="24" t="n">
        <f aca="false">'0. Database'!D10</f>
        <v>8385.25</v>
      </c>
      <c r="D50" s="24" t="n">
        <f aca="false">'0. Database'!E10</f>
        <v>8254</v>
      </c>
      <c r="E50" s="24" t="n">
        <f aca="false">'0. Database'!F10</f>
        <v>8012.25</v>
      </c>
      <c r="F50" s="24" t="n">
        <f aca="false">'0. Database'!G10</f>
        <v>7831.25</v>
      </c>
      <c r="G50" s="24" t="n">
        <f aca="false">'0. Database'!H10</f>
        <v>7792.25</v>
      </c>
      <c r="H50" s="24" t="n">
        <f aca="false">'0. Database'!I10</f>
        <v>7752</v>
      </c>
      <c r="I50" s="24" t="n">
        <f aca="false">'0. Database'!J10</f>
        <v>7681.5</v>
      </c>
      <c r="J50" s="24" t="n">
        <f aca="false">'0. Database'!K10</f>
        <v>7607.75</v>
      </c>
      <c r="K50" s="24" t="n">
        <f aca="false">'0. Database'!L10</f>
        <v>7540.5</v>
      </c>
      <c r="L50" s="24" t="n">
        <f aca="false">'0. Database'!M10</f>
        <v>7472.25</v>
      </c>
      <c r="M50" s="24" t="n">
        <f aca="false">'0. Database'!N10</f>
        <v>7468.5</v>
      </c>
      <c r="N50" s="24" t="n">
        <f aca="false">'0. Database'!O10</f>
        <v>7467.75</v>
      </c>
      <c r="O50" s="24" t="n">
        <f aca="false">'0. Database'!P10</f>
        <v>7453.97</v>
      </c>
      <c r="P50" s="24" t="n">
        <f aca="false">'0. Database'!Q10</f>
        <v>7446.49</v>
      </c>
      <c r="Q50" s="24" t="n">
        <f aca="false">'0. Database'!R10</f>
        <v>7440.67</v>
      </c>
      <c r="R50" s="24" t="n">
        <f aca="false">'0. Database'!S10</f>
        <v>7436.61</v>
      </c>
      <c r="S50" s="24" t="n">
        <f aca="false">'0. Database'!T10</f>
        <v>7436.22</v>
      </c>
      <c r="T50" s="24" t="n">
        <f aca="false">'0. Database'!U10</f>
        <v>0</v>
      </c>
    </row>
    <row r="51" customFormat="false" ht="15" hidden="false" customHeight="false" outlineLevel="0" collapsed="false">
      <c r="A51" s="23" t="s">
        <v>43</v>
      </c>
      <c r="B51" s="24" t="n">
        <f aca="false">'0. Database'!C29</f>
        <v>9340</v>
      </c>
      <c r="C51" s="24" t="n">
        <f aca="false">'0. Database'!D29</f>
        <v>9440</v>
      </c>
      <c r="D51" s="24" t="n">
        <f aca="false">'0. Database'!E29</f>
        <v>9620</v>
      </c>
      <c r="E51" s="24" t="n">
        <f aca="false">'0. Database'!F29</f>
        <v>9720</v>
      </c>
      <c r="F51" s="24" t="n">
        <f aca="false">'0. Database'!G29</f>
        <v>9910</v>
      </c>
      <c r="G51" s="24" t="n">
        <f aca="false">'0. Database'!H29</f>
        <v>10020</v>
      </c>
      <c r="H51" s="24" t="n">
        <f aca="false">'0. Database'!I29</f>
        <v>10100</v>
      </c>
      <c r="I51" s="24" t="n">
        <f aca="false">'0. Database'!J29</f>
        <v>10254</v>
      </c>
      <c r="J51" s="24" t="n">
        <f aca="false">'0. Database'!K29</f>
        <v>10274.5</v>
      </c>
      <c r="K51" s="24" t="n">
        <f aca="false">'0. Database'!L29</f>
        <v>10296.5</v>
      </c>
      <c r="L51" s="24" t="n">
        <f aca="false">'0. Database'!M29</f>
        <v>10568.69</v>
      </c>
      <c r="M51" s="24" t="n">
        <f aca="false">'0. Database'!N29</f>
        <v>10721</v>
      </c>
      <c r="N51" s="24" t="n">
        <f aca="false">'0. Database'!O29</f>
        <v>10827</v>
      </c>
      <c r="O51" s="24" t="n">
        <f aca="false">'0. Database'!P29</f>
        <v>10907.55</v>
      </c>
      <c r="P51" s="24" t="n">
        <f aca="false">'0. Database'!Q29</f>
        <v>10986.16</v>
      </c>
      <c r="Q51" s="24" t="n">
        <f aca="false">'0. Database'!R29</f>
        <v>11059.39</v>
      </c>
      <c r="R51" s="24" t="n">
        <f aca="false">'0. Database'!S29</f>
        <v>11131.13</v>
      </c>
      <c r="S51" s="24" t="n">
        <f aca="false">'0. Database'!T29</f>
        <v>11201.4</v>
      </c>
      <c r="T51" s="24" t="n">
        <f aca="false">'0. Database'!U29</f>
        <v>11270.24</v>
      </c>
    </row>
    <row r="52" customFormat="false" ht="15" hidden="false" customHeight="false" outlineLevel="0" collapsed="false">
      <c r="A52" s="23" t="s">
        <v>49</v>
      </c>
      <c r="B52" s="24" t="n">
        <f aca="false">'0. Database'!C46</f>
        <v>13552.38</v>
      </c>
      <c r="C52" s="24" t="n">
        <f aca="false">'0. Database'!D46</f>
        <v>13741.41</v>
      </c>
      <c r="D52" s="24" t="n">
        <f aca="false">'0. Database'!E46</f>
        <v>13858.6</v>
      </c>
      <c r="E52" s="24" t="n">
        <f aca="false">'0. Database'!F46</f>
        <v>13974.09</v>
      </c>
      <c r="F52" s="24" t="n">
        <f aca="false">'0. Database'!G46</f>
        <v>14071.67</v>
      </c>
      <c r="G52" s="24" t="n">
        <f aca="false">'0. Database'!H46</f>
        <v>14065.69</v>
      </c>
      <c r="H52" s="24" t="n">
        <f aca="false">'0. Database'!I46</f>
        <v>13971.13</v>
      </c>
      <c r="I52" s="24" t="n">
        <f aca="false">'0. Database'!J46</f>
        <v>13740.56</v>
      </c>
      <c r="J52" s="24" t="n">
        <f aca="false">'0. Database'!K46</f>
        <v>13553</v>
      </c>
      <c r="K52" s="24" t="n">
        <f aca="false">'0. Database'!L46</f>
        <v>13159</v>
      </c>
      <c r="L52" s="24" t="n">
        <f aca="false">'0. Database'!M46</f>
        <v>12722</v>
      </c>
      <c r="M52" s="24" t="n">
        <f aca="false">'0. Database'!N46</f>
        <v>12447</v>
      </c>
      <c r="N52" s="24" t="n">
        <f aca="false">'0. Database'!O46</f>
        <v>12230</v>
      </c>
      <c r="O52" s="24" t="n">
        <f aca="false">'0. Database'!P46</f>
        <v>12275.96</v>
      </c>
      <c r="P52" s="24" t="n">
        <f aca="false">'0. Database'!Q46</f>
        <v>12335.53</v>
      </c>
      <c r="Q52" s="24" t="n">
        <f aca="false">'0. Database'!R46</f>
        <v>12366.42</v>
      </c>
      <c r="R52" s="24" t="n">
        <f aca="false">'0. Database'!S46</f>
        <v>12399.99</v>
      </c>
      <c r="S52" s="24" t="n">
        <f aca="false">'0. Database'!T46</f>
        <v>12436.85</v>
      </c>
      <c r="T52" s="24" t="n">
        <f aca="false">'0. Database'!U46</f>
        <v>12506.36</v>
      </c>
    </row>
    <row r="53" customFormat="false" ht="15" hidden="false" customHeight="false" outlineLevel="0" collapsed="false">
      <c r="A53" s="23" t="s">
        <v>57</v>
      </c>
      <c r="B53" s="24" t="n">
        <f aca="false">'0. Database'!C65</f>
        <v>2521.75</v>
      </c>
      <c r="C53" s="24" t="n">
        <f aca="false">'0. Database'!D65</f>
        <v>2671</v>
      </c>
      <c r="D53" s="24" t="n">
        <f aca="false">'0. Database'!E65</f>
        <v>2856.75</v>
      </c>
      <c r="E53" s="24" t="n">
        <f aca="false">'0. Database'!F65</f>
        <v>2923.75</v>
      </c>
      <c r="F53" s="24" t="n">
        <f aca="false">'0. Database'!G65</f>
        <v>2954</v>
      </c>
      <c r="G53" s="24" t="n">
        <f aca="false">'0. Database'!H65</f>
        <v>2886</v>
      </c>
      <c r="H53" s="24" t="n">
        <f aca="false">'0. Database'!I65</f>
        <v>2871</v>
      </c>
      <c r="I53" s="24" t="n">
        <f aca="false">'0. Database'!J65</f>
        <v>2890</v>
      </c>
      <c r="J53" s="24" t="n">
        <f aca="false">'0. Database'!K65</f>
        <v>2799</v>
      </c>
      <c r="K53" s="24" t="n">
        <f aca="false">'0. Database'!L65</f>
        <v>2640</v>
      </c>
      <c r="L53" s="24" t="n">
        <f aca="false">'0. Database'!M65</f>
        <v>2630</v>
      </c>
      <c r="M53" s="24" t="n">
        <f aca="false">'0. Database'!N65</f>
        <v>2599</v>
      </c>
      <c r="N53" s="24" t="n">
        <f aca="false">'0. Database'!O65</f>
        <v>2574</v>
      </c>
      <c r="O53" s="24" t="n">
        <f aca="false">'0. Database'!P65</f>
        <v>2577.79</v>
      </c>
      <c r="P53" s="24" t="n">
        <f aca="false">'0. Database'!Q65</f>
        <v>2609.3</v>
      </c>
      <c r="Q53" s="24" t="n">
        <f aca="false">'0. Database'!R65</f>
        <v>2636.12</v>
      </c>
      <c r="R53" s="24" t="n">
        <f aca="false">'0. Database'!S65</f>
        <v>2662.83</v>
      </c>
      <c r="S53" s="24" t="n">
        <f aca="false">'0. Database'!T65</f>
        <v>2689.4</v>
      </c>
      <c r="T53" s="24" t="n">
        <f aca="false">'0. Database'!U65</f>
        <v>2718.12</v>
      </c>
    </row>
    <row r="54" customFormat="false" ht="15" hidden="false" customHeight="false" outlineLevel="0" collapsed="false">
      <c r="A54" s="23" t="s">
        <v>64</v>
      </c>
      <c r="B54" s="24" t="n">
        <f aca="false">'0. Database'!C85</f>
        <v>4843.75</v>
      </c>
      <c r="C54" s="24" t="n">
        <f aca="false">'0. Database'!D85</f>
        <v>4604.5</v>
      </c>
      <c r="D54" s="24" t="n">
        <f aca="false">'0. Database'!E85</f>
        <v>4502.5</v>
      </c>
      <c r="E54" s="24" t="n">
        <f aca="false">'0. Database'!F85</f>
        <v>4305.5</v>
      </c>
      <c r="F54" s="24" t="n">
        <f aca="false">'0. Database'!G85</f>
        <v>4217</v>
      </c>
      <c r="G54" s="24" t="n">
        <f aca="false">'0. Database'!H85</f>
        <v>4238</v>
      </c>
      <c r="H54" s="24" t="n">
        <f aca="false">'0. Database'!I85</f>
        <v>3732</v>
      </c>
      <c r="I54" s="24" t="n">
        <f aca="false">'0. Database'!J85</f>
        <v>3293.5</v>
      </c>
      <c r="J54" s="24" t="n">
        <f aca="false">'0. Database'!K85</f>
        <v>3022.5</v>
      </c>
      <c r="K54" s="24" t="n">
        <f aca="false">'0. Database'!L85</f>
        <v>2785.5</v>
      </c>
      <c r="L54" s="24" t="n">
        <f aca="false">'0. Database'!M85</f>
        <v>2766.25</v>
      </c>
      <c r="M54" s="24" t="n">
        <f aca="false">'0. Database'!N85</f>
        <v>2823.25</v>
      </c>
      <c r="N54" s="24" t="n">
        <f aca="false">'0. Database'!O85</f>
        <v>2866.25</v>
      </c>
      <c r="O54" s="24" t="n">
        <f aca="false">'0. Database'!P85</f>
        <v>2915.76</v>
      </c>
      <c r="P54" s="24" t="n">
        <f aca="false">'0. Database'!Q85</f>
        <v>2940.66</v>
      </c>
      <c r="Q54" s="24" t="n">
        <f aca="false">'0. Database'!R85</f>
        <v>2980.3</v>
      </c>
      <c r="R54" s="24" t="n">
        <f aca="false">'0. Database'!S85</f>
        <v>3028.26</v>
      </c>
      <c r="S54" s="24" t="n">
        <f aca="false">'0. Database'!T85</f>
        <v>3079.57</v>
      </c>
      <c r="T54" s="24" t="n">
        <f aca="false">'0. Database'!U85</f>
        <v>0</v>
      </c>
    </row>
    <row r="57" customFormat="false" ht="15" hidden="false" customHeight="true" outlineLevel="0" collapsed="false">
      <c r="A57" s="22" t="s">
        <v>120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</row>
    <row r="58" customFormat="false" ht="15" hidden="false" customHeight="false" outlineLevel="0" collapsed="false">
      <c r="A58" s="4" t="s">
        <v>96</v>
      </c>
      <c r="B58" s="4" t="s">
        <v>4</v>
      </c>
      <c r="C58" s="4" t="s">
        <v>5</v>
      </c>
      <c r="D58" s="4" t="s">
        <v>6</v>
      </c>
      <c r="E58" s="4" t="s">
        <v>7</v>
      </c>
      <c r="F58" s="4" t="s">
        <v>8</v>
      </c>
      <c r="G58" s="4" t="s">
        <v>9</v>
      </c>
      <c r="H58" s="4" t="s">
        <v>10</v>
      </c>
      <c r="I58" s="4" t="s">
        <v>11</v>
      </c>
      <c r="J58" s="4" t="s">
        <v>12</v>
      </c>
      <c r="K58" s="4" t="s">
        <v>13</v>
      </c>
      <c r="L58" s="4" t="s">
        <v>14</v>
      </c>
      <c r="M58" s="4" t="s">
        <v>15</v>
      </c>
      <c r="N58" s="4" t="s">
        <v>16</v>
      </c>
      <c r="O58" s="4" t="s">
        <v>17</v>
      </c>
      <c r="P58" s="4" t="s">
        <v>18</v>
      </c>
      <c r="Q58" s="4" t="s">
        <v>19</v>
      </c>
      <c r="R58" s="4" t="s">
        <v>20</v>
      </c>
      <c r="S58" s="4" t="s">
        <v>21</v>
      </c>
      <c r="T58" s="4" t="s">
        <v>22</v>
      </c>
    </row>
    <row r="59" customFormat="false" ht="15" hidden="false" customHeight="false" outlineLevel="0" collapsed="false">
      <c r="A59" s="23" t="s">
        <v>24</v>
      </c>
      <c r="B59" s="24" t="n">
        <f aca="false">'0. Database'!C11</f>
        <v>2406</v>
      </c>
      <c r="C59" s="24" t="n">
        <f aca="false">'0. Database'!D11</f>
        <v>2446</v>
      </c>
      <c r="D59" s="24" t="n">
        <f aca="false">'0. Database'!E11</f>
        <v>2574</v>
      </c>
      <c r="E59" s="24" t="n">
        <f aca="false">'0. Database'!F11</f>
        <v>2668</v>
      </c>
      <c r="F59" s="24" t="n">
        <f aca="false">'0. Database'!G11</f>
        <v>3266</v>
      </c>
      <c r="G59" s="24" t="n">
        <f aca="false">'0. Database'!H11</f>
        <v>3940</v>
      </c>
      <c r="H59" s="24" t="n">
        <f aca="false">'0. Database'!I11</f>
        <v>4652</v>
      </c>
      <c r="I59" s="24" t="n">
        <f aca="false">'0. Database'!J11</f>
        <v>5289</v>
      </c>
      <c r="J59" s="24" t="n">
        <f aca="false">'0. Database'!K11</f>
        <v>6118</v>
      </c>
      <c r="K59" s="24" t="n">
        <f aca="false">'0. Database'!L11</f>
        <v>7502</v>
      </c>
      <c r="L59" s="24" t="n">
        <f aca="false">'0. Database'!M11</f>
        <v>9611</v>
      </c>
      <c r="M59" s="24" t="n">
        <f aca="false">'0. Database'!N11</f>
        <v>10734</v>
      </c>
      <c r="N59" s="24" t="n">
        <f aca="false">'0. Database'!O11</f>
        <v>11974</v>
      </c>
      <c r="O59" s="24" t="n">
        <f aca="false">'0. Database'!P11</f>
        <v>12189</v>
      </c>
      <c r="P59" s="24" t="n">
        <f aca="false">'0. Database'!Q11</f>
        <v>10478.4</v>
      </c>
      <c r="Q59" s="24" t="n">
        <f aca="false">'0. Database'!R11</f>
        <v>11434.24</v>
      </c>
      <c r="R59" s="24" t="n">
        <f aca="false">'0. Database'!S11</f>
        <v>12826.56</v>
      </c>
      <c r="S59" s="24" t="n">
        <f aca="false">'0. Database'!T11</f>
        <v>14871.62</v>
      </c>
      <c r="T59" s="24" t="n">
        <f aca="false">'0. Database'!U11</f>
        <v>0</v>
      </c>
    </row>
    <row r="60" customFormat="false" ht="15" hidden="false" customHeight="false" outlineLevel="0" collapsed="false">
      <c r="A60" s="23" t="s">
        <v>43</v>
      </c>
      <c r="B60" s="24" t="n">
        <f aca="false">'0. Database'!C30</f>
        <v>-1134</v>
      </c>
      <c r="C60" s="24" t="n">
        <f aca="false">'0. Database'!D30</f>
        <v>-1497</v>
      </c>
      <c r="D60" s="24" t="n">
        <f aca="false">'0. Database'!E30</f>
        <v>-2120</v>
      </c>
      <c r="E60" s="24" t="n">
        <f aca="false">'0. Database'!F30</f>
        <v>-2975</v>
      </c>
      <c r="F60" s="24" t="n">
        <f aca="false">'0. Database'!G30</f>
        <v>-4214</v>
      </c>
      <c r="G60" s="24" t="n">
        <f aca="false">'0. Database'!H30</f>
        <v>-5418</v>
      </c>
      <c r="H60" s="24" t="n">
        <f aca="false">'0. Database'!I30</f>
        <v>-6864</v>
      </c>
      <c r="I60" s="24" t="n">
        <f aca="false">'0. Database'!J30</f>
        <v>-9208</v>
      </c>
      <c r="J60" s="24" t="n">
        <f aca="false">'0. Database'!K30</f>
        <v>-12757</v>
      </c>
      <c r="K60" s="24" t="n">
        <f aca="false">'0. Database'!L30</f>
        <v>-19621</v>
      </c>
      <c r="L60" s="24" t="n">
        <f aca="false">'0. Database'!M30</f>
        <v>-24023</v>
      </c>
      <c r="M60" s="24" t="n">
        <f aca="false">'0. Database'!N30</f>
        <v>-22077.4</v>
      </c>
      <c r="N60" s="24" t="n">
        <f aca="false">'0. Database'!O30</f>
        <v>-19467</v>
      </c>
      <c r="O60" s="24" t="n">
        <f aca="false">'0. Database'!P30</f>
        <v>-18863.32</v>
      </c>
      <c r="P60" s="24" t="n">
        <f aca="false">'0. Database'!Q30</f>
        <v>-17920.15</v>
      </c>
      <c r="Q60" s="24" t="n">
        <f aca="false">'0. Database'!R30</f>
        <v>-18816.16</v>
      </c>
      <c r="R60" s="24" t="n">
        <f aca="false">'0. Database'!S30</f>
        <v>-19756.97</v>
      </c>
      <c r="S60" s="24" t="n">
        <f aca="false">'0. Database'!T30</f>
        <v>-20744.82</v>
      </c>
      <c r="T60" s="24" t="n">
        <f aca="false">'0. Database'!U30</f>
        <v>-21782.06</v>
      </c>
    </row>
    <row r="61" customFormat="false" ht="15" hidden="false" customHeight="false" outlineLevel="0" collapsed="false">
      <c r="A61" s="23" t="s">
        <v>49</v>
      </c>
      <c r="B61" s="24" t="n">
        <f aca="false">'0. Database'!C47</f>
        <v>-3268</v>
      </c>
      <c r="C61" s="24" t="n">
        <f aca="false">'0. Database'!D47</f>
        <v>-4175</v>
      </c>
      <c r="D61" s="24" t="n">
        <f aca="false">'0. Database'!E47</f>
        <v>-4903</v>
      </c>
      <c r="E61" s="24" t="n">
        <f aca="false">'0. Database'!F47</f>
        <v>-6703</v>
      </c>
      <c r="F61" s="24" t="n">
        <f aca="false">'0. Database'!G47</f>
        <v>-7679</v>
      </c>
      <c r="G61" s="24" t="n">
        <f aca="false">'0. Database'!H47</f>
        <v>-9353</v>
      </c>
      <c r="H61" s="24" t="n">
        <f aca="false">'0. Database'!I47</f>
        <v>-10794</v>
      </c>
      <c r="I61" s="24" t="n">
        <f aca="false">'0. Database'!J47</f>
        <v>-12991</v>
      </c>
      <c r="J61" s="24" t="n">
        <f aca="false">'0. Database'!K47</f>
        <v>-15376</v>
      </c>
      <c r="K61" s="24" t="n">
        <f aca="false">'0. Database'!L47</f>
        <v>-19362</v>
      </c>
      <c r="L61" s="24" t="n">
        <f aca="false">'0. Database'!M47</f>
        <v>-22460</v>
      </c>
      <c r="M61" s="24" t="n">
        <f aca="false">'0. Database'!N47</f>
        <v>-22785</v>
      </c>
      <c r="N61" s="24" t="n">
        <f aca="false">'0. Database'!O47</f>
        <v>-24953</v>
      </c>
      <c r="O61" s="24" t="n">
        <f aca="false">'0. Database'!P47</f>
        <v>-27937.33</v>
      </c>
      <c r="P61" s="24" t="n">
        <f aca="false">'0. Database'!Q47</f>
        <v>-30032.63</v>
      </c>
      <c r="Q61" s="24" t="n">
        <f aca="false">'0. Database'!R47</f>
        <v>-31979.73</v>
      </c>
      <c r="R61" s="24" t="n">
        <f aca="false">'0. Database'!S47</f>
        <v>-33657.1</v>
      </c>
      <c r="S61" s="24" t="n">
        <f aca="false">'0. Database'!T47</f>
        <v>-35339.95</v>
      </c>
      <c r="T61" s="24" t="n">
        <f aca="false">'0. Database'!U47</f>
        <v>-37106.95</v>
      </c>
    </row>
    <row r="62" customFormat="false" ht="15" hidden="false" customHeight="false" outlineLevel="0" collapsed="false">
      <c r="A62" s="23" t="s">
        <v>57</v>
      </c>
      <c r="B62" s="24" t="n">
        <f aca="false">'0. Database'!C66</f>
        <v>-906</v>
      </c>
      <c r="C62" s="24" t="n">
        <f aca="false">'0. Database'!D66</f>
        <v>-1837</v>
      </c>
      <c r="D62" s="24" t="n">
        <f aca="false">'0. Database'!E66</f>
        <v>-2969</v>
      </c>
      <c r="E62" s="24" t="n">
        <f aca="false">'0. Database'!F66</f>
        <v>-3202</v>
      </c>
      <c r="F62" s="24" t="n">
        <f aca="false">'0. Database'!G66</f>
        <v>-3723</v>
      </c>
      <c r="G62" s="24" t="n">
        <f aca="false">'0. Database'!H66</f>
        <v>-4152</v>
      </c>
      <c r="H62" s="24" t="n">
        <f aca="false">'0. Database'!I66</f>
        <v>-4835</v>
      </c>
      <c r="I62" s="24" t="n">
        <f aca="false">'0. Database'!J66</f>
        <v>-6536</v>
      </c>
      <c r="J62" s="24" t="n">
        <f aca="false">'0. Database'!K66</f>
        <v>-9163</v>
      </c>
      <c r="K62" s="24" t="n">
        <f aca="false">'0. Database'!L66</f>
        <v>-11991</v>
      </c>
      <c r="L62" s="24" t="n">
        <f aca="false">'0. Database'!M66</f>
        <v>-14027</v>
      </c>
      <c r="M62" s="24" t="n">
        <f aca="false">'0. Database'!N66</f>
        <v>-16690</v>
      </c>
      <c r="N62" s="24" t="n">
        <f aca="false">'0. Database'!O66</f>
        <v>-20426</v>
      </c>
      <c r="O62" s="24" t="n">
        <f aca="false">'0. Database'!P66</f>
        <v>-23722.2</v>
      </c>
      <c r="P62" s="24" t="n">
        <f aca="false">'0. Database'!Q66</f>
        <v>-24908.31</v>
      </c>
      <c r="Q62" s="24" t="n">
        <f aca="false">'0. Database'!R66</f>
        <v>-26153.73</v>
      </c>
      <c r="R62" s="24" t="n">
        <f aca="false">'0. Database'!S66</f>
        <v>-27461.41</v>
      </c>
      <c r="S62" s="24" t="n">
        <f aca="false">'0. Database'!T66</f>
        <v>-28834.48</v>
      </c>
      <c r="T62" s="24" t="n">
        <f aca="false">'0. Database'!U66</f>
        <v>-30276.21</v>
      </c>
    </row>
    <row r="63" customFormat="false" ht="15" hidden="false" customHeight="false" outlineLevel="0" collapsed="false">
      <c r="A63" s="23" t="s">
        <v>64</v>
      </c>
      <c r="B63" s="24" t="n">
        <f aca="false">'0. Database'!C86</f>
        <v>755</v>
      </c>
      <c r="C63" s="24" t="n">
        <f aca="false">'0. Database'!D86</f>
        <v>805</v>
      </c>
      <c r="D63" s="24" t="n">
        <f aca="false">'0. Database'!E86</f>
        <v>933</v>
      </c>
      <c r="E63" s="24" t="n">
        <f aca="false">'0. Database'!F86</f>
        <v>1037</v>
      </c>
      <c r="F63" s="24" t="n">
        <f aca="false">'0. Database'!G86</f>
        <v>1350</v>
      </c>
      <c r="G63" s="24" t="n">
        <f aca="false">'0. Database'!H86</f>
        <v>1607</v>
      </c>
      <c r="H63" s="24" t="n">
        <f aca="false">'0. Database'!I86</f>
        <v>1653</v>
      </c>
      <c r="I63" s="24" t="n">
        <f aca="false">'0. Database'!J86</f>
        <v>1590</v>
      </c>
      <c r="J63" s="24" t="n">
        <f aca="false">'0. Database'!K86</f>
        <v>1837</v>
      </c>
      <c r="K63" s="24" t="n">
        <f aca="false">'0. Database'!L86</f>
        <v>2613</v>
      </c>
      <c r="L63" s="24" t="n">
        <f aca="false">'0. Database'!M86</f>
        <v>3547</v>
      </c>
      <c r="M63" s="24" t="n">
        <f aca="false">'0. Database'!N86</f>
        <v>3974</v>
      </c>
      <c r="N63" s="24" t="n">
        <f aca="false">'0. Database'!O86</f>
        <v>4674</v>
      </c>
      <c r="O63" s="24" t="n">
        <f aca="false">'0. Database'!P86</f>
        <v>5069.6</v>
      </c>
      <c r="P63" s="24" t="n">
        <f aca="false">'0. Database'!Q86</f>
        <v>6473.15</v>
      </c>
      <c r="Q63" s="24" t="n">
        <f aca="false">'0. Database'!R86</f>
        <v>8609.75</v>
      </c>
      <c r="R63" s="24" t="n">
        <f aca="false">'0. Database'!S86</f>
        <v>10649.61</v>
      </c>
      <c r="S63" s="24" t="n">
        <f aca="false">'0. Database'!T86</f>
        <v>11212.32</v>
      </c>
      <c r="T63" s="24" t="n">
        <f aca="false">'0. Database'!U86</f>
        <v>0</v>
      </c>
    </row>
  </sheetData>
  <mergeCells count="8">
    <mergeCell ref="A1:T1"/>
    <mergeCell ref="A3:T3"/>
    <mergeCell ref="A12:T12"/>
    <mergeCell ref="A21:T21"/>
    <mergeCell ref="A30:T30"/>
    <mergeCell ref="A39:T39"/>
    <mergeCell ref="A48:T48"/>
    <mergeCell ref="A57:T57"/>
  </mergeCells>
  <conditionalFormatting sqref="B14:T18">
    <cfRule type="colorScale" priority="2">
      <colorScale>
        <cfvo type="num" val="-0.2"/>
        <cfvo type="num" val="0.1"/>
        <cfvo type="num" val="0.3"/>
        <color rgb="FFF8696B"/>
        <color rgb="FFFFEB84"/>
        <color rgb="FF63BE7B"/>
      </colorScale>
    </cfRule>
  </conditionalFormatting>
  <conditionalFormatting sqref="B41:T45">
    <cfRule type="colorScale" priority="3">
      <colorScale>
        <cfvo type="num" val="-0.2"/>
        <cfvo type="num" val="0.1"/>
        <cfvo type="num" val="0.3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5" min="2" style="0" width="13"/>
  </cols>
  <sheetData>
    <row r="1" customFormat="false" ht="27.75" hidden="false" customHeight="true" outlineLevel="0" collapsed="false">
      <c r="A1" s="2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customFormat="false" ht="15" hidden="false" customHeight="true" outlineLevel="0" collapsed="false">
      <c r="A3" s="28" t="s">
        <v>122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customFormat="false" ht="15" hidden="false" customHeight="false" outlineLevel="0" collapsed="false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6" customFormat="false" ht="15" hidden="false" customHeight="false" outlineLevel="0" collapsed="false">
      <c r="A6" s="4" t="s">
        <v>123</v>
      </c>
      <c r="C6" s="4" t="s">
        <v>124</v>
      </c>
      <c r="E6" s="4" t="s">
        <v>125</v>
      </c>
      <c r="G6" s="4" t="s">
        <v>126</v>
      </c>
      <c r="I6" s="4" t="s">
        <v>127</v>
      </c>
    </row>
    <row r="7" customFormat="false" ht="15" hidden="false" customHeight="false" outlineLevel="0" collapsed="false">
      <c r="A7" s="29" t="n">
        <v>0.18</v>
      </c>
      <c r="C7" s="29" t="n">
        <v>0.2</v>
      </c>
      <c r="E7" s="29" t="n">
        <v>0.16</v>
      </c>
      <c r="G7" s="29" t="n">
        <v>0.13</v>
      </c>
      <c r="I7" s="29" t="n">
        <v>0.2</v>
      </c>
    </row>
    <row r="9" customFormat="false" ht="36" hidden="false" customHeight="true" outlineLevel="0" collapsed="false">
      <c r="A9" s="30" t="s">
        <v>96</v>
      </c>
      <c r="B9" s="30" t="s">
        <v>128</v>
      </c>
      <c r="C9" s="30" t="s">
        <v>129</v>
      </c>
      <c r="D9" s="30" t="s">
        <v>31</v>
      </c>
      <c r="E9" s="30" t="s">
        <v>130</v>
      </c>
      <c r="F9" s="30" t="s">
        <v>131</v>
      </c>
      <c r="G9" s="30" t="s">
        <v>132</v>
      </c>
      <c r="H9" s="30" t="s">
        <v>133</v>
      </c>
      <c r="I9" s="30" t="s">
        <v>134</v>
      </c>
      <c r="J9" s="30" t="s">
        <v>135</v>
      </c>
      <c r="K9" s="30" t="s">
        <v>136</v>
      </c>
      <c r="L9" s="30" t="s">
        <v>137</v>
      </c>
      <c r="M9" s="30" t="s">
        <v>138</v>
      </c>
      <c r="N9" s="30" t="s">
        <v>139</v>
      </c>
    </row>
    <row r="10" customFormat="false" ht="15" hidden="false" customHeight="false" outlineLevel="0" collapsed="false">
      <c r="A10" s="31" t="s">
        <v>24</v>
      </c>
      <c r="B10" s="32" t="n">
        <f aca="false">'0. Database'!P9</f>
        <v>16.75</v>
      </c>
      <c r="C10" s="33" t="n">
        <f aca="false">'0. Database'!P8</f>
        <v>129372.86</v>
      </c>
      <c r="D10" s="33" t="n">
        <f aca="false">'0. Database'!P12</f>
        <v>39638.96</v>
      </c>
      <c r="E10" s="34" t="n">
        <f aca="false">$A$7</f>
        <v>0.18</v>
      </c>
      <c r="F10" s="33" t="n">
        <f aca="false">0.5*'0. Database'!P12</f>
        <v>19819.48</v>
      </c>
      <c r="G10" s="33" t="n">
        <f aca="false">$F$10*(1-$A$7)</f>
        <v>16251.9736</v>
      </c>
      <c r="H10" s="32" t="n">
        <f aca="false">('0. Database'!P8-$G$10)/'0. Database'!P10</f>
        <v>15.1759245610057</v>
      </c>
      <c r="I10" s="25" t="n">
        <f aca="false">$H$10/'0. Database'!P9-1</f>
        <v>-0.0939746530742839</v>
      </c>
      <c r="J10" s="33" t="n">
        <f aca="false">1*'0. Database'!P12</f>
        <v>39638.96</v>
      </c>
      <c r="K10" s="33" t="n">
        <f aca="false">$J$10*(1-$A$7)</f>
        <v>32503.9472</v>
      </c>
      <c r="L10" s="32" t="n">
        <f aca="false">('0. Database'!P8-$K$10)/'0. Database'!P10</f>
        <v>12.9956134516238</v>
      </c>
      <c r="M10" s="25" t="n">
        <f aca="false">$L$10/'0. Database'!P9-1</f>
        <v>-0.224142480500074</v>
      </c>
      <c r="N10" s="35" t="str">
        <f aca="false">IF($M$10&lt;-0.5,"EXTREME",IF($M$10&lt;-0.3,"HIGH",IF($M$10&lt;-0.2,"MEDIUM","LOW")))</f>
        <v>MEDIUM</v>
      </c>
    </row>
    <row r="11" customFormat="false" ht="15" hidden="false" customHeight="false" outlineLevel="0" collapsed="false">
      <c r="A11" s="31" t="s">
        <v>43</v>
      </c>
      <c r="B11" s="32" t="n">
        <f aca="false">'0. Database'!P28</f>
        <v>9.02</v>
      </c>
      <c r="C11" s="33" t="n">
        <f aca="false">'0. Database'!P27</f>
        <v>98333.72</v>
      </c>
      <c r="D11" s="33" t="n">
        <f aca="false">'0. Database'!P31</f>
        <v>81175.82</v>
      </c>
      <c r="E11" s="34" t="n">
        <f aca="false">$C$7</f>
        <v>0.2</v>
      </c>
      <c r="F11" s="33" t="n">
        <f aca="false">0.5*'0. Database'!P31</f>
        <v>40587.91</v>
      </c>
      <c r="G11" s="33" t="n">
        <f aca="false">$F$11*(1-$C$7)</f>
        <v>32470.328</v>
      </c>
      <c r="H11" s="32" t="n">
        <f aca="false">('0. Database'!P27-$G$11)/'0. Database'!P29</f>
        <v>6.03833051418513</v>
      </c>
      <c r="I11" s="25" t="n">
        <f aca="false">$H$11/'0. Database'!P28-1</f>
        <v>-0.330562027252203</v>
      </c>
      <c r="J11" s="33" t="n">
        <f aca="false">1*'0. Database'!P31</f>
        <v>81175.82</v>
      </c>
      <c r="K11" s="33" t="n">
        <f aca="false">$J$11*(1-$C$7)</f>
        <v>64940.656</v>
      </c>
      <c r="L11" s="32" t="n">
        <f aca="false">('0. Database'!P27-$K$11)/'0. Database'!P29</f>
        <v>3.06146329835756</v>
      </c>
      <c r="M11" s="25" t="n">
        <f aca="false">$L$11/'0. Database'!P28-1</f>
        <v>-0.660591652066789</v>
      </c>
      <c r="N11" s="35" t="str">
        <f aca="false">IF($M$11&lt;-0.5,"EXTREME",IF($M$11&lt;-0.3,"HIGH",IF($M$11&lt;-0.2,"MEDIUM","LOW")))</f>
        <v>EXTREME</v>
      </c>
    </row>
    <row r="12" customFormat="false" ht="15" hidden="false" customHeight="false" outlineLevel="0" collapsed="false">
      <c r="A12" s="31" t="s">
        <v>49</v>
      </c>
      <c r="B12" s="32" t="n">
        <f aca="false">'0. Database'!P45</f>
        <v>13.73</v>
      </c>
      <c r="C12" s="33" t="n">
        <f aca="false">'0. Database'!P44</f>
        <v>168543.28</v>
      </c>
      <c r="D12" s="33" t="n">
        <f aca="false">'0. Database'!P48</f>
        <v>42874.7</v>
      </c>
      <c r="E12" s="34" t="n">
        <f aca="false">$E$7</f>
        <v>0.16</v>
      </c>
      <c r="F12" s="33" t="n">
        <f aca="false">0.5*'0. Database'!P48</f>
        <v>21437.35</v>
      </c>
      <c r="G12" s="33" t="n">
        <f aca="false">$F$12*(1-$E$7)</f>
        <v>18007.374</v>
      </c>
      <c r="H12" s="32" t="n">
        <f aca="false">('0. Database'!P44-$G$12)/'0. Database'!P46</f>
        <v>12.2626585619373</v>
      </c>
      <c r="I12" s="25" t="n">
        <f aca="false">$H$12/'0. Database'!P45-1</f>
        <v>-0.106871189953582</v>
      </c>
      <c r="J12" s="33" t="n">
        <f aca="false">1*'0. Database'!P48</f>
        <v>42874.7</v>
      </c>
      <c r="K12" s="33" t="n">
        <f aca="false">$J$12*(1-$E$7)</f>
        <v>36014.748</v>
      </c>
      <c r="L12" s="32" t="n">
        <f aca="false">('0. Database'!P44-$K$12)/'0. Database'!P46</f>
        <v>10.79577743818</v>
      </c>
      <c r="M12" s="25" t="n">
        <f aca="false">$L$12/'0. Database'!P45-1</f>
        <v>-0.213708853737801</v>
      </c>
      <c r="N12" s="35" t="str">
        <f aca="false">IF($M$12&lt;-0.5,"EXTREME",IF($M$12&lt;-0.3,"HIGH",IF($M$12&lt;-0.2,"MEDIUM","LOW")))</f>
        <v>MEDIUM</v>
      </c>
    </row>
    <row r="13" customFormat="false" ht="15" hidden="false" customHeight="false" outlineLevel="0" collapsed="false">
      <c r="A13" s="31" t="s">
        <v>57</v>
      </c>
      <c r="B13" s="32" t="n">
        <f aca="false">'0. Database'!P64</f>
        <v>33.28</v>
      </c>
      <c r="C13" s="33" t="n">
        <f aca="false">'0. Database'!P63</f>
        <v>85782.86</v>
      </c>
      <c r="D13" s="33" t="n">
        <f aca="false">'0. Database'!P67</f>
        <v>35955.99</v>
      </c>
      <c r="E13" s="34" t="n">
        <f aca="false">$G$7</f>
        <v>0.13</v>
      </c>
      <c r="F13" s="33" t="n">
        <f aca="false">0.5*'0. Database'!P67</f>
        <v>17977.995</v>
      </c>
      <c r="G13" s="33" t="n">
        <f aca="false">$F$13*(1-$G$7)</f>
        <v>15640.85565</v>
      </c>
      <c r="H13" s="32" t="n">
        <f aca="false">('0. Database'!P63-$G$13)/'0. Database'!P65</f>
        <v>27.2101312946361</v>
      </c>
      <c r="I13" s="25" t="n">
        <f aca="false">$H$13/'0. Database'!P64-1</f>
        <v>-0.182387881771752</v>
      </c>
      <c r="J13" s="33" t="n">
        <f aca="false">1*'0. Database'!P67</f>
        <v>35955.99</v>
      </c>
      <c r="K13" s="33" t="n">
        <f aca="false">$J$13*(1-$G$7)</f>
        <v>31281.7113</v>
      </c>
      <c r="L13" s="32" t="n">
        <f aca="false">('0. Database'!P63-$K$13)/'0. Database'!P65</f>
        <v>21.1425867506663</v>
      </c>
      <c r="M13" s="25" t="n">
        <f aca="false">$L$13/'0. Database'!P64-1</f>
        <v>-0.364705926963153</v>
      </c>
      <c r="N13" s="35" t="str">
        <f aca="false">IF($M$13&lt;-0.5,"EXTREME",IF($M$13&lt;-0.3,"HIGH",IF($M$13&lt;-0.2,"MEDIUM","LOW")))</f>
        <v>HIGH</v>
      </c>
    </row>
    <row r="14" customFormat="false" ht="15" hidden="false" customHeight="false" outlineLevel="0" collapsed="false">
      <c r="A14" s="31" t="s">
        <v>64</v>
      </c>
      <c r="B14" s="32" t="n">
        <f aca="false">'0. Database'!P83</f>
        <v>5.43</v>
      </c>
      <c r="C14" s="33" t="n">
        <f aca="false">'0. Database'!P82</f>
        <v>15820.55</v>
      </c>
      <c r="D14" s="33" t="n">
        <f aca="false">'0. Database'!P87</f>
        <v>7501.53</v>
      </c>
      <c r="E14" s="34" t="n">
        <f aca="false">$I$7</f>
        <v>0.2</v>
      </c>
      <c r="F14" s="33" t="n">
        <f aca="false">0.5*'0. Database'!P87</f>
        <v>3750.765</v>
      </c>
      <c r="G14" s="33" t="n">
        <f aca="false">$F$14*(1-$I$7)</f>
        <v>3000.612</v>
      </c>
      <c r="H14" s="32" t="n">
        <f aca="false">('0. Database'!P82-$G$14)/'0. Database'!P85</f>
        <v>4.39677408291492</v>
      </c>
      <c r="I14" s="25" t="n">
        <f aca="false">$H$14/'0. Database'!P83-1</f>
        <v>-0.190281016037769</v>
      </c>
      <c r="J14" s="33" t="n">
        <f aca="false">1*'0. Database'!P87</f>
        <v>7501.53</v>
      </c>
      <c r="K14" s="33" t="n">
        <f aca="false">$J$14*(1-$I$7)</f>
        <v>6001.224</v>
      </c>
      <c r="L14" s="32" t="n">
        <f aca="false">('0. Database'!P82-$K$14)/'0. Database'!P85</f>
        <v>3.36767292232557</v>
      </c>
      <c r="M14" s="25" t="n">
        <f aca="false">$L$14/'0. Database'!P83-1</f>
        <v>-0.379802408411498</v>
      </c>
      <c r="N14" s="35" t="str">
        <f aca="false">IF($M$14&lt;-0.5,"EXTREME",IF($M$14&lt;-0.3,"HIGH",IF($M$14&lt;-0.2,"MEDIUM","LOW")))</f>
        <v>HIGH</v>
      </c>
    </row>
  </sheetData>
  <mergeCells count="2">
    <mergeCell ref="A1:N1"/>
    <mergeCell ref="A3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7" min="2" style="0" width="10"/>
  </cols>
  <sheetData>
    <row r="1" customFormat="false" ht="27.75" hidden="false" customHeight="true" outlineLevel="0" collapsed="false">
      <c r="A1" s="21" t="s">
        <v>140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3" customFormat="false" ht="15" hidden="false" customHeight="true" outlineLevel="0" collapsed="false">
      <c r="A3" s="36"/>
      <c r="B3" s="37" t="s">
        <v>24</v>
      </c>
      <c r="C3" s="37"/>
      <c r="D3" s="37"/>
      <c r="E3" s="38" t="s">
        <v>43</v>
      </c>
      <c r="F3" s="38"/>
      <c r="G3" s="38"/>
      <c r="H3" s="39" t="s">
        <v>49</v>
      </c>
      <c r="I3" s="39"/>
      <c r="J3" s="39"/>
      <c r="K3" s="40" t="s">
        <v>57</v>
      </c>
      <c r="L3" s="40"/>
      <c r="M3" s="40"/>
      <c r="N3" s="41" t="s">
        <v>64</v>
      </c>
      <c r="O3" s="41"/>
      <c r="P3" s="41"/>
    </row>
    <row r="4" customFormat="false" ht="15" hidden="false" customHeight="false" outlineLevel="0" collapsed="false">
      <c r="A4" s="42" t="s">
        <v>3</v>
      </c>
      <c r="B4" s="4" t="s">
        <v>15</v>
      </c>
      <c r="C4" s="4" t="s">
        <v>16</v>
      </c>
      <c r="D4" s="4" t="s">
        <v>17</v>
      </c>
      <c r="E4" s="4" t="s">
        <v>15</v>
      </c>
      <c r="F4" s="4" t="s">
        <v>16</v>
      </c>
      <c r="G4" s="4" t="s">
        <v>17</v>
      </c>
      <c r="H4" s="4" t="s">
        <v>15</v>
      </c>
      <c r="I4" s="4" t="s">
        <v>16</v>
      </c>
      <c r="J4" s="4" t="s">
        <v>17</v>
      </c>
      <c r="K4" s="4" t="s">
        <v>15</v>
      </c>
      <c r="L4" s="4" t="s">
        <v>16</v>
      </c>
      <c r="M4" s="4" t="s">
        <v>17</v>
      </c>
      <c r="N4" s="4" t="s">
        <v>15</v>
      </c>
      <c r="O4" s="4" t="s">
        <v>16</v>
      </c>
      <c r="P4" s="4" t="s">
        <v>17</v>
      </c>
    </row>
    <row r="5" customFormat="false" ht="15" hidden="false" customHeight="false" outlineLevel="0" collapsed="false">
      <c r="A5" s="23" t="s">
        <v>141</v>
      </c>
      <c r="B5" s="24" t="n">
        <f aca="false">'0. Database'!N6</f>
        <v>245122</v>
      </c>
      <c r="C5" s="24" t="n">
        <f aca="false">'0. Database'!O6</f>
        <v>281724</v>
      </c>
      <c r="D5" s="24" t="n">
        <f aca="false">'0. Database'!P6</f>
        <v>329440.24</v>
      </c>
      <c r="E5" s="24" t="n">
        <f aca="false">'0. Database'!N25</f>
        <v>637959</v>
      </c>
      <c r="F5" s="24" t="n">
        <f aca="false">'0. Database'!O25</f>
        <v>716924</v>
      </c>
      <c r="G5" s="24" t="n">
        <f aca="false">'0. Database'!P25</f>
        <v>827599.51</v>
      </c>
      <c r="H5" s="24" t="n">
        <f aca="false">'0. Database'!N42</f>
        <v>350018</v>
      </c>
      <c r="I5" s="24" t="n">
        <f aca="false">'0. Database'!O42</f>
        <v>402836</v>
      </c>
      <c r="J5" s="24" t="n">
        <f aca="false">'0. Database'!P42</f>
        <v>488278.6</v>
      </c>
      <c r="K5" s="24" t="n">
        <f aca="false">'0. Database'!N61</f>
        <v>164500</v>
      </c>
      <c r="L5" s="24" t="n">
        <f aca="false">'0. Database'!O61</f>
        <v>200965</v>
      </c>
      <c r="M5" s="24" t="n">
        <f aca="false">'0. Database'!P61</f>
        <v>255175.56</v>
      </c>
      <c r="N5" s="24" t="n">
        <f aca="false">'0. Database'!N79</f>
        <v>52961</v>
      </c>
      <c r="O5" s="24" t="n">
        <f aca="false">'0. Database'!O79</f>
        <v>57399</v>
      </c>
      <c r="P5" s="24" t="n">
        <f aca="false">'0. Database'!P79</f>
        <v>67286.75</v>
      </c>
    </row>
    <row r="6" customFormat="false" ht="15" hidden="false" customHeight="false" outlineLevel="0" collapsed="false">
      <c r="A6" s="23" t="s">
        <v>142</v>
      </c>
      <c r="B6" s="25" t="n">
        <f aca="false">IFERROR('0. Database'!N6/'0. Database'!M6-1,"")</f>
        <v>0.156699620130713</v>
      </c>
      <c r="C6" s="25" t="n">
        <f aca="false">IFERROR('0. Database'!O6/'0. Database'!N6-1,"")</f>
        <v>0.149321562324067</v>
      </c>
      <c r="D6" s="25" t="n">
        <f aca="false">IFERROR('0. Database'!P6/'0. Database'!O6-1,"")</f>
        <v>0.169372293450327</v>
      </c>
      <c r="E6" s="25" t="n">
        <f aca="false">IFERROR('0. Database'!N25/'0. Database'!M25-1,"")</f>
        <v>0.109908922466661</v>
      </c>
      <c r="F6" s="25" t="n">
        <f aca="false">IFERROR('0. Database'!O25/'0. Database'!N25-1,"")</f>
        <v>0.123777546832947</v>
      </c>
      <c r="G6" s="25" t="n">
        <f aca="false">IFERROR('0. Database'!P25/'0. Database'!O25-1,"")</f>
        <v>0.154375512606636</v>
      </c>
      <c r="H6" s="25" t="n">
        <f aca="false">IFERROR('0. Database'!N42/'0. Database'!M42-1,"")</f>
        <v>0.138662433229016</v>
      </c>
      <c r="I6" s="25" t="n">
        <f aca="false">IFERROR('0. Database'!O42/'0. Database'!N42-1,"")</f>
        <v>0.150900810815444</v>
      </c>
      <c r="J6" s="25" t="n">
        <f aca="false">IFERROR('0. Database'!P42/'0. Database'!O42-1,"")</f>
        <v>0.212102691914327</v>
      </c>
      <c r="K6" s="25" t="n">
        <f aca="false">IFERROR('0. Database'!N61/'0. Database'!M61-1,"")</f>
        <v>0.219412754538513</v>
      </c>
      <c r="L6" s="25" t="n">
        <f aca="false">IFERROR('0. Database'!O61/'0. Database'!N61-1,"")</f>
        <v>0.221671732522796</v>
      </c>
      <c r="M6" s="25" t="n">
        <f aca="false">IFERROR('0. Database'!P61/'0. Database'!O61-1,"")</f>
        <v>0.2697512502177</v>
      </c>
      <c r="N6" s="25" t="n">
        <f aca="false">IFERROR('0. Database'!N79/'0. Database'!M79-1,"")</f>
        <v>0.060174156741067</v>
      </c>
      <c r="O6" s="25" t="n">
        <f aca="false">IFERROR('0. Database'!O79/'0. Database'!N79-1,"")</f>
        <v>0.0837975113762959</v>
      </c>
      <c r="P6" s="25" t="n">
        <f aca="false">IFERROR('0. Database'!P79/'0. Database'!O79-1,"")</f>
        <v>0.172263454067144</v>
      </c>
    </row>
    <row r="7" customFormat="false" ht="15" hidden="false" customHeight="false" outlineLevel="0" collapsed="false">
      <c r="A7" s="23" t="s">
        <v>143</v>
      </c>
      <c r="B7" s="24" t="n">
        <f aca="false">'0. Database'!N7</f>
        <v>109433</v>
      </c>
      <c r="C7" s="24" t="n">
        <f aca="false">'0. Database'!O7</f>
        <v>128528</v>
      </c>
      <c r="D7" s="24" t="n">
        <f aca="false">'0. Database'!P7</f>
        <v>153454.1</v>
      </c>
      <c r="E7" s="24" t="n">
        <f aca="false">'0. Database'!N26</f>
        <v>68593</v>
      </c>
      <c r="F7" s="24" t="n">
        <f aca="false">'0. Database'!O26</f>
        <v>79975</v>
      </c>
      <c r="G7" s="24" t="n">
        <f aca="false">'0. Database'!P26</f>
        <v>109001.86</v>
      </c>
      <c r="H7" s="24" t="n">
        <f aca="false">'0. Database'!N43</f>
        <v>112390</v>
      </c>
      <c r="I7" s="24" t="n">
        <f aca="false">'0. Database'!O43</f>
        <v>129039</v>
      </c>
      <c r="J7" s="24" t="n">
        <f aca="false">'0. Database'!P43</f>
        <v>167318.21</v>
      </c>
      <c r="K7" s="24" t="n">
        <f aca="false">'0. Database'!N62</f>
        <v>69380</v>
      </c>
      <c r="L7" s="24" t="n">
        <f aca="false">'0. Database'!O62</f>
        <v>83276</v>
      </c>
      <c r="M7" s="24" t="n">
        <f aca="false">'0. Database'!P62</f>
        <v>90489.79</v>
      </c>
      <c r="N7" s="24" t="n">
        <f aca="false">'0. Database'!N80</f>
        <v>15354</v>
      </c>
      <c r="O7" s="24" t="n">
        <f aca="false">'0. Database'!O80</f>
        <v>17678</v>
      </c>
      <c r="P7" s="24" t="n">
        <f aca="false">'0. Database'!P80</f>
        <v>19462.44</v>
      </c>
    </row>
    <row r="8" customFormat="false" ht="15" hidden="false" customHeight="false" outlineLevel="0" collapsed="false">
      <c r="A8" s="23" t="s">
        <v>144</v>
      </c>
      <c r="B8" s="25" t="n">
        <f aca="false">IFERROR('0. Database'!N7/'0. Database'!N6,"")</f>
        <v>0.446442995732737</v>
      </c>
      <c r="C8" s="25" t="n">
        <f aca="false">IFERROR('0. Database'!O7/'0. Database'!O6,"")</f>
        <v>0.456219562408599</v>
      </c>
      <c r="D8" s="25" t="n">
        <f aca="false">IFERROR('0. Database'!P7/'0. Database'!P6,"")</f>
        <v>0.465802538269156</v>
      </c>
      <c r="E8" s="25" t="n">
        <f aca="false">IFERROR('0. Database'!N26/'0. Database'!N25,"")</f>
        <v>0.107519448742004</v>
      </c>
      <c r="F8" s="25" t="n">
        <f aca="false">IFERROR('0. Database'!O26/'0. Database'!O25,"")</f>
        <v>0.111552967957552</v>
      </c>
      <c r="G8" s="25" t="n">
        <f aca="false">IFERROR('0. Database'!P26/'0. Database'!P25,"")</f>
        <v>0.131708463674658</v>
      </c>
      <c r="H8" s="25" t="n">
        <f aca="false">IFERROR('0. Database'!N43/'0. Database'!N42,"")</f>
        <v>0.321097772114577</v>
      </c>
      <c r="I8" s="25" t="n">
        <f aca="false">IFERROR('0. Database'!O43/'0. Database'!O42,"")</f>
        <v>0.3203263859238</v>
      </c>
      <c r="J8" s="25" t="n">
        <f aca="false">IFERROR('0. Database'!P43/'0. Database'!P42,"")</f>
        <v>0.342669553816202</v>
      </c>
      <c r="K8" s="25" t="n">
        <f aca="false">IFERROR('0. Database'!N62/'0. Database'!N61,"")</f>
        <v>0.421762917933131</v>
      </c>
      <c r="L8" s="25" t="n">
        <f aca="false">IFERROR('0. Database'!O62/'0. Database'!O61,"")</f>
        <v>0.414380613539671</v>
      </c>
      <c r="M8" s="25" t="n">
        <f aca="false">IFERROR('0. Database'!P62/'0. Database'!P61,"")</f>
        <v>0.354617777658644</v>
      </c>
      <c r="N8" s="25" t="n">
        <f aca="false">IFERROR('0. Database'!N80/'0. Database'!N79,"")</f>
        <v>0.289911444270312</v>
      </c>
      <c r="O8" s="25" t="n">
        <f aca="false">IFERROR('0. Database'!O80/'0. Database'!O79,"")</f>
        <v>0.307984459659576</v>
      </c>
      <c r="P8" s="25" t="n">
        <f aca="false">IFERROR('0. Database'!P80/'0. Database'!P79,"")</f>
        <v>0.289246248332696</v>
      </c>
    </row>
    <row r="9" customFormat="false" ht="15" hidden="false" customHeight="false" outlineLevel="0" collapsed="false">
      <c r="A9" s="23" t="s">
        <v>145</v>
      </c>
      <c r="B9" s="24" t="n">
        <f aca="false">'0. Database'!N8</f>
        <v>88136</v>
      </c>
      <c r="C9" s="24" t="n">
        <f aca="false">'0. Database'!O8</f>
        <v>101832</v>
      </c>
      <c r="D9" s="24" t="n">
        <f aca="false">'0. Database'!P8</f>
        <v>129372.86</v>
      </c>
      <c r="E9" s="24" t="n">
        <f aca="false">'0. Database'!N27</f>
        <v>59248</v>
      </c>
      <c r="F9" s="24" t="n">
        <f aca="false">'0. Database'!O27</f>
        <v>77670</v>
      </c>
      <c r="G9" s="24" t="n">
        <f aca="false">'0. Database'!P27</f>
        <v>98333.72</v>
      </c>
      <c r="H9" s="24" t="n">
        <f aca="false">'0. Database'!N44</f>
        <v>100118</v>
      </c>
      <c r="I9" s="24" t="n">
        <f aca="false">'0. Database'!O44</f>
        <v>132170</v>
      </c>
      <c r="J9" s="24" t="n">
        <f aca="false">'0. Database'!P44</f>
        <v>168543.28</v>
      </c>
      <c r="K9" s="24" t="n">
        <f aca="false">'0. Database'!N63</f>
        <v>62360</v>
      </c>
      <c r="L9" s="24" t="n">
        <f aca="false">'0. Database'!O63</f>
        <v>60458</v>
      </c>
      <c r="M9" s="24" t="n">
        <f aca="false">'0. Database'!P63</f>
        <v>85782.86</v>
      </c>
      <c r="N9" s="24" t="n">
        <f aca="false">'0. Database'!N82</f>
        <v>10467</v>
      </c>
      <c r="O9" s="24" t="n">
        <f aca="false">'0. Database'!O82</f>
        <v>12443</v>
      </c>
      <c r="P9" s="24" t="n">
        <f aca="false">'0. Database'!P82</f>
        <v>15820.55</v>
      </c>
    </row>
    <row r="10" customFormat="false" ht="15" hidden="false" customHeight="false" outlineLevel="0" collapsed="false">
      <c r="A10" s="23" t="s">
        <v>146</v>
      </c>
      <c r="B10" s="43" t="n">
        <f aca="false">'0. Database'!N9</f>
        <v>11.8</v>
      </c>
      <c r="C10" s="43" t="n">
        <f aca="false">'0. Database'!O9</f>
        <v>13.91</v>
      </c>
      <c r="D10" s="43" t="n">
        <f aca="false">'0. Database'!P9</f>
        <v>16.75</v>
      </c>
      <c r="E10" s="43" t="n">
        <f aca="false">'0. Database'!N28</f>
        <v>5.53</v>
      </c>
      <c r="F10" s="43" t="n">
        <f aca="false">'0. Database'!O28</f>
        <v>7.17</v>
      </c>
      <c r="G10" s="43" t="n">
        <f aca="false">'0. Database'!P28</f>
        <v>9.02</v>
      </c>
      <c r="H10" s="43" t="n">
        <f aca="false">'0. Database'!N45</f>
        <v>8.04</v>
      </c>
      <c r="I10" s="43" t="n">
        <f aca="false">'0. Database'!O45</f>
        <v>10.81</v>
      </c>
      <c r="J10" s="43" t="n">
        <f aca="false">'0. Database'!P45</f>
        <v>13.73</v>
      </c>
      <c r="K10" s="43" t="n">
        <f aca="false">'0. Database'!N64</f>
        <v>23.99</v>
      </c>
      <c r="L10" s="43" t="n">
        <f aca="false">'0. Database'!O64</f>
        <v>23.49</v>
      </c>
      <c r="M10" s="43" t="n">
        <f aca="false">'0. Database'!P64</f>
        <v>33.28</v>
      </c>
      <c r="N10" s="43" t="n">
        <f aca="false">'0. Database'!N83</f>
        <v>3.71</v>
      </c>
      <c r="O10" s="43" t="n">
        <f aca="false">'0. Database'!O83</f>
        <v>4.34</v>
      </c>
      <c r="P10" s="43" t="n">
        <f aca="false">'0. Database'!P83</f>
        <v>5.43</v>
      </c>
    </row>
    <row r="11" customFormat="false" ht="15" hidden="false" customHeight="false" outlineLevel="0" collapsed="false">
      <c r="A11" s="23" t="s">
        <v>147</v>
      </c>
      <c r="B11" s="25" t="n">
        <f aca="false">IFERROR('0. Database'!N9/'0. Database'!M9-1,"")</f>
        <v>0.202854230377166</v>
      </c>
      <c r="C11" s="25" t="n">
        <f aca="false">IFERROR('0. Database'!O9/'0. Database'!N9-1,"")</f>
        <v>0.178813559322034</v>
      </c>
      <c r="D11" s="25" t="n">
        <f aca="false">IFERROR('0. Database'!P9/'0. Database'!O9-1,"")</f>
        <v>0.204169662113587</v>
      </c>
      <c r="E11" s="25" t="n">
        <f aca="false">IFERROR('0. Database'!N28/'0. Database'!M28-1,"")</f>
        <v>0.920138888888889</v>
      </c>
      <c r="F11" s="25" t="n">
        <f aca="false">IFERROR('0. Database'!O28/'0. Database'!N28-1,"")</f>
        <v>0.296564195298372</v>
      </c>
      <c r="G11" s="25" t="n">
        <f aca="false">IFERROR('0. Database'!P28/'0. Database'!O28-1,"")</f>
        <v>0.258019525801953</v>
      </c>
      <c r="H11" s="25" t="n">
        <f aca="false">IFERROR('0. Database'!N45/'0. Database'!M45-1,"")</f>
        <v>0.386206896551724</v>
      </c>
      <c r="I11" s="25" t="n">
        <f aca="false">IFERROR('0. Database'!O45/'0. Database'!N45-1,"")</f>
        <v>0.34452736318408</v>
      </c>
      <c r="J11" s="25" t="n">
        <f aca="false">IFERROR('0. Database'!P45/'0. Database'!O45-1,"")</f>
        <v>0.270120259019427</v>
      </c>
      <c r="K11" s="25" t="n">
        <f aca="false">IFERROR('0. Database'!N64/'0. Database'!M64-1,"")</f>
        <v>0.613315400134499</v>
      </c>
      <c r="L11" s="25" t="n">
        <f aca="false">IFERROR('0. Database'!O64/'0. Database'!N64-1,"")</f>
        <v>-0.0208420175072948</v>
      </c>
      <c r="M11" s="25" t="n">
        <f aca="false">IFERROR('0. Database'!P64/'0. Database'!O64-1,"")</f>
        <v>0.416773094934015</v>
      </c>
      <c r="N11" s="25" t="n">
        <f aca="false">IFERROR('0. Database'!N83/'0. Database'!M83-1,"")</f>
        <v>0.208469055374593</v>
      </c>
      <c r="O11" s="25" t="n">
        <f aca="false">IFERROR('0. Database'!O83/'0. Database'!N83-1,"")</f>
        <v>0.169811320754717</v>
      </c>
      <c r="P11" s="25" t="n">
        <f aca="false">IFERROR('0. Database'!P83/'0. Database'!O83-1,"")</f>
        <v>0.251152073732719</v>
      </c>
    </row>
    <row r="12" customFormat="false" ht="15" hidden="false" customHeight="false" outlineLevel="0" collapsed="false">
      <c r="A12" s="23" t="s">
        <v>148</v>
      </c>
      <c r="B12" s="24" t="n">
        <f aca="false">'0. Database'!N13</f>
        <v>55700</v>
      </c>
      <c r="C12" s="24" t="n">
        <f aca="false">'0. Database'!O13</f>
        <v>88200</v>
      </c>
      <c r="D12" s="24" t="n">
        <f aca="false">'0. Database'!P13</f>
        <v>145871.3</v>
      </c>
      <c r="E12" s="24" t="n">
        <f aca="false">'0. Database'!N32</f>
        <v>77658</v>
      </c>
      <c r="F12" s="24" t="n">
        <f aca="false">'0. Database'!O32</f>
        <v>128320</v>
      </c>
      <c r="G12" s="24" t="n">
        <f aca="false">'0. Database'!P32</f>
        <v>200104.98</v>
      </c>
      <c r="H12" s="24" t="n">
        <f aca="false">'0. Database'!N49</f>
        <v>52535</v>
      </c>
      <c r="I12" s="24" t="n">
        <f aca="false">'0. Database'!O49</f>
        <v>91447</v>
      </c>
      <c r="J12" s="24" t="n">
        <f aca="false">'0. Database'!P49</f>
        <v>185234.28</v>
      </c>
      <c r="K12" s="24" t="n">
        <f aca="false">'0. Database'!N68</f>
        <v>37256</v>
      </c>
      <c r="L12" s="24" t="n">
        <f aca="false">'0. Database'!O68</f>
        <v>69691</v>
      </c>
      <c r="M12" s="24" t="n">
        <f aca="false">'0. Database'!P68</f>
        <v>135583.71</v>
      </c>
      <c r="N12" s="24" t="n">
        <f aca="false">'0. Database'!N88</f>
        <v>6866</v>
      </c>
      <c r="O12" s="24" t="n">
        <f aca="false">'0. Database'!O88</f>
        <v>21215</v>
      </c>
      <c r="P12" s="24" t="n">
        <f aca="false">'0. Database'!P88</f>
        <v>51882</v>
      </c>
    </row>
    <row r="13" customFormat="false" ht="15" hidden="false" customHeight="false" outlineLevel="0" collapsed="false">
      <c r="A13" s="23" t="s">
        <v>149</v>
      </c>
      <c r="B13" s="25" t="n">
        <f aca="false">IFERROR('0. Database'!N13/'0. Database'!N6,"")</f>
        <v>0.227233785625117</v>
      </c>
      <c r="C13" s="25" t="n">
        <f aca="false">IFERROR('0. Database'!O13/'0. Database'!O6,"")</f>
        <v>0.313072368701282</v>
      </c>
      <c r="D13" s="25" t="n">
        <f aca="false">IFERROR('0. Database'!P13/'0. Database'!P6,"")</f>
        <v>0.442785313658101</v>
      </c>
      <c r="E13" s="25" t="n">
        <f aca="false">IFERROR('0. Database'!N32/'0. Database'!N25,"")</f>
        <v>0.121728825833635</v>
      </c>
      <c r="F13" s="25" t="n">
        <f aca="false">IFERROR('0. Database'!O32/'0. Database'!O25,"")</f>
        <v>0.178986894008291</v>
      </c>
      <c r="G13" s="25" t="n">
        <f aca="false">IFERROR('0. Database'!P32/'0. Database'!P25,"")</f>
        <v>0.24178963083243</v>
      </c>
      <c r="H13" s="25" t="n">
        <f aca="false">IFERROR('0. Database'!N49/'0. Database'!N42,"")</f>
        <v>0.150092280968407</v>
      </c>
      <c r="I13" s="25" t="n">
        <f aca="false">IFERROR('0. Database'!O49/'0. Database'!O42,"")</f>
        <v>0.227008013186508</v>
      </c>
      <c r="J13" s="25" t="n">
        <f aca="false">IFERROR('0. Database'!P49/'0. Database'!P42,"")</f>
        <v>0.37936186431271</v>
      </c>
      <c r="K13" s="25" t="n">
        <f aca="false">IFERROR('0. Database'!N68/'0. Database'!N61,"")</f>
        <v>0.226480243161094</v>
      </c>
      <c r="L13" s="25" t="n">
        <f aca="false">IFERROR('0. Database'!O68/'0. Database'!O61,"")</f>
        <v>0.346781777921529</v>
      </c>
      <c r="M13" s="25" t="n">
        <f aca="false">IFERROR('0. Database'!P68/'0. Database'!P61,"")</f>
        <v>0.531335014999085</v>
      </c>
      <c r="N13" s="25" t="n">
        <f aca="false">IFERROR('0. Database'!N88/'0. Database'!N79,"")</f>
        <v>0.12964256717207</v>
      </c>
      <c r="O13" s="25" t="n">
        <f aca="false">IFERROR('0. Database'!O88/'0. Database'!O79,"")</f>
        <v>0.369605742260318</v>
      </c>
      <c r="P13" s="25" t="n">
        <f aca="false">IFERROR('0. Database'!P88/'0. Database'!P79,"")</f>
        <v>0.77105819496409</v>
      </c>
    </row>
    <row r="14" customFormat="false" ht="15" hidden="false" customHeight="false" outlineLevel="0" collapsed="false">
      <c r="A14" s="23" t="s">
        <v>150</v>
      </c>
      <c r="B14" s="24" t="n">
        <f aca="false">'0. Database'!N12</f>
        <v>20000</v>
      </c>
      <c r="C14" s="24" t="n">
        <f aca="false">'0. Database'!O12</f>
        <v>28000</v>
      </c>
      <c r="D14" s="24" t="n">
        <f aca="false">'0. Database'!P12</f>
        <v>39638.96</v>
      </c>
      <c r="E14" s="24" t="n">
        <f aca="false">'0. Database'!N31</f>
        <v>52795</v>
      </c>
      <c r="F14" s="24" t="n">
        <f aca="false">'0. Database'!O31</f>
        <v>65756</v>
      </c>
      <c r="G14" s="24" t="n">
        <f aca="false">'0. Database'!P31</f>
        <v>81175.82</v>
      </c>
      <c r="H14" s="24" t="n">
        <f aca="false">'0. Database'!N48</f>
        <v>15311</v>
      </c>
      <c r="I14" s="24" t="n">
        <f aca="false">'0. Database'!O48</f>
        <v>21136</v>
      </c>
      <c r="J14" s="24" t="n">
        <f aca="false">'0. Database'!P48</f>
        <v>42874.7</v>
      </c>
      <c r="K14" s="24" t="n">
        <f aca="false">'0. Database'!N67</f>
        <v>15498</v>
      </c>
      <c r="L14" s="24" t="n">
        <f aca="false">'0. Database'!O67</f>
        <v>18616</v>
      </c>
      <c r="M14" s="24" t="n">
        <f aca="false">'0. Database'!P67</f>
        <v>35955.99</v>
      </c>
      <c r="N14" s="24" t="n">
        <f aca="false">'0. Database'!N87</f>
        <v>3129</v>
      </c>
      <c r="O14" s="24" t="n">
        <f aca="false">'0. Database'!O87</f>
        <v>3867</v>
      </c>
      <c r="P14" s="24" t="n">
        <f aca="false">'0. Database'!P87</f>
        <v>7501.53</v>
      </c>
    </row>
    <row r="15" customFormat="false" ht="15" hidden="false" customHeight="false" outlineLevel="0" collapsed="false">
      <c r="A15" s="23" t="s">
        <v>151</v>
      </c>
      <c r="B15" s="25" t="n">
        <f aca="false">IFERROR('0. Database'!N12/'0. Database'!N6,"")</f>
        <v>0.0815920235637764</v>
      </c>
      <c r="C15" s="25" t="n">
        <f aca="false">IFERROR('0. Database'!O12/'0. Database'!O6,"")</f>
        <v>0.0993880535559626</v>
      </c>
      <c r="D15" s="25" t="n">
        <f aca="false">IFERROR('0. Database'!P12/'0. Database'!P6,"")</f>
        <v>0.120322156151902</v>
      </c>
      <c r="E15" s="25" t="n">
        <f aca="false">IFERROR('0. Database'!N31/'0. Database'!N25,"")</f>
        <v>0.0827561018811554</v>
      </c>
      <c r="F15" s="25" t="n">
        <f aca="false">IFERROR('0. Database'!O31/'0. Database'!O25,"")</f>
        <v>0.0917196243953334</v>
      </c>
      <c r="G15" s="25" t="n">
        <f aca="false">IFERROR('0. Database'!P31/'0. Database'!P25,"")</f>
        <v>0.0980858724771357</v>
      </c>
      <c r="H15" s="25" t="n">
        <f aca="false">IFERROR('0. Database'!N48/'0. Database'!N42,"")</f>
        <v>0.0437434646218194</v>
      </c>
      <c r="I15" s="25" t="n">
        <f aca="false">IFERROR('0. Database'!O48/'0. Database'!O42,"")</f>
        <v>0.0524680018667646</v>
      </c>
      <c r="J15" s="25" t="n">
        <f aca="false">IFERROR('0. Database'!P48/'0. Database'!P42,"")</f>
        <v>0.0878078621508295</v>
      </c>
      <c r="K15" s="25" t="n">
        <f aca="false">IFERROR('0. Database'!N67/'0. Database'!N61,"")</f>
        <v>0.0942127659574468</v>
      </c>
      <c r="L15" s="25" t="n">
        <f aca="false">IFERROR('0. Database'!O67/'0. Database'!O61,"")</f>
        <v>0.0926330455551962</v>
      </c>
      <c r="M15" s="25" t="n">
        <f aca="false">IFERROR('0. Database'!P67/'0. Database'!P61,"")</f>
        <v>0.140906872115809</v>
      </c>
      <c r="N15" s="25" t="n">
        <f aca="false">IFERROR('0. Database'!N87/'0. Database'!N79,"")</f>
        <v>0.0590812107022148</v>
      </c>
      <c r="O15" s="25" t="n">
        <f aca="false">IFERROR('0. Database'!O87/'0. Database'!O79,"")</f>
        <v>0.0673705116813882</v>
      </c>
      <c r="P15" s="25" t="n">
        <f aca="false">IFERROR('0. Database'!P87/'0. Database'!P79,"")</f>
        <v>0.111485990926891</v>
      </c>
    </row>
    <row r="16" customFormat="false" ht="15" hidden="false" customHeight="false" outlineLevel="0" collapsed="false">
      <c r="A16" s="23" t="s">
        <v>152</v>
      </c>
      <c r="B16" s="24" t="n">
        <f aca="false">'0. Database'!N16</f>
        <v>118548</v>
      </c>
      <c r="C16" s="24" t="n">
        <f aca="false">'0. Database'!O16</f>
        <v>136162</v>
      </c>
      <c r="D16" s="24" t="n">
        <f aca="false">'0. Database'!P16</f>
        <v>174558.18</v>
      </c>
      <c r="E16" s="24" t="n">
        <f aca="false">'0. Database'!N33</f>
        <v>115877</v>
      </c>
      <c r="F16" s="24" t="n">
        <f aca="false">'0. Database'!O33</f>
        <v>139514</v>
      </c>
      <c r="G16" s="24" t="n">
        <f aca="false">'0. Database'!P33</f>
        <v>181004.31</v>
      </c>
      <c r="H16" s="24" t="n">
        <f aca="false">'0. Database'!N50</f>
        <v>125299</v>
      </c>
      <c r="I16" s="24" t="n">
        <f aca="false">'0. Database'!O50</f>
        <v>164713</v>
      </c>
      <c r="J16" s="24" t="n">
        <f aca="false">'0. Database'!P50</f>
        <v>211985.47</v>
      </c>
      <c r="K16" s="24" t="n">
        <f aca="false">'0. Database'!N69</f>
        <v>91328</v>
      </c>
      <c r="L16" s="24" t="n">
        <f aca="false">'0. Database'!O69</f>
        <v>115800</v>
      </c>
      <c r="M16" s="24" t="n">
        <f aca="false">'0. Database'!P69</f>
        <v>180250.64</v>
      </c>
      <c r="N16" s="24" t="n">
        <f aca="false">'0. Database'!N89</f>
        <v>18673</v>
      </c>
      <c r="O16" s="24" t="n">
        <f aca="false">'0. Database'!O89</f>
        <v>20821</v>
      </c>
      <c r="P16" s="24" t="n">
        <f aca="false">'0. Database'!P89</f>
        <v>25457.17</v>
      </c>
    </row>
    <row r="17" customFormat="false" ht="15" hidden="false" customHeight="false" outlineLevel="0" collapsed="false">
      <c r="A17" s="23" t="s">
        <v>153</v>
      </c>
      <c r="B17" s="24" t="n">
        <f aca="false">'0. Database'!N17</f>
        <v>62848</v>
      </c>
      <c r="C17" s="24" t="n">
        <f aca="false">'0. Database'!O17</f>
        <v>47962</v>
      </c>
      <c r="D17" s="24" t="n">
        <f aca="false">'0. Database'!P17</f>
        <v>28686.88</v>
      </c>
      <c r="E17" s="24" t="n">
        <f aca="false">'0. Database'!N34</f>
        <v>38219</v>
      </c>
      <c r="F17" s="24" t="n">
        <f aca="false">'0. Database'!O34</f>
        <v>11194</v>
      </c>
      <c r="G17" s="24" t="n">
        <f aca="false">'0. Database'!P34</f>
        <v>-19100.67</v>
      </c>
      <c r="H17" s="24" t="n">
        <f aca="false">'0. Database'!N51</f>
        <v>72764</v>
      </c>
      <c r="I17" s="24" t="n">
        <f aca="false">'0. Database'!O51</f>
        <v>73266</v>
      </c>
      <c r="J17" s="24" t="n">
        <f aca="false">'0. Database'!P51</f>
        <v>26751.19</v>
      </c>
      <c r="K17" s="24" t="n">
        <f aca="false">'0. Database'!N70</f>
        <v>54072</v>
      </c>
      <c r="L17" s="24" t="n">
        <f aca="false">'0. Database'!O70</f>
        <v>46109</v>
      </c>
      <c r="M17" s="24" t="n">
        <f aca="false">'0. Database'!P70</f>
        <v>44666.93</v>
      </c>
      <c r="N17" s="24" t="n">
        <f aca="false">'0. Database'!N90</f>
        <v>11807</v>
      </c>
      <c r="O17" s="24" t="n">
        <f aca="false">'0. Database'!O90</f>
        <v>-394</v>
      </c>
      <c r="P17" s="24" t="n">
        <f aca="false">'0. Database'!P90</f>
        <v>-26424.83</v>
      </c>
    </row>
    <row r="18" customFormat="false" ht="15" hidden="false" customHeight="false" outlineLevel="0" collapsed="false">
      <c r="A18" s="23" t="s">
        <v>154</v>
      </c>
      <c r="B18" s="25" t="n">
        <f aca="false">IFERROR('0. Database'!N17/'0. Database'!N6,"")</f>
        <v>0.256394774846811</v>
      </c>
      <c r="C18" s="25" t="n">
        <f aca="false">IFERROR('0. Database'!O17/'0. Database'!O6,"")</f>
        <v>0.170244636594681</v>
      </c>
      <c r="D18" s="25" t="n">
        <f aca="false">IFERROR('0. Database'!P17/'0. Database'!P6,"")</f>
        <v>0.0870776441882145</v>
      </c>
      <c r="E18" s="25" t="n">
        <f aca="false">IFERROR('0. Database'!N34/'0. Database'!N25,"")</f>
        <v>0.0599082386172152</v>
      </c>
      <c r="F18" s="25" t="n">
        <f aca="false">IFERROR('0. Database'!O34/'0. Database'!O25,"")</f>
        <v>0.0156139283940836</v>
      </c>
      <c r="G18" s="25" t="n">
        <f aca="false">IFERROR('0. Database'!P34/'0. Database'!P25,"")</f>
        <v>-0.023079605254962</v>
      </c>
      <c r="H18" s="25" t="n">
        <f aca="false">IFERROR('0. Database'!N51/'0. Database'!N42,"")</f>
        <v>0.20788645155392</v>
      </c>
      <c r="I18" s="25" t="n">
        <f aca="false">IFERROR('0. Database'!O51/'0. Database'!O42,"")</f>
        <v>0.181875502685957</v>
      </c>
      <c r="J18" s="25" t="n">
        <f aca="false">IFERROR('0. Database'!P51/'0. Database'!P42,"")</f>
        <v>0.0547867344585653</v>
      </c>
      <c r="K18" s="25" t="n">
        <f aca="false">IFERROR('0. Database'!N70/'0. Database'!N61,"")</f>
        <v>0.328705167173252</v>
      </c>
      <c r="L18" s="25" t="n">
        <f aca="false">IFERROR('0. Database'!O70/'0. Database'!O61,"")</f>
        <v>0.22943796183415</v>
      </c>
      <c r="M18" s="25" t="n">
        <f aca="false">IFERROR('0. Database'!P70/'0. Database'!P61,"")</f>
        <v>0.175043918782818</v>
      </c>
      <c r="N18" s="25" t="n">
        <f aca="false">IFERROR('0. Database'!N90/'0. Database'!N79,"")</f>
        <v>0.222937633352845</v>
      </c>
      <c r="O18" s="25" t="n">
        <f aca="false">IFERROR('0. Database'!O90/'0. Database'!O79,"")</f>
        <v>-0.00686423108416523</v>
      </c>
      <c r="P18" s="25" t="n">
        <f aca="false">IFERROR('0. Database'!P90/'0. Database'!P79,"")</f>
        <v>-0.392719666204713</v>
      </c>
    </row>
    <row r="19" customFormat="false" ht="15" hidden="false" customHeight="false" outlineLevel="0" collapsed="false">
      <c r="A19" s="23" t="s">
        <v>37</v>
      </c>
      <c r="B19" s="24" t="n">
        <f aca="false">'0. Database'!N18</f>
        <v>17254</v>
      </c>
      <c r="C19" s="24" t="n">
        <f aca="false">'0. Database'!O18</f>
        <v>18420</v>
      </c>
      <c r="D19" s="24" t="n">
        <f aca="false">'0. Database'!P18</f>
        <v>22499.7</v>
      </c>
      <c r="E19" s="24" t="n">
        <f aca="false">'0. Database'!N35</f>
        <v>0</v>
      </c>
      <c r="F19" s="24" t="n">
        <f aca="false">'0. Database'!O35</f>
        <v>0</v>
      </c>
      <c r="G19" s="24" t="n">
        <f aca="false">'0. Database'!P35</f>
        <v>0</v>
      </c>
      <c r="H19" s="24" t="n">
        <f aca="false">'0. Database'!N52</f>
        <v>62222</v>
      </c>
      <c r="I19" s="24" t="n">
        <f aca="false">'0. Database'!O52</f>
        <v>45709</v>
      </c>
      <c r="J19" s="24" t="n">
        <f aca="false">'0. Database'!P52</f>
        <v>0</v>
      </c>
      <c r="K19" s="24" t="n">
        <f aca="false">'0. Database'!N71</f>
        <v>30125</v>
      </c>
      <c r="L19" s="24" t="n">
        <f aca="false">'0. Database'!O71</f>
        <v>26248</v>
      </c>
      <c r="M19" s="24" t="n">
        <f aca="false">'0. Database'!P71</f>
        <v>0</v>
      </c>
      <c r="N19" s="24" t="n">
        <f aca="false">'0. Database'!N91</f>
        <v>1202</v>
      </c>
      <c r="O19" s="24" t="n">
        <f aca="false">'0. Database'!O91</f>
        <v>600</v>
      </c>
      <c r="P19" s="24" t="n">
        <f aca="false">'0. Database'!P91</f>
        <v>95</v>
      </c>
    </row>
    <row r="20" customFormat="false" ht="15" hidden="false" customHeight="false" outlineLevel="0" collapsed="false">
      <c r="A20" s="23" t="s">
        <v>155</v>
      </c>
      <c r="B20" s="24" t="n">
        <f aca="false">'0. Database'!N10</f>
        <v>7468.5</v>
      </c>
      <c r="C20" s="24" t="n">
        <f aca="false">'0. Database'!O10</f>
        <v>7467.75</v>
      </c>
      <c r="D20" s="24" t="n">
        <f aca="false">'0. Database'!P10</f>
        <v>7453.97</v>
      </c>
      <c r="E20" s="24" t="n">
        <f aca="false">'0. Database'!N29</f>
        <v>10721</v>
      </c>
      <c r="F20" s="24" t="n">
        <f aca="false">'0. Database'!O29</f>
        <v>10827</v>
      </c>
      <c r="G20" s="24" t="n">
        <f aca="false">'0. Database'!P29</f>
        <v>10907.55</v>
      </c>
      <c r="H20" s="24" t="n">
        <f aca="false">'0. Database'!N46</f>
        <v>12447</v>
      </c>
      <c r="I20" s="24" t="n">
        <f aca="false">'0. Database'!O46</f>
        <v>12230</v>
      </c>
      <c r="J20" s="24" t="n">
        <f aca="false">'0. Database'!P46</f>
        <v>12275.96</v>
      </c>
      <c r="K20" s="24" t="n">
        <f aca="false">'0. Database'!N65</f>
        <v>2599</v>
      </c>
      <c r="L20" s="24" t="n">
        <f aca="false">'0. Database'!O65</f>
        <v>2574</v>
      </c>
      <c r="M20" s="24" t="n">
        <f aca="false">'0. Database'!P65</f>
        <v>2577.79</v>
      </c>
      <c r="N20" s="24" t="n">
        <f aca="false">'0. Database'!N85</f>
        <v>2823.25</v>
      </c>
      <c r="O20" s="24" t="n">
        <f aca="false">'0. Database'!O85</f>
        <v>2866.25</v>
      </c>
      <c r="P20" s="24" t="n">
        <f aca="false">'0. Database'!P85</f>
        <v>2915.76</v>
      </c>
    </row>
  </sheetData>
  <mergeCells count="6">
    <mergeCell ref="A1:P1"/>
    <mergeCell ref="B3:D3"/>
    <mergeCell ref="E3:G3"/>
    <mergeCell ref="H3:J3"/>
    <mergeCell ref="K3:M3"/>
    <mergeCell ref="N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3"/>
  </cols>
  <sheetData>
    <row r="1" customFormat="false" ht="31.5" hidden="false" customHeight="true" outlineLevel="0" collapsed="false">
      <c r="A1" s="44" t="s">
        <v>156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3" customFormat="false" ht="15" hidden="false" customHeight="true" outlineLevel="0" collapsed="false">
      <c r="A3" s="45" t="s">
        <v>157</v>
      </c>
      <c r="B3" s="45"/>
      <c r="C3" s="45"/>
      <c r="D3" s="45"/>
      <c r="E3" s="45"/>
      <c r="F3" s="45"/>
      <c r="G3" s="45"/>
      <c r="H3" s="45"/>
      <c r="I3" s="45"/>
      <c r="J3" s="45"/>
      <c r="K3" s="45"/>
    </row>
    <row r="4" customFormat="false" ht="15" hidden="false" customHeight="false" outlineLevel="0" collapsed="false">
      <c r="A4" s="4" t="s">
        <v>158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</row>
    <row r="5" customFormat="false" ht="15" hidden="false" customHeight="false" outlineLevel="0" collapsed="false">
      <c r="A5" s="7" t="s">
        <v>159</v>
      </c>
      <c r="B5" s="24" t="n">
        <f aca="false">'0. Database'!J16</f>
        <v>60675</v>
      </c>
      <c r="C5" s="24" t="n">
        <f aca="false">'0. Database'!K16</f>
        <v>76740</v>
      </c>
      <c r="D5" s="24" t="n">
        <f aca="false">'0. Database'!L16</f>
        <v>89035</v>
      </c>
      <c r="E5" s="24" t="n">
        <f aca="false">'0. Database'!M16</f>
        <v>87582</v>
      </c>
      <c r="F5" s="24" t="n">
        <f aca="false">'0. Database'!N16</f>
        <v>118548</v>
      </c>
      <c r="G5" s="24" t="n">
        <f aca="false">'0. Database'!O16</f>
        <v>136162</v>
      </c>
      <c r="H5" s="24" t="n">
        <f aca="false">'0. Database'!P16</f>
        <v>174558.18</v>
      </c>
      <c r="I5" s="24" t="n">
        <f aca="false">'0. Database'!Q16</f>
        <v>232097.78</v>
      </c>
      <c r="J5" s="24" t="n">
        <f aca="false">'0. Database'!R16</f>
        <v>294570.35</v>
      </c>
    </row>
    <row r="6" customFormat="false" ht="15" hidden="false" customHeight="false" outlineLevel="0" collapsed="false">
      <c r="A6" s="7" t="s">
        <v>160</v>
      </c>
      <c r="B6" s="24" t="n">
        <f aca="false">-'0. Database'!J13</f>
        <v>-19000</v>
      </c>
      <c r="C6" s="24" t="n">
        <f aca="false">-'0. Database'!K13</f>
        <v>-24200</v>
      </c>
      <c r="D6" s="24" t="n">
        <f aca="false">-'0. Database'!L13</f>
        <v>-29200</v>
      </c>
      <c r="E6" s="24" t="n">
        <f aca="false">-'0. Database'!M13</f>
        <v>-31900</v>
      </c>
      <c r="F6" s="24" t="n">
        <f aca="false">-'0. Database'!N13</f>
        <v>-55700</v>
      </c>
      <c r="G6" s="24" t="n">
        <f aca="false">-'0. Database'!O13</f>
        <v>-88200</v>
      </c>
      <c r="H6" s="24" t="n">
        <f aca="false">-'0. Database'!P13</f>
        <v>-145871.3</v>
      </c>
      <c r="I6" s="24" t="n">
        <f aca="false">-'0. Database'!Q13</f>
        <v>-245263.45</v>
      </c>
      <c r="J6" s="24" t="n">
        <f aca="false">-'0. Database'!R13</f>
        <v>-286760.35</v>
      </c>
    </row>
    <row r="7" customFormat="false" ht="15" hidden="false" customHeight="false" outlineLevel="0" collapsed="false">
      <c r="A7" s="46" t="s">
        <v>161</v>
      </c>
      <c r="B7" s="24" t="n">
        <f aca="false">IFERROR('0. Database'!J16-'0. Database'!J13,"")</f>
        <v>41675</v>
      </c>
      <c r="C7" s="24" t="n">
        <f aca="false">IFERROR('0. Database'!K16-'0. Database'!K13,"")</f>
        <v>52540</v>
      </c>
      <c r="D7" s="24" t="n">
        <f aca="false">IFERROR('0. Database'!L16-'0. Database'!L13,"")</f>
        <v>59835</v>
      </c>
      <c r="E7" s="24" t="n">
        <f aca="false">IFERROR('0. Database'!M16-'0. Database'!M13,"")</f>
        <v>55682</v>
      </c>
      <c r="F7" s="24" t="n">
        <f aca="false">IFERROR('0. Database'!N16-'0. Database'!N13,"")</f>
        <v>62848</v>
      </c>
      <c r="G7" s="24" t="n">
        <f aca="false">IFERROR('0. Database'!O16-'0. Database'!O13,"")</f>
        <v>47962</v>
      </c>
      <c r="H7" s="24" t="n">
        <f aca="false">IFERROR('0. Database'!P16-'0. Database'!P13,"")</f>
        <v>28686.88</v>
      </c>
      <c r="I7" s="24" t="n">
        <f aca="false">IFERROR('0. Database'!Q16-'0. Database'!Q13,"")</f>
        <v>-13165.67</v>
      </c>
      <c r="J7" s="24" t="n">
        <f aca="false">IFERROR('0. Database'!R16-'0. Database'!R13,"")</f>
        <v>7810</v>
      </c>
    </row>
    <row r="8" customFormat="false" ht="15" hidden="false" customHeight="false" outlineLevel="0" collapsed="false">
      <c r="A8" s="7" t="s">
        <v>162</v>
      </c>
      <c r="B8" s="26" t="n">
        <f aca="false">IFERROR('0. Database'!J13/'0. Database'!J16,"")</f>
        <v>0.313143798928719</v>
      </c>
      <c r="C8" s="26" t="n">
        <f aca="false">IFERROR('0. Database'!K13/'0. Database'!K16,"")</f>
        <v>0.315350534271566</v>
      </c>
      <c r="D8" s="26" t="n">
        <f aca="false">IFERROR('0. Database'!L13/'0. Database'!L16,"")</f>
        <v>0.327960914247206</v>
      </c>
      <c r="E8" s="26" t="n">
        <f aca="false">IFERROR('0. Database'!M13/'0. Database'!M16,"")</f>
        <v>0.364230092941472</v>
      </c>
      <c r="F8" s="26" t="n">
        <f aca="false">IFERROR('0. Database'!N13/'0. Database'!N16,"")</f>
        <v>0.469851874346256</v>
      </c>
      <c r="G8" s="26" t="n">
        <f aca="false">IFERROR('0. Database'!O13/'0. Database'!O16,"")</f>
        <v>0.647757817893392</v>
      </c>
      <c r="H8" s="26" t="n">
        <f aca="false">IFERROR('0. Database'!P13/'0. Database'!P16,"")</f>
        <v>0.835660064741738</v>
      </c>
      <c r="I8" s="26" t="n">
        <f aca="false">IFERROR('0. Database'!Q13/'0. Database'!Q16,"")</f>
        <v>1.05672467009379</v>
      </c>
      <c r="J8" s="26" t="n">
        <f aca="false">IFERROR('0. Database'!R13/'0. Database'!R16,"")</f>
        <v>0.973486808838704</v>
      </c>
    </row>
    <row r="10" customFormat="false" ht="15" hidden="false" customHeight="false" outlineLevel="0" collapsed="false">
      <c r="A10" s="7" t="s">
        <v>163</v>
      </c>
      <c r="B10" s="24" t="n">
        <f aca="false">'0. Database'!J33</f>
        <v>66064</v>
      </c>
      <c r="C10" s="24" t="n">
        <f aca="false">'0. Database'!K33</f>
        <v>46327</v>
      </c>
      <c r="D10" s="24" t="n">
        <f aca="false">'0. Database'!L33</f>
        <v>46752</v>
      </c>
      <c r="E10" s="24" t="n">
        <f aca="false">'0. Database'!M33</f>
        <v>84946</v>
      </c>
      <c r="F10" s="24" t="n">
        <f aca="false">'0. Database'!N33</f>
        <v>115877</v>
      </c>
      <c r="G10" s="24" t="n">
        <f aca="false">'0. Database'!O33</f>
        <v>139514</v>
      </c>
      <c r="H10" s="24" t="n">
        <f aca="false">'0. Database'!P33</f>
        <v>181004.31</v>
      </c>
      <c r="I10" s="24" t="n">
        <f aca="false">'0. Database'!Q33</f>
        <v>224443.7</v>
      </c>
      <c r="J10" s="24" t="n">
        <f aca="false">'0. Database'!R33</f>
        <v>281471.71</v>
      </c>
    </row>
    <row r="11" customFormat="false" ht="15" hidden="false" customHeight="false" outlineLevel="0" collapsed="false">
      <c r="A11" s="7" t="s">
        <v>164</v>
      </c>
      <c r="B11" s="24" t="n">
        <f aca="false">-'0. Database'!J32</f>
        <v>-35046</v>
      </c>
      <c r="C11" s="24" t="n">
        <f aca="false">-'0. Database'!K32</f>
        <v>-55396</v>
      </c>
      <c r="D11" s="24" t="n">
        <f aca="false">-'0. Database'!L32</f>
        <v>-58321</v>
      </c>
      <c r="E11" s="24" t="n">
        <f aca="false">-'0. Database'!M32</f>
        <v>-48133</v>
      </c>
      <c r="F11" s="24" t="n">
        <f aca="false">-'0. Database'!N32</f>
        <v>-77658</v>
      </c>
      <c r="G11" s="24" t="n">
        <f aca="false">-'0. Database'!O32</f>
        <v>-128320</v>
      </c>
      <c r="H11" s="24" t="n">
        <f aca="false">-'0. Database'!P32</f>
        <v>-200104.98</v>
      </c>
      <c r="I11" s="24" t="n">
        <f aca="false">-'0. Database'!Q32</f>
        <v>-270141.72</v>
      </c>
      <c r="J11" s="24" t="n">
        <f aca="false">-'0. Database'!R32</f>
        <v>-283648.81</v>
      </c>
    </row>
    <row r="12" customFormat="false" ht="15" hidden="false" customHeight="false" outlineLevel="0" collapsed="false">
      <c r="A12" s="46" t="s">
        <v>165</v>
      </c>
      <c r="B12" s="24" t="n">
        <f aca="false">IFERROR('0. Database'!J33-'0. Database'!J32,"")</f>
        <v>31018</v>
      </c>
      <c r="C12" s="24" t="n">
        <f aca="false">IFERROR('0. Database'!K33-'0. Database'!K32,"")</f>
        <v>-9069</v>
      </c>
      <c r="D12" s="24" t="n">
        <f aca="false">IFERROR('0. Database'!L33-'0. Database'!L32,"")</f>
        <v>-11569</v>
      </c>
      <c r="E12" s="24" t="n">
        <f aca="false">IFERROR('0. Database'!M33-'0. Database'!M32,"")</f>
        <v>36813</v>
      </c>
      <c r="F12" s="24" t="n">
        <f aca="false">IFERROR('0. Database'!N33-'0. Database'!N32,"")</f>
        <v>38219</v>
      </c>
      <c r="G12" s="24" t="n">
        <f aca="false">IFERROR('0. Database'!O33-'0. Database'!O32,"")</f>
        <v>11194</v>
      </c>
      <c r="H12" s="24" t="n">
        <f aca="false">IFERROR('0. Database'!P33-'0. Database'!P32,"")</f>
        <v>-19100.67</v>
      </c>
      <c r="I12" s="24" t="n">
        <f aca="false">IFERROR('0. Database'!Q33-'0. Database'!Q32,"")</f>
        <v>-45698.02</v>
      </c>
      <c r="J12" s="24" t="n">
        <f aca="false">IFERROR('0. Database'!R33-'0. Database'!R32,"")</f>
        <v>-2177.09999999998</v>
      </c>
    </row>
    <row r="13" customFormat="false" ht="15" hidden="false" customHeight="false" outlineLevel="0" collapsed="false">
      <c r="A13" s="7" t="s">
        <v>166</v>
      </c>
      <c r="B13" s="26" t="n">
        <f aca="false">IFERROR('0. Database'!J32/'0. Database'!J33,"")</f>
        <v>0.53048558973117</v>
      </c>
      <c r="C13" s="26" t="n">
        <f aca="false">IFERROR('0. Database'!K32/'0. Database'!K33,"")</f>
        <v>1.19576057158892</v>
      </c>
      <c r="D13" s="26" t="n">
        <f aca="false">IFERROR('0. Database'!L32/'0. Database'!L33,"")</f>
        <v>1.24745465434634</v>
      </c>
      <c r="E13" s="26" t="n">
        <f aca="false">IFERROR('0. Database'!M32/'0. Database'!M33,"")</f>
        <v>0.566630565300308</v>
      </c>
      <c r="F13" s="26" t="n">
        <f aca="false">IFERROR('0. Database'!N32/'0. Database'!N33,"")</f>
        <v>0.67017613503974</v>
      </c>
      <c r="G13" s="26" t="n">
        <f aca="false">IFERROR('0. Database'!O32/'0. Database'!O33,"")</f>
        <v>0.919764324727268</v>
      </c>
      <c r="H13" s="26" t="n">
        <f aca="false">IFERROR('0. Database'!P32/'0. Database'!P33,"")</f>
        <v>1.10552605073327</v>
      </c>
      <c r="I13" s="26" t="n">
        <f aca="false">IFERROR('0. Database'!Q32/'0. Database'!Q33,"")</f>
        <v>1.20360571492985</v>
      </c>
      <c r="J13" s="26" t="n">
        <f aca="false">IFERROR('0. Database'!R32/'0. Database'!R33,"")</f>
        <v>1.00773470271666</v>
      </c>
    </row>
    <row r="15" customFormat="false" ht="15" hidden="false" customHeight="false" outlineLevel="0" collapsed="false">
      <c r="A15" s="7" t="s">
        <v>167</v>
      </c>
      <c r="B15" s="24" t="n">
        <f aca="false">'0. Database'!J50</f>
        <v>65124</v>
      </c>
      <c r="C15" s="24" t="n">
        <f aca="false">'0. Database'!K50</f>
        <v>91652</v>
      </c>
      <c r="D15" s="24" t="n">
        <f aca="false">'0. Database'!L50</f>
        <v>91495</v>
      </c>
      <c r="E15" s="24" t="n">
        <f aca="false">'0. Database'!M50</f>
        <v>101746</v>
      </c>
      <c r="F15" s="24" t="n">
        <f aca="false">'0. Database'!N50</f>
        <v>125299</v>
      </c>
      <c r="G15" s="24" t="n">
        <f aca="false">'0. Database'!O50</f>
        <v>164713</v>
      </c>
      <c r="H15" s="24" t="n">
        <f aca="false">'0. Database'!P50</f>
        <v>211985.47</v>
      </c>
      <c r="I15" s="24" t="n">
        <f aca="false">'0. Database'!Q50</f>
        <v>282346.21</v>
      </c>
      <c r="J15" s="24" t="n">
        <f aca="false">'0. Database'!R50</f>
        <v>352943.8</v>
      </c>
    </row>
    <row r="16" customFormat="false" ht="15" hidden="false" customHeight="false" outlineLevel="0" collapsed="false">
      <c r="A16" s="7" t="s">
        <v>168</v>
      </c>
      <c r="B16" s="24" t="n">
        <f aca="false">-'0. Database'!J49</f>
        <v>-22281</v>
      </c>
      <c r="C16" s="24" t="n">
        <f aca="false">-'0. Database'!K49</f>
        <v>-24640</v>
      </c>
      <c r="D16" s="24" t="n">
        <f aca="false">-'0. Database'!L49</f>
        <v>-31485</v>
      </c>
      <c r="E16" s="24" t="n">
        <f aca="false">-'0. Database'!M49</f>
        <v>-32251</v>
      </c>
      <c r="F16" s="24" t="n">
        <f aca="false">-'0. Database'!N49</f>
        <v>-52535</v>
      </c>
      <c r="G16" s="24" t="n">
        <f aca="false">-'0. Database'!O49</f>
        <v>-91447</v>
      </c>
      <c r="H16" s="24" t="n">
        <f aca="false">-'0. Database'!P49</f>
        <v>-185234.28</v>
      </c>
      <c r="I16" s="24" t="n">
        <f aca="false">-'0. Database'!Q49</f>
        <v>-259327.99</v>
      </c>
      <c r="J16" s="24" t="n">
        <f aca="false">-'0. Database'!R49</f>
        <v>-285260.79</v>
      </c>
    </row>
    <row r="17" customFormat="false" ht="15" hidden="false" customHeight="false" outlineLevel="0" collapsed="false">
      <c r="A17" s="46" t="s">
        <v>169</v>
      </c>
      <c r="B17" s="24" t="n">
        <f aca="false">IFERROR('0. Database'!J50-'0. Database'!J49,"")</f>
        <v>42843</v>
      </c>
      <c r="C17" s="24" t="n">
        <f aca="false">IFERROR('0. Database'!K50-'0. Database'!K49,"")</f>
        <v>67012</v>
      </c>
      <c r="D17" s="24" t="n">
        <f aca="false">IFERROR('0. Database'!L50-'0. Database'!L49,"")</f>
        <v>60010</v>
      </c>
      <c r="E17" s="24" t="n">
        <f aca="false">IFERROR('0. Database'!M50-'0. Database'!M49,"")</f>
        <v>69495</v>
      </c>
      <c r="F17" s="24" t="n">
        <f aca="false">IFERROR('0. Database'!N50-'0. Database'!N49,"")</f>
        <v>72764</v>
      </c>
      <c r="G17" s="24" t="n">
        <f aca="false">IFERROR('0. Database'!O50-'0. Database'!O49,"")</f>
        <v>73266</v>
      </c>
      <c r="H17" s="24" t="n">
        <f aca="false">IFERROR('0. Database'!P50-'0. Database'!P49,"")</f>
        <v>26751.19</v>
      </c>
      <c r="I17" s="24" t="n">
        <f aca="false">IFERROR('0. Database'!Q50-'0. Database'!Q49,"")</f>
        <v>23018.22</v>
      </c>
      <c r="J17" s="24" t="n">
        <f aca="false">IFERROR('0. Database'!R50-'0. Database'!R49,"")</f>
        <v>67683.01</v>
      </c>
    </row>
    <row r="18" customFormat="false" ht="15" hidden="false" customHeight="false" outlineLevel="0" collapsed="false">
      <c r="A18" s="7" t="s">
        <v>170</v>
      </c>
      <c r="B18" s="26" t="n">
        <f aca="false">IFERROR('0. Database'!J49/'0. Database'!J50,"")</f>
        <v>0.342131932927953</v>
      </c>
      <c r="C18" s="26" t="n">
        <f aca="false">IFERROR('0. Database'!K49/'0. Database'!K50,"")</f>
        <v>0.268843014882381</v>
      </c>
      <c r="D18" s="26" t="n">
        <f aca="false">IFERROR('0. Database'!L49/'0. Database'!L50,"")</f>
        <v>0.344117164872397</v>
      </c>
      <c r="E18" s="26" t="n">
        <f aca="false">IFERROR('0. Database'!M49/'0. Database'!M50,"")</f>
        <v>0.316975605920626</v>
      </c>
      <c r="F18" s="26" t="n">
        <f aca="false">IFERROR('0. Database'!N49/'0. Database'!N50,"")</f>
        <v>0.419277089202627</v>
      </c>
      <c r="G18" s="26" t="n">
        <f aca="false">IFERROR('0. Database'!O49/'0. Database'!O50,"")</f>
        <v>0.55518993643489</v>
      </c>
      <c r="H18" s="26" t="n">
        <f aca="false">IFERROR('0. Database'!P49/'0. Database'!P50,"")</f>
        <v>0.873806492492151</v>
      </c>
      <c r="I18" s="26" t="n">
        <f aca="false">IFERROR('0. Database'!Q49/'0. Database'!Q50,"")</f>
        <v>0.918475193982593</v>
      </c>
      <c r="J18" s="26" t="n">
        <f aca="false">IFERROR('0. Database'!R49/'0. Database'!R50,"")</f>
        <v>0.808232897135465</v>
      </c>
    </row>
    <row r="20" customFormat="false" ht="15" hidden="false" customHeight="false" outlineLevel="0" collapsed="false">
      <c r="A20" s="7" t="s">
        <v>171</v>
      </c>
      <c r="B20" s="24" t="n">
        <f aca="false">'0. Database'!J69</f>
        <v>38747</v>
      </c>
      <c r="C20" s="24" t="n">
        <f aca="false">'0. Database'!K69</f>
        <v>57683</v>
      </c>
      <c r="D20" s="24" t="n">
        <f aca="false">'0. Database'!L69</f>
        <v>50475</v>
      </c>
      <c r="E20" s="24" t="n">
        <f aca="false">'0. Database'!M69</f>
        <v>71113</v>
      </c>
      <c r="F20" s="24" t="n">
        <f aca="false">'0. Database'!N69</f>
        <v>91328</v>
      </c>
      <c r="G20" s="24" t="n">
        <f aca="false">'0. Database'!O69</f>
        <v>115800</v>
      </c>
      <c r="H20" s="24" t="n">
        <f aca="false">'0. Database'!P69</f>
        <v>180250.64</v>
      </c>
      <c r="I20" s="24" t="n">
        <f aca="false">'0. Database'!Q69</f>
        <v>206102.96</v>
      </c>
      <c r="J20" s="24" t="n">
        <f aca="false">'0. Database'!R69</f>
        <v>243250.01</v>
      </c>
    </row>
    <row r="21" customFormat="false" ht="15" hidden="false" customHeight="false" outlineLevel="0" collapsed="false">
      <c r="A21" s="7" t="s">
        <v>172</v>
      </c>
      <c r="B21" s="24" t="n">
        <f aca="false">-'0. Database'!J68</f>
        <v>-15115</v>
      </c>
      <c r="C21" s="24" t="n">
        <f aca="false">-'0. Database'!K68</f>
        <v>-18567</v>
      </c>
      <c r="D21" s="24" t="n">
        <f aca="false">-'0. Database'!L68</f>
        <v>-31186</v>
      </c>
      <c r="E21" s="24" t="n">
        <f aca="false">-'0. Database'!M68</f>
        <v>-27045</v>
      </c>
      <c r="F21" s="24" t="n">
        <f aca="false">-'0. Database'!N68</f>
        <v>-37256</v>
      </c>
      <c r="G21" s="24" t="n">
        <f aca="false">-'0. Database'!O68</f>
        <v>-69691</v>
      </c>
      <c r="H21" s="24" t="n">
        <f aca="false">-'0. Database'!P68</f>
        <v>-135583.71</v>
      </c>
      <c r="I21" s="24" t="n">
        <f aca="false">-'0. Database'!Q68</f>
        <v>-165714.44</v>
      </c>
      <c r="J21" s="24" t="n">
        <f aca="false">-'0. Database'!R68</f>
        <v>-185600.17</v>
      </c>
    </row>
    <row r="22" customFormat="false" ht="15" hidden="false" customHeight="false" outlineLevel="0" collapsed="false">
      <c r="A22" s="46" t="s">
        <v>173</v>
      </c>
      <c r="B22" s="24" t="n">
        <f aca="false">IFERROR('0. Database'!J69-'0. Database'!J68,"")</f>
        <v>23632</v>
      </c>
      <c r="C22" s="24" t="n">
        <f aca="false">IFERROR('0. Database'!K69-'0. Database'!K68,"")</f>
        <v>39116</v>
      </c>
      <c r="D22" s="24" t="n">
        <f aca="false">IFERROR('0. Database'!L69-'0. Database'!L68,"")</f>
        <v>19289</v>
      </c>
      <c r="E22" s="24" t="n">
        <f aca="false">IFERROR('0. Database'!M69-'0. Database'!M68,"")</f>
        <v>44068</v>
      </c>
      <c r="F22" s="24" t="n">
        <f aca="false">IFERROR('0. Database'!N69-'0. Database'!N68,"")</f>
        <v>54072</v>
      </c>
      <c r="G22" s="24" t="n">
        <f aca="false">IFERROR('0. Database'!O69-'0. Database'!O68,"")</f>
        <v>46109</v>
      </c>
      <c r="H22" s="24" t="n">
        <f aca="false">IFERROR('0. Database'!P69-'0. Database'!P68,"")</f>
        <v>44666.93</v>
      </c>
      <c r="I22" s="24" t="n">
        <f aca="false">IFERROR('0. Database'!Q69-'0. Database'!Q68,"")</f>
        <v>40388.52</v>
      </c>
      <c r="J22" s="24" t="n">
        <f aca="false">IFERROR('0. Database'!R69-'0. Database'!R68,"")</f>
        <v>57649.84</v>
      </c>
    </row>
    <row r="23" customFormat="false" ht="15" hidden="false" customHeight="false" outlineLevel="0" collapsed="false">
      <c r="A23" s="7" t="s">
        <v>174</v>
      </c>
      <c r="B23" s="26" t="n">
        <f aca="false">IFERROR('0. Database'!J68/'0. Database'!J69,"")</f>
        <v>0.390094717010349</v>
      </c>
      <c r="C23" s="26" t="n">
        <f aca="false">IFERROR('0. Database'!K68/'0. Database'!K69,"")</f>
        <v>0.321879929962034</v>
      </c>
      <c r="D23" s="26" t="n">
        <f aca="false">IFERROR('0. Database'!L68/'0. Database'!L69,"")</f>
        <v>0.617850421000495</v>
      </c>
      <c r="E23" s="26" t="n">
        <f aca="false">IFERROR('0. Database'!M68/'0. Database'!M69,"")</f>
        <v>0.380310210510033</v>
      </c>
      <c r="F23" s="26" t="n">
        <f aca="false">IFERROR('0. Database'!N68/'0. Database'!N69,"")</f>
        <v>0.407936229852838</v>
      </c>
      <c r="G23" s="26" t="n">
        <f aca="false">IFERROR('0. Database'!O68/'0. Database'!O69,"")</f>
        <v>0.601822107081175</v>
      </c>
      <c r="H23" s="26" t="n">
        <f aca="false">IFERROR('0. Database'!P68/'0. Database'!P69,"")</f>
        <v>0.752195442967637</v>
      </c>
      <c r="I23" s="26" t="n">
        <f aca="false">IFERROR('0. Database'!Q68/'0. Database'!Q69,"")</f>
        <v>0.804037166666602</v>
      </c>
      <c r="J23" s="26" t="n">
        <f aca="false">IFERROR('0. Database'!R68/'0. Database'!R69,"")</f>
        <v>0.763001695251729</v>
      </c>
    </row>
    <row r="25" customFormat="false" ht="15" hidden="false" customHeight="false" outlineLevel="0" collapsed="false">
      <c r="A25" s="7" t="s">
        <v>175</v>
      </c>
      <c r="B25" s="24" t="n">
        <f aca="false">'0. Database'!J89</f>
        <v>13139</v>
      </c>
      <c r="C25" s="24" t="n">
        <f aca="false">'0. Database'!K89</f>
        <v>15888</v>
      </c>
      <c r="D25" s="24" t="n">
        <f aca="false">'0. Database'!L89</f>
        <v>9540</v>
      </c>
      <c r="E25" s="24" t="n">
        <f aca="false">'0. Database'!M89</f>
        <v>17166</v>
      </c>
      <c r="F25" s="24" t="n">
        <f aca="false">'0. Database'!N89</f>
        <v>18673</v>
      </c>
      <c r="G25" s="24" t="n">
        <f aca="false">'0. Database'!O89</f>
        <v>20821</v>
      </c>
      <c r="H25" s="24" t="n">
        <f aca="false">'0. Database'!P89</f>
        <v>25457.17</v>
      </c>
      <c r="I25" s="24" t="n">
        <f aca="false">'0. Database'!Q89</f>
        <v>33694.38</v>
      </c>
      <c r="J25" s="24" t="n">
        <f aca="false">'0. Database'!R89</f>
        <v>50132.95</v>
      </c>
    </row>
    <row r="26" customFormat="false" ht="15" hidden="false" customHeight="false" outlineLevel="0" collapsed="false">
      <c r="A26" s="7" t="s">
        <v>176</v>
      </c>
      <c r="B26" s="24" t="n">
        <f aca="false">-'0. Database'!J88</f>
        <v>-1564</v>
      </c>
      <c r="C26" s="24" t="n">
        <f aca="false">-'0. Database'!K88</f>
        <v>-2135</v>
      </c>
      <c r="D26" s="24" t="n">
        <f aca="false">-'0. Database'!L88</f>
        <v>-4511</v>
      </c>
      <c r="E26" s="24" t="n">
        <f aca="false">-'0. Database'!M88</f>
        <v>-8695</v>
      </c>
      <c r="F26" s="24" t="n">
        <f aca="false">-'0. Database'!N88</f>
        <v>-6866</v>
      </c>
      <c r="G26" s="24" t="n">
        <f aca="false">-'0. Database'!O88</f>
        <v>-21215</v>
      </c>
      <c r="H26" s="24" t="n">
        <f aca="false">-'0. Database'!P88</f>
        <v>-51882</v>
      </c>
      <c r="I26" s="24" t="n">
        <f aca="false">-'0. Database'!Q88</f>
        <v>-52141.41</v>
      </c>
      <c r="J26" s="24" t="n">
        <f aca="false">-'0. Database'!R88</f>
        <v>-69869.49</v>
      </c>
    </row>
    <row r="27" customFormat="false" ht="15" hidden="false" customHeight="false" outlineLevel="0" collapsed="false">
      <c r="A27" s="46" t="s">
        <v>177</v>
      </c>
      <c r="B27" s="24" t="n">
        <f aca="false">IFERROR('0. Database'!J89-'0. Database'!J88,"")</f>
        <v>11575</v>
      </c>
      <c r="C27" s="24" t="n">
        <f aca="false">IFERROR('0. Database'!K89-'0. Database'!K88,"")</f>
        <v>13753</v>
      </c>
      <c r="D27" s="24" t="n">
        <f aca="false">IFERROR('0. Database'!L89-'0. Database'!L88,"")</f>
        <v>5029</v>
      </c>
      <c r="E27" s="24" t="n">
        <f aca="false">IFERROR('0. Database'!M89-'0. Database'!M88,"")</f>
        <v>8471</v>
      </c>
      <c r="F27" s="24" t="n">
        <f aca="false">IFERROR('0. Database'!N89-'0. Database'!N88,"")</f>
        <v>11807</v>
      </c>
      <c r="G27" s="24" t="n">
        <f aca="false">IFERROR('0. Database'!O89-'0. Database'!O88,"")</f>
        <v>-394</v>
      </c>
      <c r="H27" s="24" t="n">
        <f aca="false">IFERROR('0. Database'!P89-'0. Database'!P88,"")</f>
        <v>-26424.83</v>
      </c>
      <c r="I27" s="24" t="n">
        <f aca="false">IFERROR('0. Database'!Q89-'0. Database'!Q88,"")</f>
        <v>-18447.03</v>
      </c>
      <c r="J27" s="24" t="n">
        <f aca="false">IFERROR('0. Database'!R89-'0. Database'!R88,"")</f>
        <v>-19736.54</v>
      </c>
    </row>
    <row r="28" customFormat="false" ht="15" hidden="false" customHeight="false" outlineLevel="0" collapsed="false">
      <c r="A28" s="7" t="s">
        <v>178</v>
      </c>
      <c r="B28" s="26" t="n">
        <f aca="false">IFERROR('0. Database'!J88/'0. Database'!J89,"")</f>
        <v>0.119034934165462</v>
      </c>
      <c r="C28" s="26" t="n">
        <f aca="false">IFERROR('0. Database'!K88/'0. Database'!K89,"")</f>
        <v>0.134378147029204</v>
      </c>
      <c r="D28" s="26" t="n">
        <f aca="false">IFERROR('0. Database'!L88/'0. Database'!L89,"")</f>
        <v>0.472851153039832</v>
      </c>
      <c r="E28" s="26" t="n">
        <f aca="false">IFERROR('0. Database'!M88/'0. Database'!M89,"")</f>
        <v>0.506524525224281</v>
      </c>
      <c r="F28" s="26" t="n">
        <f aca="false">IFERROR('0. Database'!N88/'0. Database'!N89,"")</f>
        <v>0.367696674342634</v>
      </c>
      <c r="G28" s="26" t="n">
        <f aca="false">IFERROR('0. Database'!O88/'0. Database'!O89,"")</f>
        <v>1.0189232025359</v>
      </c>
      <c r="H28" s="26" t="n">
        <f aca="false">IFERROR('0. Database'!P88/'0. Database'!P89,"")</f>
        <v>2.03801129504969</v>
      </c>
      <c r="I28" s="26" t="n">
        <f aca="false">IFERROR('0. Database'!Q88/'0. Database'!Q89,"")</f>
        <v>1.54748091521494</v>
      </c>
      <c r="J28" s="26" t="n">
        <f aca="false">IFERROR('0. Database'!R88/'0. Database'!R89,"")</f>
        <v>1.39368399425926</v>
      </c>
    </row>
    <row r="31" customFormat="false" ht="15" hidden="false" customHeight="true" outlineLevel="0" collapsed="false">
      <c r="A31" s="45" t="s">
        <v>179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</row>
    <row r="32" customFormat="false" ht="15" hidden="false" customHeight="false" outlineLevel="0" collapsed="false">
      <c r="A32" s="47" t="s">
        <v>180</v>
      </c>
      <c r="B32" s="48" t="n">
        <f aca="false">'0. Database'!P13+'0. Database'!P32+'0. Database'!P49+'0. Database'!P68+'0. Database'!P88</f>
        <v>718676.27</v>
      </c>
    </row>
    <row r="34" customFormat="false" ht="15" hidden="false" customHeight="true" outlineLevel="0" collapsed="false">
      <c r="A34" s="45" t="s">
        <v>181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</row>
    <row r="35" customFormat="false" ht="30" hidden="false" customHeight="true" outlineLevel="0" collapsed="false">
      <c r="A35" s="23" t="s">
        <v>182</v>
      </c>
      <c r="B35" s="49" t="s">
        <v>183</v>
      </c>
      <c r="C35" s="50" t="s">
        <v>184</v>
      </c>
      <c r="D35" s="50"/>
      <c r="E35" s="50"/>
      <c r="F35" s="50"/>
      <c r="G35" s="50"/>
      <c r="H35" s="50"/>
      <c r="I35" s="50"/>
      <c r="J35" s="50"/>
    </row>
    <row r="36" customFormat="false" ht="30" hidden="false" customHeight="true" outlineLevel="0" collapsed="false">
      <c r="A36" s="23" t="s">
        <v>185</v>
      </c>
      <c r="B36" s="49" t="s">
        <v>186</v>
      </c>
      <c r="C36" s="50" t="s">
        <v>187</v>
      </c>
      <c r="D36" s="50"/>
      <c r="E36" s="50"/>
      <c r="F36" s="50"/>
      <c r="G36" s="50"/>
      <c r="H36" s="50"/>
      <c r="I36" s="50"/>
      <c r="J36" s="50"/>
    </row>
    <row r="37" customFormat="false" ht="30" hidden="false" customHeight="true" outlineLevel="0" collapsed="false">
      <c r="A37" s="23" t="s">
        <v>188</v>
      </c>
      <c r="B37" s="49" t="s">
        <v>189</v>
      </c>
      <c r="C37" s="50" t="s">
        <v>190</v>
      </c>
      <c r="D37" s="50"/>
      <c r="E37" s="50"/>
      <c r="F37" s="50"/>
      <c r="G37" s="50"/>
      <c r="H37" s="50"/>
      <c r="I37" s="50"/>
      <c r="J37" s="50"/>
    </row>
    <row r="38" customFormat="false" ht="30" hidden="false" customHeight="true" outlineLevel="0" collapsed="false">
      <c r="A38" s="23" t="s">
        <v>191</v>
      </c>
      <c r="B38" s="49" t="s">
        <v>192</v>
      </c>
      <c r="C38" s="50" t="s">
        <v>193</v>
      </c>
      <c r="D38" s="50"/>
      <c r="E38" s="50"/>
      <c r="F38" s="50"/>
      <c r="G38" s="50"/>
      <c r="H38" s="50"/>
      <c r="I38" s="50"/>
      <c r="J38" s="50"/>
    </row>
    <row r="39" customFormat="false" ht="30" hidden="false" customHeight="true" outlineLevel="0" collapsed="false">
      <c r="A39" s="23" t="s">
        <v>194</v>
      </c>
      <c r="B39" s="49" t="s">
        <v>195</v>
      </c>
      <c r="C39" s="50" t="s">
        <v>196</v>
      </c>
      <c r="D39" s="50"/>
      <c r="E39" s="50"/>
      <c r="F39" s="50"/>
      <c r="G39" s="50"/>
      <c r="H39" s="50"/>
      <c r="I39" s="50"/>
      <c r="J39" s="50"/>
    </row>
    <row r="41" customFormat="false" ht="36" hidden="false" customHeight="true" outlineLevel="0" collapsed="false">
      <c r="A41" s="51" t="s">
        <v>197</v>
      </c>
      <c r="B41" s="50" t="s">
        <v>198</v>
      </c>
      <c r="C41" s="50"/>
      <c r="D41" s="50"/>
      <c r="E41" s="50"/>
      <c r="F41" s="50"/>
      <c r="G41" s="50"/>
      <c r="H41" s="50"/>
      <c r="I41" s="50"/>
      <c r="J41" s="50"/>
    </row>
    <row r="42" customFormat="false" ht="36" hidden="false" customHeight="true" outlineLevel="0" collapsed="false">
      <c r="A42" s="52" t="s">
        <v>199</v>
      </c>
      <c r="B42" s="50" t="s">
        <v>200</v>
      </c>
      <c r="C42" s="50"/>
      <c r="D42" s="50"/>
      <c r="E42" s="50"/>
      <c r="F42" s="50"/>
      <c r="G42" s="50"/>
      <c r="H42" s="50"/>
      <c r="I42" s="50"/>
      <c r="J42" s="50"/>
    </row>
    <row r="43" customFormat="false" ht="36" hidden="false" customHeight="true" outlineLevel="0" collapsed="false">
      <c r="A43" s="53" t="s">
        <v>201</v>
      </c>
      <c r="B43" s="50" t="s">
        <v>202</v>
      </c>
      <c r="C43" s="50"/>
      <c r="D43" s="50"/>
      <c r="E43" s="50"/>
      <c r="F43" s="50"/>
      <c r="G43" s="50"/>
      <c r="H43" s="50"/>
      <c r="I43" s="50"/>
      <c r="J43" s="50"/>
    </row>
    <row r="45" customFormat="false" ht="15" hidden="false" customHeight="true" outlineLevel="0" collapsed="false">
      <c r="A45" s="45" t="s">
        <v>203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</row>
    <row r="46" customFormat="false" ht="19.5" hidden="false" customHeight="true" outlineLevel="0" collapsed="false">
      <c r="A46" s="54" t="s">
        <v>204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</row>
    <row r="47" customFormat="false" ht="19.5" hidden="false" customHeight="true" outlineLevel="0" collapsed="false">
      <c r="A47" s="54" t="s">
        <v>205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</row>
    <row r="48" customFormat="false" ht="19.5" hidden="false" customHeight="true" outlineLevel="0" collapsed="false">
      <c r="A48" s="54" t="s">
        <v>206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</row>
    <row r="49" customFormat="false" ht="19.5" hidden="false" customHeight="true" outlineLevel="0" collapsed="false">
      <c r="A49" s="54" t="s">
        <v>207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</row>
    <row r="50" customFormat="false" ht="19.5" hidden="false" customHeight="true" outlineLevel="0" collapsed="false">
      <c r="A50" s="54" t="s">
        <v>208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</row>
    <row r="51" customFormat="false" ht="19.5" hidden="false" customHeight="true" outlineLevel="0" collapsed="false">
      <c r="A51" s="54" t="s">
        <v>209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</row>
  </sheetData>
  <mergeCells count="19">
    <mergeCell ref="A1:K1"/>
    <mergeCell ref="A3:K3"/>
    <mergeCell ref="A31:K31"/>
    <mergeCell ref="A34:K34"/>
    <mergeCell ref="C35:J35"/>
    <mergeCell ref="C36:J36"/>
    <mergeCell ref="C37:J37"/>
    <mergeCell ref="C38:J38"/>
    <mergeCell ref="C39:J39"/>
    <mergeCell ref="B41:J41"/>
    <mergeCell ref="B42:J42"/>
    <mergeCell ref="B43:J43"/>
    <mergeCell ref="A45:K45"/>
    <mergeCell ref="A46:K46"/>
    <mergeCell ref="A47:K47"/>
    <mergeCell ref="A48:K48"/>
    <mergeCell ref="A49:K49"/>
    <mergeCell ref="A50:K50"/>
    <mergeCell ref="A51:K51"/>
  </mergeCells>
  <conditionalFormatting sqref="B7:J7">
    <cfRule type="colorScale" priority="2">
      <colorScale>
        <cfvo type="num" val="-50000"/>
        <cfvo type="num" val="0"/>
        <cfvo type="num" val="50000"/>
        <color rgb="FFF8696B"/>
        <color rgb="FFFFEB84"/>
        <color rgb="FF63BE7B"/>
      </colorScale>
    </cfRule>
  </conditionalFormatting>
  <conditionalFormatting sqref="B12:J12">
    <cfRule type="colorScale" priority="3">
      <colorScale>
        <cfvo type="num" val="-50000"/>
        <cfvo type="num" val="0"/>
        <cfvo type="num" val="50000"/>
        <color rgb="FFF8696B"/>
        <color rgb="FFFFEB84"/>
        <color rgb="FF63BE7B"/>
      </colorScale>
    </cfRule>
  </conditionalFormatting>
  <conditionalFormatting sqref="B17:J17">
    <cfRule type="colorScale" priority="4">
      <colorScale>
        <cfvo type="num" val="-50000"/>
        <cfvo type="num" val="0"/>
        <cfvo type="num" val="50000"/>
        <color rgb="FFF8696B"/>
        <color rgb="FFFFEB84"/>
        <color rgb="FF63BE7B"/>
      </colorScale>
    </cfRule>
  </conditionalFormatting>
  <conditionalFormatting sqref="B22:J22">
    <cfRule type="colorScale" priority="5">
      <colorScale>
        <cfvo type="num" val="-50000"/>
        <cfvo type="num" val="0"/>
        <cfvo type="num" val="50000"/>
        <color rgb="FFF8696B"/>
        <color rgb="FFFFEB84"/>
        <color rgb="FF63BE7B"/>
      </colorScale>
    </cfRule>
  </conditionalFormatting>
  <conditionalFormatting sqref="B27:J27">
    <cfRule type="colorScale" priority="6">
      <colorScale>
        <cfvo type="num" val="-50000"/>
        <cfvo type="num" val="0"/>
        <cfvo type="num" val="5000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9"/>
  </cols>
  <sheetData>
    <row r="1" customFormat="false" ht="25.5" hidden="false" customHeight="true" outlineLevel="0" collapsed="false">
      <c r="A1" s="21" t="s">
        <v>210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3" customFormat="false" ht="15" hidden="false" customHeight="false" outlineLevel="0" collapsed="false">
      <c r="A3" s="55" t="s">
        <v>149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</row>
    <row r="4" customFormat="false" ht="15" hidden="false" customHeight="false" outlineLevel="0" collapsed="false">
      <c r="A4" s="56"/>
      <c r="B4" s="57" t="s">
        <v>211</v>
      </c>
      <c r="C4" s="57" t="s">
        <v>212</v>
      </c>
      <c r="D4" s="57" t="s">
        <v>213</v>
      </c>
      <c r="E4" s="57" t="s">
        <v>214</v>
      </c>
      <c r="F4" s="57" t="s">
        <v>215</v>
      </c>
      <c r="G4" s="57" t="s">
        <v>216</v>
      </c>
      <c r="H4" s="57" t="s">
        <v>217</v>
      </c>
      <c r="I4" s="57" t="s">
        <v>218</v>
      </c>
      <c r="J4" s="57" t="s">
        <v>219</v>
      </c>
      <c r="K4" s="57" t="s">
        <v>220</v>
      </c>
      <c r="L4" s="57" t="s">
        <v>221</v>
      </c>
      <c r="M4" s="57" t="s">
        <v>222</v>
      </c>
      <c r="N4" s="57" t="s">
        <v>223</v>
      </c>
      <c r="O4" s="57" t="s">
        <v>224</v>
      </c>
      <c r="P4" s="57" t="s">
        <v>225</v>
      </c>
      <c r="Q4" s="57" t="s">
        <v>226</v>
      </c>
      <c r="R4" s="57" t="s">
        <v>227</v>
      </c>
      <c r="S4" s="57" t="s">
        <v>228</v>
      </c>
      <c r="T4" s="57" t="s">
        <v>229</v>
      </c>
    </row>
    <row r="5" customFormat="false" ht="15" hidden="false" customHeight="false" outlineLevel="0" collapsed="false">
      <c r="A5" s="58" t="s">
        <v>24</v>
      </c>
      <c r="B5" s="59" t="n">
        <f aca="false">IFERROR('0. Database'!C13/'0. Database'!C6,"")</f>
        <v>0.0546827833369729</v>
      </c>
      <c r="C5" s="59" t="n">
        <f aca="false">IFERROR('0. Database'!D13/'0. Database'!D6,"")</f>
        <v>0.0631672290488639</v>
      </c>
      <c r="D5" s="59" t="n">
        <f aca="false">IFERROR('0. Database'!E13/'0. Database'!E6,"")</f>
        <v>0.0635178456935243</v>
      </c>
      <c r="E5" s="59" t="n">
        <f aca="false">IFERROR('0. Database'!F13/'0. Database'!F6,"")</f>
        <v>0.104688232536334</v>
      </c>
      <c r="F5" s="59" t="n">
        <f aca="false">IFERROR('0. Database'!G13/'0. Database'!G6,"")</f>
        <v>0.105621770510816</v>
      </c>
      <c r="G5" s="59" t="n">
        <f aca="false">IFERROR('0. Database'!H13/'0. Database'!H6,"")</f>
        <v>0.123233055454875</v>
      </c>
      <c r="H5" s="59" t="n">
        <f aca="false">IFERROR('0. Database'!I13/'0. Database'!I6,"")</f>
        <v>0.134294319111909</v>
      </c>
      <c r="I5" s="59" t="n">
        <f aca="false">IFERROR('0. Database'!J13/'0. Database'!J6,"")</f>
        <v>0.132853197217075</v>
      </c>
      <c r="J5" s="59" t="n">
        <f aca="false">IFERROR('0. Database'!K13/'0. Database'!K6,"")</f>
        <v>0.143972205035458</v>
      </c>
      <c r="K5" s="59" t="n">
        <f aca="false">IFERROR('0. Database'!L13/'0. Database'!L6,"")</f>
        <v>0.147273919402835</v>
      </c>
      <c r="L5" s="59" t="n">
        <f aca="false">IFERROR('0. Database'!M13/'0. Database'!M6,"")</f>
        <v>0.150532052945757</v>
      </c>
      <c r="M5" s="59" t="n">
        <f aca="false">IFERROR('0. Database'!N13/'0. Database'!N6,"")</f>
        <v>0.227233785625117</v>
      </c>
      <c r="N5" s="59" t="n">
        <f aca="false">IFERROR('0. Database'!O13/'0. Database'!O6,"")</f>
        <v>0.313072368701282</v>
      </c>
      <c r="O5" s="59" t="n">
        <f aca="false">IFERROR('0. Database'!P13/'0. Database'!P6,"")</f>
        <v>0.442785313658101</v>
      </c>
      <c r="P5" s="59" t="n">
        <f aca="false">IFERROR('0. Database'!Q13/'0. Database'!Q6,"")</f>
        <v>0.633585893558086</v>
      </c>
      <c r="Q5" s="59" t="n">
        <f aca="false">IFERROR('0. Database'!R13/'0. Database'!R6,"")</f>
        <v>0.618719161846711</v>
      </c>
      <c r="R5" s="59" t="n">
        <f aca="false">IFERROR('0. Database'!S13/'0. Database'!S6,"")</f>
        <v>0.542176336643655</v>
      </c>
      <c r="S5" s="59" t="n">
        <f aca="false">IFERROR('0. Database'!T13/'0. Database'!T6,"")</f>
        <v>0.466649535637693</v>
      </c>
      <c r="T5" s="59" t="str">
        <f aca="false">IFERROR('0. Database'!U13/'0. Database'!U6,"")</f>
        <v/>
      </c>
    </row>
    <row r="6" customFormat="false" ht="15" hidden="false" customHeight="false" outlineLevel="0" collapsed="false">
      <c r="A6" s="58" t="s">
        <v>43</v>
      </c>
      <c r="B6" s="59" t="n">
        <f aca="false">IFERROR('0. Database'!C32/'0. Database'!C25,"")</f>
        <v>0.0462439391293836</v>
      </c>
      <c r="C6" s="59" t="n">
        <f aca="false">IFERROR('0. Database'!D32/'0. Database'!D25,"")</f>
        <v>0.0549734572146482</v>
      </c>
      <c r="D6" s="59" t="n">
        <f aca="false">IFERROR('0. Database'!E32/'0. Database'!E25,"")</f>
        <v>0.0428758599936826</v>
      </c>
      <c r="E6" s="59" t="n">
        <f aca="false">IFERROR('0. Database'!F32/'0. Database'!F25,"")</f>
        <v>0.0495341466463706</v>
      </c>
      <c r="F6" s="59" t="n">
        <f aca="false">IFERROR('0. Database'!G32/'0. Database'!G25,"")</f>
        <v>0.0565425657517457</v>
      </c>
      <c r="G6" s="59" t="n">
        <f aca="false">IFERROR('0. Database'!H32/'0. Database'!H25,"")</f>
        <v>0.0486158523232297</v>
      </c>
      <c r="H6" s="59" t="n">
        <f aca="false">IFERROR('0. Database'!I32/'0. Database'!I25,"")</f>
        <v>0.0452370937038806</v>
      </c>
      <c r="I6" s="59" t="n">
        <f aca="false">IFERROR('0. Database'!J32/'0. Database'!J25,"")</f>
        <v>0.0907776948899664</v>
      </c>
      <c r="J6" s="59" t="n">
        <f aca="false">IFERROR('0. Database'!K32/'0. Database'!K25,"")</f>
        <v>0.117908484489871</v>
      </c>
      <c r="K6" s="59" t="n">
        <f aca="false">IFERROR('0. Database'!L32/'0. Database'!L25,"")</f>
        <v>0.113468733401688</v>
      </c>
      <c r="L6" s="59" t="n">
        <f aca="false">IFERROR('0. Database'!M32/'0. Database'!M25,"")</f>
        <v>0.0837408770235827</v>
      </c>
      <c r="M6" s="59" t="n">
        <f aca="false">IFERROR('0. Database'!N32/'0. Database'!N25,"")</f>
        <v>0.121728825833635</v>
      </c>
      <c r="N6" s="59" t="n">
        <f aca="false">IFERROR('0. Database'!O32/'0. Database'!O25,"")</f>
        <v>0.178986894008291</v>
      </c>
      <c r="O6" s="59" t="n">
        <f aca="false">IFERROR('0. Database'!P32/'0. Database'!P25,"")</f>
        <v>0.24178963083243</v>
      </c>
      <c r="P6" s="59" t="n">
        <f aca="false">IFERROR('0. Database'!Q32/'0. Database'!Q25,"")</f>
        <v>0.285371750643553</v>
      </c>
      <c r="Q6" s="59" t="n">
        <f aca="false">IFERROR('0. Database'!R32/'0. Database'!R25,"")</f>
        <v>0.266752546331369</v>
      </c>
      <c r="R6" s="59" t="n">
        <f aca="false">IFERROR('0. Database'!S32/'0. Database'!S25,"")</f>
        <v>0.251734248389078</v>
      </c>
      <c r="S6" s="59" t="n">
        <f aca="false">IFERROR('0. Database'!T32/'0. Database'!T25,"")</f>
        <v>0.2395580677502</v>
      </c>
      <c r="T6" s="59" t="n">
        <f aca="false">IFERROR('0. Database'!U32/'0. Database'!U25,"")</f>
        <v>0.229957313494435</v>
      </c>
    </row>
    <row r="7" customFormat="false" ht="15" hidden="false" customHeight="false" outlineLevel="0" collapsed="false">
      <c r="A7" s="58" t="s">
        <v>49</v>
      </c>
      <c r="B7" s="59" t="n">
        <f aca="false">IFERROR('0. Database'!C49/'0. Database'!C42,"")</f>
        <v>0.132531205533241</v>
      </c>
      <c r="C7" s="59" t="n">
        <f aca="false">IFERROR('0. Database'!D49/'0. Database'!D42,"")</f>
        <v>0.166042938743352</v>
      </c>
      <c r="D7" s="59" t="n">
        <f aca="false">IFERROR('0. Database'!E49/'0. Database'!E42,"")</f>
        <v>0.132219392177519</v>
      </c>
      <c r="E7" s="59" t="n">
        <f aca="false">IFERROR('0. Database'!F49/'0. Database'!F42,"")</f>
        <v>0.112803527118043</v>
      </c>
      <c r="F7" s="59" t="n">
        <f aca="false">IFERROR('0. Database'!G49/'0. Database'!G42,"")</f>
        <v>0.118930133958775</v>
      </c>
      <c r="G7" s="59" t="n">
        <f aca="false">IFERROR('0. Database'!H49/'0. Database'!H42,"")</f>
        <v>0.183739100563518</v>
      </c>
      <c r="H7" s="59" t="n">
        <f aca="false">IFERROR('0. Database'!I49/'0. Database'!I42,"")</f>
        <v>0.145486447913899</v>
      </c>
      <c r="I7" s="59" t="n">
        <f aca="false">IFERROR('0. Database'!J49/'0. Database'!J42,"")</f>
        <v>0.122069611619103</v>
      </c>
      <c r="J7" s="59" t="n">
        <f aca="false">IFERROR('0. Database'!K49/'0. Database'!K42,"")</f>
        <v>0.0956384370257378</v>
      </c>
      <c r="K7" s="59" t="n">
        <f aca="false">IFERROR('0. Database'!L49/'0. Database'!L42,"")</f>
        <v>0.111318926869281</v>
      </c>
      <c r="L7" s="59" t="n">
        <f aca="false">IFERROR('0. Database'!M49/'0. Database'!M42,"")</f>
        <v>0.104917467484726</v>
      </c>
      <c r="M7" s="59" t="n">
        <f aca="false">IFERROR('0. Database'!N49/'0. Database'!N42,"")</f>
        <v>0.150092280968407</v>
      </c>
      <c r="N7" s="59" t="n">
        <f aca="false">IFERROR('0. Database'!O49/'0. Database'!O42,"")</f>
        <v>0.227008013186508</v>
      </c>
      <c r="O7" s="59" t="n">
        <f aca="false">IFERROR('0. Database'!P49/'0. Database'!P42,"")</f>
        <v>0.37936186431271</v>
      </c>
      <c r="P7" s="59" t="n">
        <f aca="false">IFERROR('0. Database'!Q49/'0. Database'!Q42,"")</f>
        <v>0.438101591905905</v>
      </c>
      <c r="Q7" s="59" t="n">
        <f aca="false">IFERROR('0. Database'!R49/'0. Database'!R42,"")</f>
        <v>0.406693608510996</v>
      </c>
      <c r="R7" s="59" t="n">
        <f aca="false">IFERROR('0. Database'!S49/'0. Database'!S42,"")</f>
        <v>0.36738908872284</v>
      </c>
      <c r="S7" s="59" t="n">
        <f aca="false">IFERROR('0. Database'!T49/'0. Database'!T42,"")</f>
        <v>0.341152582570988</v>
      </c>
      <c r="T7" s="59" t="n">
        <f aca="false">IFERROR('0. Database'!U49/'0. Database'!U42,"")</f>
        <v>0.320846076371651</v>
      </c>
    </row>
    <row r="8" customFormat="false" ht="15" hidden="false" customHeight="false" outlineLevel="0" collapsed="false">
      <c r="A8" s="58" t="s">
        <v>57</v>
      </c>
      <c r="B8" s="59" t="n">
        <f aca="false">IFERROR('0. Database'!C68/'0. Database'!C61,"")</f>
        <v>0.173018292682927</v>
      </c>
      <c r="C8" s="59" t="n">
        <f aca="false">IFERROR('0. Database'!D68/'0. Database'!D61,"")</f>
        <v>0.146879512273384</v>
      </c>
      <c r="D8" s="59" t="n">
        <f aca="false">IFERROR('0. Database'!E68/'0. Database'!E61,"")</f>
        <v>0.140737435153679</v>
      </c>
      <c r="E8" s="59" t="n">
        <f aca="false">IFERROR('0. Database'!F68/'0. Database'!F61,"")</f>
        <v>0.162493668138071</v>
      </c>
      <c r="F8" s="59" t="n">
        <f aca="false">IFERROR('0. Database'!G68/'0. Database'!G61,"")</f>
        <v>0.165596634934691</v>
      </c>
      <c r="G8" s="59" t="n">
        <f aca="false">IFERROR('0. Database'!H68/'0. Database'!H61,"")</f>
        <v>0.25036713349332</v>
      </c>
      <c r="H8" s="59" t="n">
        <f aca="false">IFERROR('0. Database'!I68/'0. Database'!I61,"")</f>
        <v>0.213617364367402</v>
      </c>
      <c r="I8" s="59" t="n">
        <f aca="false">IFERROR('0. Database'!J68/'0. Database'!J61,"")</f>
        <v>0.17582532629179</v>
      </c>
      <c r="J8" s="59" t="n">
        <f aca="false">IFERROR('0. Database'!K68/'0. Database'!K61,"")</f>
        <v>0.157442189792163</v>
      </c>
      <c r="K8" s="59" t="n">
        <f aca="false">IFERROR('0. Database'!L68/'0. Database'!L61,"")</f>
        <v>0.267440763577425</v>
      </c>
      <c r="L8" s="59" t="n">
        <f aca="false">IFERROR('0. Database'!M68/'0. Database'!M61,"")</f>
        <v>0.200480352258323</v>
      </c>
      <c r="M8" s="59" t="n">
        <f aca="false">IFERROR('0. Database'!N68/'0. Database'!N61,"")</f>
        <v>0.226480243161094</v>
      </c>
      <c r="N8" s="59" t="n">
        <f aca="false">IFERROR('0. Database'!O68/'0. Database'!O61,"")</f>
        <v>0.346781777921529</v>
      </c>
      <c r="O8" s="59" t="n">
        <f aca="false">IFERROR('0. Database'!P68/'0. Database'!P61,"")</f>
        <v>0.531335014999085</v>
      </c>
      <c r="P8" s="59" t="n">
        <f aca="false">IFERROR('0. Database'!Q68/'0. Database'!Q61,"")</f>
        <v>0.540824903792468</v>
      </c>
      <c r="Q8" s="59" t="n">
        <f aca="false">IFERROR('0. Database'!R68/'0. Database'!R61,"")</f>
        <v>0.519399482957318</v>
      </c>
      <c r="R8" s="59" t="n">
        <f aca="false">IFERROR('0. Database'!S68/'0. Database'!S61,"")</f>
        <v>0.482963614978958</v>
      </c>
      <c r="S8" s="59" t="n">
        <f aca="false">IFERROR('0. Database'!T68/'0. Database'!T61,"")</f>
        <v>0.457132170555652</v>
      </c>
      <c r="T8" s="59" t="n">
        <f aca="false">IFERROR('0. Database'!U68/'0. Database'!U61,"")</f>
        <v>0.438865126673392</v>
      </c>
    </row>
    <row r="9" customFormat="false" ht="15" hidden="false" customHeight="false" outlineLevel="0" collapsed="false">
      <c r="A9" s="58" t="s">
        <v>64</v>
      </c>
      <c r="B9" s="59" t="n">
        <f aca="false">IFERROR('0. Database'!C88/'0. Database'!C79,"")</f>
        <v>0.0174482592006013</v>
      </c>
      <c r="C9" s="59" t="n">
        <f aca="false">IFERROR('0. Database'!D88/'0. Database'!D79,"")</f>
        <v>0.0151416264195275</v>
      </c>
      <c r="D9" s="59" t="n">
        <f aca="false">IFERROR('0. Database'!E88/'0. Database'!E79,"")</f>
        <v>0.0363631610592633</v>
      </c>
      <c r="E9" s="59" t="n">
        <f aca="false">IFERROR('0. Database'!F88/'0. Database'!F79,"")</f>
        <v>0.0320857058045713</v>
      </c>
      <c r="F9" s="59" t="n">
        <f aca="false">IFERROR('0. Database'!G88/'0. Database'!G79,"")</f>
        <v>0.0533259452756009</v>
      </c>
      <c r="G9" s="59" t="n">
        <f aca="false">IFERROR('0. Database'!H88/'0. Database'!H79,"")</f>
        <v>0.0440262737440085</v>
      </c>
      <c r="H9" s="59" t="n">
        <f aca="false">IFERROR('0. Database'!I88/'0. Database'!I79,"")</f>
        <v>0.0419987349778621</v>
      </c>
      <c r="I9" s="59" t="n">
        <f aca="false">IFERROR('0. Database'!J88/'0. Database'!J79,"")</f>
        <v>0.0400276405702147</v>
      </c>
      <c r="J9" s="59" t="n">
        <f aca="false">IFERROR('0. Database'!K88/'0. Database'!K79,"")</f>
        <v>0.0527407919764828</v>
      </c>
      <c r="K9" s="59" t="n">
        <f aca="false">IFERROR('0. Database'!L88/'0. Database'!L79,"")</f>
        <v>0.106288730237271</v>
      </c>
      <c r="L9" s="59" t="n">
        <f aca="false">IFERROR('0. Database'!M88/'0. Database'!M79,"")</f>
        <v>0.174056650985887</v>
      </c>
      <c r="M9" s="59" t="n">
        <f aca="false">IFERROR('0. Database'!N88/'0. Database'!N79,"")</f>
        <v>0.12964256717207</v>
      </c>
      <c r="N9" s="59" t="n">
        <f aca="false">IFERROR('0. Database'!O88/'0. Database'!O79,"")</f>
        <v>0.369605742260318</v>
      </c>
      <c r="O9" s="59" t="n">
        <f aca="false">IFERROR('0. Database'!P88/'0. Database'!P79,"")</f>
        <v>0.77105819496409</v>
      </c>
      <c r="P9" s="59" t="n">
        <f aca="false">IFERROR('0. Database'!Q88/'0. Database'!Q79,"")</f>
        <v>0.587296954946508</v>
      </c>
      <c r="Q9" s="59" t="n">
        <f aca="false">IFERROR('0. Database'!R88/'0. Database'!R79,"")</f>
        <v>0.556972873780193</v>
      </c>
      <c r="R9" s="59" t="n">
        <f aca="false">IFERROR('0. Database'!S88/'0. Database'!S79,"")</f>
        <v>0.490629927570763</v>
      </c>
      <c r="S9" s="59" t="n">
        <f aca="false">IFERROR('0. Database'!T88/'0. Database'!T79,"")</f>
        <v>0.358167828118745</v>
      </c>
      <c r="T9" s="59" t="str">
        <f aca="false">IFERROR('0. Database'!U88/'0. Database'!U79,"")</f>
        <v/>
      </c>
    </row>
    <row r="12" customFormat="false" ht="15" hidden="false" customHeight="false" outlineLevel="0" collapsed="false">
      <c r="A12" s="55" t="s">
        <v>154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</row>
    <row r="13" customFormat="false" ht="15" hidden="false" customHeight="false" outlineLevel="0" collapsed="false">
      <c r="A13" s="56"/>
      <c r="B13" s="57" t="s">
        <v>211</v>
      </c>
      <c r="C13" s="57" t="s">
        <v>212</v>
      </c>
      <c r="D13" s="57" t="s">
        <v>213</v>
      </c>
      <c r="E13" s="57" t="s">
        <v>214</v>
      </c>
      <c r="F13" s="57" t="s">
        <v>215</v>
      </c>
      <c r="G13" s="57" t="s">
        <v>216</v>
      </c>
      <c r="H13" s="57" t="s">
        <v>217</v>
      </c>
      <c r="I13" s="57" t="s">
        <v>218</v>
      </c>
      <c r="J13" s="57" t="s">
        <v>219</v>
      </c>
      <c r="K13" s="57" t="s">
        <v>220</v>
      </c>
      <c r="L13" s="57" t="s">
        <v>221</v>
      </c>
      <c r="M13" s="57" t="s">
        <v>222</v>
      </c>
      <c r="N13" s="57" t="s">
        <v>223</v>
      </c>
      <c r="O13" s="57" t="s">
        <v>224</v>
      </c>
      <c r="P13" s="57" t="s">
        <v>225</v>
      </c>
      <c r="Q13" s="57" t="s">
        <v>226</v>
      </c>
      <c r="R13" s="57" t="s">
        <v>227</v>
      </c>
      <c r="S13" s="57" t="s">
        <v>228</v>
      </c>
      <c r="T13" s="57" t="s">
        <v>229</v>
      </c>
    </row>
    <row r="14" customFormat="false" ht="15" hidden="false" customHeight="false" outlineLevel="0" collapsed="false">
      <c r="A14" s="58" t="s">
        <v>24</v>
      </c>
      <c r="B14" s="59" t="n">
        <f aca="false">IFERROR('0. Database'!C17/'0. Database'!C6,"")</f>
        <v>0.315688062788218</v>
      </c>
      <c r="C14" s="59" t="n">
        <f aca="false">IFERROR('0. Database'!D17/'0. Database'!D6,"")</f>
        <v>0.308016537491507</v>
      </c>
      <c r="D14" s="59" t="n">
        <f aca="false">IFERROR('0. Database'!E17/'0. Database'!E6,"")</f>
        <v>0.247232314597136</v>
      </c>
      <c r="E14" s="59" t="n">
        <f aca="false">IFERROR('0. Database'!F17/'0. Database'!F6,"")</f>
        <v>0.285900140646976</v>
      </c>
      <c r="F14" s="59" t="n">
        <f aca="false">IFERROR('0. Database'!G17/'0. Database'!G6,"")</f>
        <v>0.303476198858871</v>
      </c>
      <c r="G14" s="59" t="n">
        <f aca="false">IFERROR('0. Database'!H17/'0. Database'!H6,"")</f>
        <v>0.274411018484958</v>
      </c>
      <c r="H14" s="59" t="n">
        <f aca="false">IFERROR('0. Database'!I17/'0. Database'!I6,"")</f>
        <v>0.280389056204954</v>
      </c>
      <c r="I14" s="59" t="n">
        <f aca="false">IFERROR('0. Database'!J17/'0. Database'!J6,"")</f>
        <v>0.291402999685348</v>
      </c>
      <c r="J14" s="59" t="n">
        <f aca="false">IFERROR('0. Database'!K17/'0. Database'!K6,"")</f>
        <v>0.312574365808386</v>
      </c>
      <c r="K14" s="59" t="n">
        <f aca="false">IFERROR('0. Database'!L17/'0. Database'!L6,"")</f>
        <v>0.301785444091391</v>
      </c>
      <c r="L14" s="59" t="n">
        <f aca="false">IFERROR('0. Database'!M17/'0. Database'!M6,"")</f>
        <v>0.262756293797041</v>
      </c>
      <c r="M14" s="59" t="n">
        <f aca="false">IFERROR('0. Database'!N17/'0. Database'!N6,"")</f>
        <v>0.256394774846811</v>
      </c>
      <c r="N14" s="59" t="n">
        <f aca="false">IFERROR('0. Database'!O17/'0. Database'!O6,"")</f>
        <v>0.170244636594681</v>
      </c>
      <c r="O14" s="59" t="n">
        <f aca="false">IFERROR('0. Database'!P17/'0. Database'!P6,"")</f>
        <v>0.0870776441882145</v>
      </c>
      <c r="P14" s="59" t="n">
        <f aca="false">IFERROR('0. Database'!Q17/'0. Database'!Q6,"")</f>
        <v>-0.0340107047798638</v>
      </c>
      <c r="Q14" s="59" t="n">
        <f aca="false">IFERROR('0. Database'!R17/'0. Database'!R6,"")</f>
        <v>0.0168509930121888</v>
      </c>
      <c r="R14" s="59" t="n">
        <f aca="false">IFERROR('0. Database'!S17/'0. Database'!S6,"")</f>
        <v>0.107386474170842</v>
      </c>
      <c r="S14" s="59" t="n">
        <f aca="false">IFERROR('0. Database'!T17/'0. Database'!T6,"")</f>
        <v>0.205175364126026</v>
      </c>
      <c r="T14" s="59" t="str">
        <f aca="false">IFERROR('0. Database'!U17/'0. Database'!U6,"")</f>
        <v/>
      </c>
    </row>
    <row r="15" customFormat="false" ht="15" hidden="false" customHeight="false" outlineLevel="0" collapsed="false">
      <c r="A15" s="58" t="s">
        <v>43</v>
      </c>
      <c r="B15" s="59" t="n">
        <f aca="false">IFERROR('0. Database'!C34/'0. Database'!C25,"")</f>
        <v>0.0272789545082132</v>
      </c>
      <c r="C15" s="59" t="n">
        <f aca="false">IFERROR('0. Database'!D34/'0. Database'!D25,"")</f>
        <v>0.0219062259800154</v>
      </c>
      <c r="D15" s="59" t="n">
        <f aca="false">IFERROR('0. Database'!E34/'0. Database'!E25,"")</f>
        <v>0.0685200725936531</v>
      </c>
      <c r="E15" s="59" t="n">
        <f aca="false">IFERROR('0. Database'!F34/'0. Database'!F25,"")</f>
        <v>0.0774706405759374</v>
      </c>
      <c r="F15" s="59" t="n">
        <f aca="false">IFERROR('0. Database'!G34/'0. Database'!G25,"")</f>
        <v>0.0470972529882046</v>
      </c>
      <c r="G15" s="59" t="n">
        <f aca="false">IFERROR('0. Database'!H34/'0. Database'!H25,"")</f>
        <v>0.0833107902115618</v>
      </c>
      <c r="H15" s="59" t="n">
        <f aca="false">IFERROR('0. Database'!I34/'0. Database'!I25,"")</f>
        <v>0.0920605157527752</v>
      </c>
      <c r="I15" s="59" t="n">
        <f aca="false">IFERROR('0. Database'!J34/'0. Database'!J25,"")</f>
        <v>0.0803441916366198</v>
      </c>
      <c r="J15" s="59" t="n">
        <f aca="false">IFERROR('0. Database'!K34/'0. Database'!K25,"")</f>
        <v>-0.0193030551996288</v>
      </c>
      <c r="K15" s="59" t="n">
        <f aca="false">IFERROR('0. Database'!L34/'0. Database'!L25,"")</f>
        <v>-0.0225085265465978</v>
      </c>
      <c r="L15" s="59" t="n">
        <f aca="false">IFERROR('0. Database'!M34/'0. Database'!M25,"")</f>
        <v>0.0640465565385318</v>
      </c>
      <c r="M15" s="59" t="n">
        <f aca="false">IFERROR('0. Database'!N34/'0. Database'!N25,"")</f>
        <v>0.0599082386172152</v>
      </c>
      <c r="N15" s="59" t="n">
        <f aca="false">IFERROR('0. Database'!O34/'0. Database'!O25,"")</f>
        <v>0.0156139283940836</v>
      </c>
      <c r="O15" s="59" t="n">
        <f aca="false">IFERROR('0. Database'!P34/'0. Database'!P25,"")</f>
        <v>-0.023079605254962</v>
      </c>
      <c r="P15" s="59" t="n">
        <f aca="false">IFERROR('0. Database'!Q34/'0. Database'!Q25,"")</f>
        <v>-0.0482743797157437</v>
      </c>
      <c r="Q15" s="59" t="n">
        <f aca="false">IFERROR('0. Database'!R34/'0. Database'!R25,"")</f>
        <v>-0.00204741549459708</v>
      </c>
      <c r="R15" s="59" t="n">
        <f aca="false">IFERROR('0. Database'!S34/'0. Database'!S25,"")</f>
        <v>0.0380208742034563</v>
      </c>
      <c r="S15" s="59" t="n">
        <f aca="false">IFERROR('0. Database'!T34/'0. Database'!T25,"")</f>
        <v>0.0676854238008576</v>
      </c>
      <c r="T15" s="59" t="n">
        <f aca="false">IFERROR('0. Database'!U34/'0. Database'!U25,"")</f>
        <v>0.0865017916852643</v>
      </c>
    </row>
    <row r="16" customFormat="false" ht="15" hidden="false" customHeight="false" outlineLevel="0" collapsed="false">
      <c r="A16" s="58" t="s">
        <v>49</v>
      </c>
      <c r="B16" s="59" t="n">
        <f aca="false">IFERROR('0. Database'!C51/'0. Database'!C42,"")</f>
        <v>0.202201048289775</v>
      </c>
      <c r="C16" s="59" t="n">
        <f aca="false">IFERROR('0. Database'!D51/'0. Database'!D42,"")</f>
        <v>0.171406493841002</v>
      </c>
      <c r="D16" s="59" t="n">
        <f aca="false">IFERROR('0. Database'!E51/'0. Database'!E42,"")</f>
        <v>0.212217791942818</v>
      </c>
      <c r="E16" s="59" t="n">
        <f aca="false">IFERROR('0. Database'!F51/'0. Database'!F42,"")</f>
        <v>0.286390021269054</v>
      </c>
      <c r="F16" s="59" t="n">
        <f aca="false">IFERROR('0. Database'!G51/'0. Database'!G42,"")</f>
        <v>0.215660096522484</v>
      </c>
      <c r="G16" s="59" t="n">
        <f aca="false">IFERROR('0. Database'!H51/'0. Database'!H42,"")</f>
        <v>0.16687740737763</v>
      </c>
      <c r="H16" s="59" t="n">
        <f aca="false">IFERROR('0. Database'!I51/'0. Database'!I42,"")</f>
        <v>0.191354096517296</v>
      </c>
      <c r="I16" s="59" t="n">
        <f aca="false">IFERROR('0. Database'!J51/'0. Database'!J42,"")</f>
        <v>0.234721438472116</v>
      </c>
      <c r="J16" s="59" t="n">
        <f aca="false">IFERROR('0. Database'!K51/'0. Database'!K42,"")</f>
        <v>0.260102392125355</v>
      </c>
      <c r="K16" s="59" t="n">
        <f aca="false">IFERROR('0. Database'!L51/'0. Database'!L42,"")</f>
        <v>0.212172425009546</v>
      </c>
      <c r="L16" s="59" t="n">
        <f aca="false">IFERROR('0. Database'!M51/'0. Database'!M42,"")</f>
        <v>0.226077932555613</v>
      </c>
      <c r="M16" s="59" t="n">
        <f aca="false">IFERROR('0. Database'!N51/'0. Database'!N42,"")</f>
        <v>0.20788645155392</v>
      </c>
      <c r="N16" s="59" t="n">
        <f aca="false">IFERROR('0. Database'!O51/'0. Database'!O42,"")</f>
        <v>0.181875502685957</v>
      </c>
      <c r="O16" s="59" t="n">
        <f aca="false">IFERROR('0. Database'!P51/'0. Database'!P42,"")</f>
        <v>0.0547867344585653</v>
      </c>
      <c r="P16" s="59" t="n">
        <f aca="false">IFERROR('0. Database'!Q51/'0. Database'!Q42,"")</f>
        <v>0.038886349386506</v>
      </c>
      <c r="Q16" s="59" t="n">
        <f aca="false">IFERROR('0. Database'!R51/'0. Database'!R42,"")</f>
        <v>0.0964950267850896</v>
      </c>
      <c r="R16" s="59" t="n">
        <f aca="false">IFERROR('0. Database'!S51/'0. Database'!S42,"")</f>
        <v>0.152957839304851</v>
      </c>
      <c r="S16" s="59" t="n">
        <f aca="false">IFERROR('0. Database'!T51/'0. Database'!T42,"")</f>
        <v>0.191313724274643</v>
      </c>
      <c r="T16" s="59" t="n">
        <f aca="false">IFERROR('0. Database'!U51/'0. Database'!U42,"")</f>
        <v>0.22051979519368</v>
      </c>
    </row>
    <row r="17" customFormat="false" ht="15" hidden="false" customHeight="false" outlineLevel="0" collapsed="false">
      <c r="A17" s="58" t="s">
        <v>57</v>
      </c>
      <c r="B17" s="59" t="n">
        <f aca="false">IFERROR('0. Database'!C70/'0. Database'!C61,"")</f>
        <v>0.363313008130081</v>
      </c>
      <c r="C17" s="59" t="n">
        <f aca="false">IFERROR('0. Database'!D70/'0. Database'!D61,"")</f>
        <v>0.294946253810364</v>
      </c>
      <c r="D17" s="59" t="n">
        <f aca="false">IFERROR('0. Database'!E70/'0. Database'!E61,"")</f>
        <v>0.339376359680928</v>
      </c>
      <c r="E17" s="59" t="n">
        <f aca="false">IFERROR('0. Database'!F70/'0. Database'!F61,"")</f>
        <v>0.41862652869238</v>
      </c>
      <c r="F17" s="59" t="n">
        <f aca="false">IFERROR('0. Database'!G70/'0. Database'!G61,"")</f>
        <v>0.430078960962291</v>
      </c>
      <c r="G17" s="59" t="n">
        <f aca="false">IFERROR('0. Database'!H70/'0. Database'!H61,"")</f>
        <v>0.275063576775673</v>
      </c>
      <c r="H17" s="59" t="n">
        <f aca="false">IFERROR('0. Database'!I70/'0. Database'!I61,"")</f>
        <v>0.300021924706315</v>
      </c>
      <c r="I17" s="59" t="n">
        <f aca="false">IFERROR('0. Database'!J70/'0. Database'!J61,"")</f>
        <v>0.274899378824186</v>
      </c>
      <c r="J17" s="59" t="n">
        <f aca="false">IFERROR('0. Database'!K70/'0. Database'!K61,"")</f>
        <v>0.331691102273402</v>
      </c>
      <c r="K17" s="59" t="n">
        <f aca="false">IFERROR('0. Database'!L70/'0. Database'!L61,"")</f>
        <v>0.165416048503975</v>
      </c>
      <c r="L17" s="59" t="n">
        <f aca="false">IFERROR('0. Database'!M70/'0. Database'!M61,"")</f>
        <v>0.326669187033454</v>
      </c>
      <c r="M17" s="59" t="n">
        <f aca="false">IFERROR('0. Database'!N70/'0. Database'!N61,"")</f>
        <v>0.328705167173252</v>
      </c>
      <c r="N17" s="59" t="n">
        <f aca="false">IFERROR('0. Database'!O70/'0. Database'!O61,"")</f>
        <v>0.22943796183415</v>
      </c>
      <c r="O17" s="59" t="n">
        <f aca="false">IFERROR('0. Database'!P70/'0. Database'!P61,"")</f>
        <v>0.175043918782818</v>
      </c>
      <c r="P17" s="59" t="n">
        <f aca="false">IFERROR('0. Database'!Q70/'0. Database'!Q61,"")</f>
        <v>0.131811792884918</v>
      </c>
      <c r="Q17" s="59" t="n">
        <f aca="false">IFERROR('0. Database'!R70/'0. Database'!R61,"")</f>
        <v>0.161332271886239</v>
      </c>
      <c r="R17" s="59" t="n">
        <f aca="false">IFERROR('0. Database'!S70/'0. Database'!S61,"")</f>
        <v>0.201986994195707</v>
      </c>
      <c r="S17" s="59" t="n">
        <f aca="false">IFERROR('0. Database'!T70/'0. Database'!T61,"")</f>
        <v>0.232222402165681</v>
      </c>
      <c r="T17" s="59" t="n">
        <f aca="false">IFERROR('0. Database'!U70/'0. Database'!U61,"")</f>
        <v>0.237833348928187</v>
      </c>
    </row>
    <row r="18" customFormat="false" ht="15" hidden="false" customHeight="false" outlineLevel="0" collapsed="false">
      <c r="A18" s="58" t="s">
        <v>64</v>
      </c>
      <c r="B18" s="59" t="n">
        <f aca="false">IFERROR('0. Database'!C90/'0. Database'!C79,"")</f>
        <v>0.364400182535635</v>
      </c>
      <c r="C18" s="59" t="n">
        <f aca="false">IFERROR('0. Database'!D90/'0. Database'!D79,"")</f>
        <v>0.374389766349041</v>
      </c>
      <c r="D18" s="59" t="n">
        <f aca="false">IFERROR('0. Database'!E90/'0. Database'!E79,"")</f>
        <v>0.338404830993648</v>
      </c>
      <c r="E18" s="59" t="n">
        <f aca="false">IFERROR('0. Database'!F90/'0. Database'!F79,"")</f>
        <v>0.333837061823677</v>
      </c>
      <c r="F18" s="59" t="n">
        <f aca="false">IFERROR('0. Database'!G90/'0. Database'!G79,"")</f>
        <v>0.319375181403203</v>
      </c>
      <c r="G18" s="59" t="n">
        <f aca="false">IFERROR('0. Database'!H90/'0. Database'!H79,"")</f>
        <v>0.346174329842002</v>
      </c>
      <c r="H18" s="59" t="n">
        <f aca="false">IFERROR('0. Database'!I90/'0. Database'!I79,"")</f>
        <v>0.326148007590133</v>
      </c>
      <c r="I18" s="59" t="n">
        <f aca="false">IFERROR('0. Database'!J90/'0. Database'!J79,"")</f>
        <v>0.296240370588386</v>
      </c>
      <c r="J18" s="59" t="n">
        <f aca="false">IFERROR('0. Database'!K90/'0. Database'!K79,"")</f>
        <v>0.339739630937971</v>
      </c>
      <c r="K18" s="59" t="n">
        <f aca="false">IFERROR('0. Database'!L90/'0. Database'!L79,"")</f>
        <v>0.118493909191584</v>
      </c>
      <c r="L18" s="59" t="n">
        <f aca="false">IFERROR('0. Database'!M90/'0. Database'!M79,"")</f>
        <v>0.169572615353818</v>
      </c>
      <c r="M18" s="59" t="n">
        <f aca="false">IFERROR('0. Database'!N90/'0. Database'!N79,"")</f>
        <v>0.222937633352845</v>
      </c>
      <c r="N18" s="59" t="n">
        <f aca="false">IFERROR('0. Database'!O90/'0. Database'!O79,"")</f>
        <v>-0.00686423108416523</v>
      </c>
      <c r="O18" s="59" t="n">
        <f aca="false">IFERROR('0. Database'!P90/'0. Database'!P79,"")</f>
        <v>-0.392719666204713</v>
      </c>
      <c r="P18" s="59" t="n">
        <f aca="false">IFERROR('0. Database'!Q90/'0. Database'!Q79,"")</f>
        <v>-0.207778894870831</v>
      </c>
      <c r="Q18" s="59" t="n">
        <f aca="false">IFERROR('0. Database'!R90/'0. Database'!R79,"")</f>
        <v>-0.157332154596774</v>
      </c>
      <c r="R18" s="59" t="n">
        <f aca="false">IFERROR('0. Database'!S90/'0. Database'!S79,"")</f>
        <v>-0.0878947867996312</v>
      </c>
      <c r="S18" s="59" t="n">
        <f aca="false">IFERROR('0. Database'!T90/'0. Database'!T79,"")</f>
        <v>0.0997238124658188</v>
      </c>
      <c r="T18" s="59" t="str">
        <f aca="false">IFERROR('0. Database'!U90/'0. Database'!U79,"")</f>
        <v/>
      </c>
    </row>
    <row r="21" customFormat="false" ht="15" hidden="false" customHeight="false" outlineLevel="0" collapsed="false">
      <c r="A21" s="55" t="s">
        <v>148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</row>
    <row r="22" customFormat="false" ht="15" hidden="false" customHeight="false" outlineLevel="0" collapsed="false">
      <c r="A22" s="56"/>
      <c r="B22" s="57" t="s">
        <v>211</v>
      </c>
      <c r="C22" s="57" t="s">
        <v>212</v>
      </c>
      <c r="D22" s="57" t="s">
        <v>213</v>
      </c>
      <c r="E22" s="57" t="s">
        <v>214</v>
      </c>
      <c r="F22" s="57" t="s">
        <v>215</v>
      </c>
      <c r="G22" s="57" t="s">
        <v>216</v>
      </c>
      <c r="H22" s="57" t="s">
        <v>217</v>
      </c>
      <c r="I22" s="57" t="s">
        <v>218</v>
      </c>
      <c r="J22" s="57" t="s">
        <v>219</v>
      </c>
      <c r="K22" s="57" t="s">
        <v>220</v>
      </c>
      <c r="L22" s="57" t="s">
        <v>221</v>
      </c>
      <c r="M22" s="57" t="s">
        <v>222</v>
      </c>
      <c r="N22" s="57" t="s">
        <v>223</v>
      </c>
      <c r="O22" s="57" t="s">
        <v>224</v>
      </c>
      <c r="P22" s="57" t="s">
        <v>225</v>
      </c>
      <c r="Q22" s="57" t="s">
        <v>226</v>
      </c>
      <c r="R22" s="57" t="s">
        <v>227</v>
      </c>
      <c r="S22" s="57" t="s">
        <v>228</v>
      </c>
      <c r="T22" s="57" t="s">
        <v>229</v>
      </c>
    </row>
    <row r="23" customFormat="false" ht="15" hidden="false" customHeight="false" outlineLevel="0" collapsed="false">
      <c r="A23" s="58" t="s">
        <v>24</v>
      </c>
      <c r="B23" s="60" t="n">
        <f aca="false">'0. Database'!C13</f>
        <v>4257</v>
      </c>
      <c r="C23" s="60" t="n">
        <f aca="false">'0. Database'!D13</f>
        <v>5485</v>
      </c>
      <c r="D23" s="60" t="n">
        <f aca="false">'0. Database'!E13</f>
        <v>5944</v>
      </c>
      <c r="E23" s="60" t="n">
        <f aca="false">'0. Database'!F13</f>
        <v>8932</v>
      </c>
      <c r="F23" s="60" t="n">
        <f aca="false">'0. Database'!G13</f>
        <v>10200</v>
      </c>
      <c r="G23" s="60" t="n">
        <f aca="false">'0. Database'!H13</f>
        <v>13600</v>
      </c>
      <c r="H23" s="60" t="n">
        <f aca="false">'0. Database'!I13</f>
        <v>16900</v>
      </c>
      <c r="I23" s="60" t="n">
        <f aca="false">'0. Database'!J13</f>
        <v>19000</v>
      </c>
      <c r="J23" s="60" t="n">
        <f aca="false">'0. Database'!K13</f>
        <v>24200</v>
      </c>
      <c r="K23" s="60" t="n">
        <f aca="false">'0. Database'!L13</f>
        <v>29200</v>
      </c>
      <c r="L23" s="60" t="n">
        <f aca="false">'0. Database'!M13</f>
        <v>31900</v>
      </c>
      <c r="M23" s="60" t="n">
        <f aca="false">'0. Database'!N13</f>
        <v>55700</v>
      </c>
      <c r="N23" s="60" t="n">
        <f aca="false">'0. Database'!O13</f>
        <v>88200</v>
      </c>
      <c r="O23" s="60" t="n">
        <f aca="false">'0. Database'!P13</f>
        <v>145871.3</v>
      </c>
      <c r="P23" s="60" t="n">
        <f aca="false">'0. Database'!Q13</f>
        <v>245263.45</v>
      </c>
      <c r="Q23" s="60" t="n">
        <f aca="false">'0. Database'!R13</f>
        <v>286760.35</v>
      </c>
      <c r="R23" s="60" t="n">
        <f aca="false">'0. Database'!S13</f>
        <v>300210.91</v>
      </c>
      <c r="S23" s="60" t="n">
        <f aca="false">'0. Database'!T13</f>
        <v>304616.04</v>
      </c>
      <c r="T23" s="60" t="n">
        <f aca="false">'0. Database'!U13</f>
        <v>0</v>
      </c>
    </row>
    <row r="24" customFormat="false" ht="15" hidden="false" customHeight="false" outlineLevel="0" collapsed="false">
      <c r="A24" s="58" t="s">
        <v>43</v>
      </c>
      <c r="B24" s="60" t="n">
        <f aca="false">'0. Database'!C32</f>
        <v>3443</v>
      </c>
      <c r="C24" s="60" t="n">
        <f aca="false">'0. Database'!D32</f>
        <v>4892</v>
      </c>
      <c r="D24" s="60" t="n">
        <f aca="false">'0. Database'!E32</f>
        <v>4588</v>
      </c>
      <c r="E24" s="60" t="n">
        <f aca="false">'0. Database'!F32</f>
        <v>6736</v>
      </c>
      <c r="F24" s="60" t="n">
        <f aca="false">'0. Database'!G32</f>
        <v>10057</v>
      </c>
      <c r="G24" s="60" t="n">
        <f aca="false">'0. Database'!H32</f>
        <v>11322</v>
      </c>
      <c r="H24" s="60" t="n">
        <f aca="false">'0. Database'!I32</f>
        <v>12690</v>
      </c>
      <c r="I24" s="60" t="n">
        <f aca="false">'0. Database'!J32</f>
        <v>35046</v>
      </c>
      <c r="J24" s="60" t="n">
        <f aca="false">'0. Database'!K32</f>
        <v>55396</v>
      </c>
      <c r="K24" s="60" t="n">
        <f aca="false">'0. Database'!L32</f>
        <v>58321</v>
      </c>
      <c r="L24" s="60" t="n">
        <f aca="false">'0. Database'!M32</f>
        <v>48133</v>
      </c>
      <c r="M24" s="60" t="n">
        <f aca="false">'0. Database'!N32</f>
        <v>77658</v>
      </c>
      <c r="N24" s="60" t="n">
        <f aca="false">'0. Database'!O32</f>
        <v>128320</v>
      </c>
      <c r="O24" s="60" t="n">
        <f aca="false">'0. Database'!P32</f>
        <v>200104.98</v>
      </c>
      <c r="P24" s="60" t="n">
        <f aca="false">'0. Database'!Q32</f>
        <v>270141.72</v>
      </c>
      <c r="Q24" s="60" t="n">
        <f aca="false">'0. Database'!R32</f>
        <v>283648.81</v>
      </c>
      <c r="R24" s="60" t="n">
        <f aca="false">'0. Database'!S32</f>
        <v>297831.25</v>
      </c>
      <c r="S24" s="60" t="n">
        <f aca="false">'0. Database'!T32</f>
        <v>312722.81</v>
      </c>
      <c r="T24" s="60" t="n">
        <f aca="false">'0. Database'!U32</f>
        <v>328358.95</v>
      </c>
    </row>
    <row r="25" customFormat="false" ht="15" hidden="false" customHeight="false" outlineLevel="0" collapsed="false">
      <c r="A25" s="58" t="s">
        <v>49</v>
      </c>
      <c r="B25" s="60" t="n">
        <f aca="false">'0. Database'!C49</f>
        <v>7358</v>
      </c>
      <c r="C25" s="60" t="n">
        <f aca="false">'0. Database'!D49</f>
        <v>10959</v>
      </c>
      <c r="D25" s="60" t="n">
        <f aca="false">'0. Database'!E49</f>
        <v>9915</v>
      </c>
      <c r="E25" s="60" t="n">
        <f aca="false">'0. Database'!F49</f>
        <v>10183</v>
      </c>
      <c r="F25" s="60" t="n">
        <f aca="false">'0. Database'!G49</f>
        <v>13184</v>
      </c>
      <c r="G25" s="60" t="n">
        <f aca="false">'0. Database'!H49</f>
        <v>25139</v>
      </c>
      <c r="H25" s="60" t="n">
        <f aca="false">'0. Database'!I49</f>
        <v>23548</v>
      </c>
      <c r="I25" s="60" t="n">
        <f aca="false">'0. Database'!J49</f>
        <v>22281</v>
      </c>
      <c r="J25" s="60" t="n">
        <f aca="false">'0. Database'!K49</f>
        <v>24640</v>
      </c>
      <c r="K25" s="60" t="n">
        <f aca="false">'0. Database'!L49</f>
        <v>31485</v>
      </c>
      <c r="L25" s="60" t="n">
        <f aca="false">'0. Database'!M49</f>
        <v>32251</v>
      </c>
      <c r="M25" s="60" t="n">
        <f aca="false">'0. Database'!N49</f>
        <v>52535</v>
      </c>
      <c r="N25" s="60" t="n">
        <f aca="false">'0. Database'!O49</f>
        <v>91447</v>
      </c>
      <c r="O25" s="60" t="n">
        <f aca="false">'0. Database'!P49</f>
        <v>185234.28</v>
      </c>
      <c r="P25" s="60" t="n">
        <f aca="false">'0. Database'!Q49</f>
        <v>259327.99</v>
      </c>
      <c r="Q25" s="60" t="n">
        <f aca="false">'0. Database'!R49</f>
        <v>285260.79</v>
      </c>
      <c r="R25" s="60" t="n">
        <f aca="false">'0. Database'!S49</f>
        <v>299523.83</v>
      </c>
      <c r="S25" s="60" t="n">
        <f aca="false">'0. Database'!T49</f>
        <v>314500.02</v>
      </c>
      <c r="T25" s="60" t="n">
        <f aca="false">'0. Database'!U49</f>
        <v>330225.02</v>
      </c>
    </row>
    <row r="26" customFormat="false" ht="15" hidden="false" customHeight="false" outlineLevel="0" collapsed="false">
      <c r="A26" s="58" t="s">
        <v>57</v>
      </c>
      <c r="B26" s="60" t="n">
        <f aca="false">'0. Database'!C68</f>
        <v>1362</v>
      </c>
      <c r="C26" s="60" t="n">
        <f aca="false">'0. Database'!D68</f>
        <v>1831</v>
      </c>
      <c r="D26" s="60" t="n">
        <f aca="false">'0. Database'!E68</f>
        <v>2523</v>
      </c>
      <c r="E26" s="60" t="n">
        <f aca="false">'0. Database'!F68</f>
        <v>4491</v>
      </c>
      <c r="F26" s="60" t="n">
        <f aca="false">'0. Database'!G68</f>
        <v>6732</v>
      </c>
      <c r="G26" s="60" t="n">
        <f aca="false">'0. Database'!H68</f>
        <v>13980</v>
      </c>
      <c r="H26" s="60" t="n">
        <f aca="false">'0. Database'!I68</f>
        <v>15102</v>
      </c>
      <c r="I26" s="60" t="n">
        <f aca="false">'0. Database'!J68</f>
        <v>15115</v>
      </c>
      <c r="J26" s="60" t="n">
        <f aca="false">'0. Database'!K68</f>
        <v>18567</v>
      </c>
      <c r="K26" s="60" t="n">
        <f aca="false">'0. Database'!L68</f>
        <v>31186</v>
      </c>
      <c r="L26" s="60" t="n">
        <f aca="false">'0. Database'!M68</f>
        <v>27045</v>
      </c>
      <c r="M26" s="60" t="n">
        <f aca="false">'0. Database'!N68</f>
        <v>37256</v>
      </c>
      <c r="N26" s="60" t="n">
        <f aca="false">'0. Database'!O68</f>
        <v>69691</v>
      </c>
      <c r="O26" s="60" t="n">
        <f aca="false">'0. Database'!P68</f>
        <v>135583.71</v>
      </c>
      <c r="P26" s="60" t="n">
        <f aca="false">'0. Database'!Q68</f>
        <v>165714.44</v>
      </c>
      <c r="Q26" s="60" t="n">
        <f aca="false">'0. Database'!R68</f>
        <v>185600.17</v>
      </c>
      <c r="R26" s="60" t="n">
        <f aca="false">'0. Database'!S68</f>
        <v>196736.18</v>
      </c>
      <c r="S26" s="60" t="n">
        <f aca="false">'0. Database'!T68</f>
        <v>208540.35</v>
      </c>
      <c r="T26" s="60" t="n">
        <f aca="false">'0. Database'!U68</f>
        <v>221052.77</v>
      </c>
    </row>
    <row r="27" customFormat="false" ht="15" hidden="false" customHeight="false" outlineLevel="0" collapsed="false">
      <c r="A27" s="58" t="s">
        <v>64</v>
      </c>
      <c r="B27" s="60" t="n">
        <f aca="false">'0. Database'!C88</f>
        <v>650</v>
      </c>
      <c r="C27" s="60" t="n">
        <f aca="false">'0. Database'!D88</f>
        <v>580</v>
      </c>
      <c r="D27" s="60" t="n">
        <f aca="false">'0. Database'!E88</f>
        <v>1391</v>
      </c>
      <c r="E27" s="60" t="n">
        <f aca="false">'0. Database'!F88</f>
        <v>1189</v>
      </c>
      <c r="F27" s="60" t="n">
        <f aca="false">'0. Database'!G88</f>
        <v>2021</v>
      </c>
      <c r="G27" s="60" t="n">
        <f aca="false">'0. Database'!H88</f>
        <v>1736</v>
      </c>
      <c r="H27" s="60" t="n">
        <f aca="false">'0. Database'!I88</f>
        <v>1660</v>
      </c>
      <c r="I27" s="60" t="n">
        <f aca="false">'0. Database'!J88</f>
        <v>1564</v>
      </c>
      <c r="J27" s="60" t="n">
        <f aca="false">'0. Database'!K88</f>
        <v>2135</v>
      </c>
      <c r="K27" s="60" t="n">
        <f aca="false">'0. Database'!L88</f>
        <v>4511</v>
      </c>
      <c r="L27" s="60" t="n">
        <f aca="false">'0. Database'!M88</f>
        <v>8695</v>
      </c>
      <c r="M27" s="60" t="n">
        <f aca="false">'0. Database'!N88</f>
        <v>6866</v>
      </c>
      <c r="N27" s="60" t="n">
        <f aca="false">'0. Database'!O88</f>
        <v>21215</v>
      </c>
      <c r="O27" s="60" t="n">
        <f aca="false">'0. Database'!P88</f>
        <v>51882</v>
      </c>
      <c r="P27" s="60" t="n">
        <f aca="false">'0. Database'!Q88</f>
        <v>52141.41</v>
      </c>
      <c r="Q27" s="60" t="n">
        <f aca="false">'0. Database'!R88</f>
        <v>69869.49</v>
      </c>
      <c r="R27" s="60" t="n">
        <f aca="false">'0. Database'!S88</f>
        <v>81048.61</v>
      </c>
      <c r="S27" s="60" t="n">
        <f aca="false">'0. Database'!T88</f>
        <v>66459.86</v>
      </c>
      <c r="T27" s="60" t="n">
        <f aca="false">'0. Database'!U88</f>
        <v>0</v>
      </c>
    </row>
    <row r="30" customFormat="false" ht="15" hidden="false" customHeight="false" outlineLevel="0" collapsed="false">
      <c r="A30" s="55" t="s">
        <v>142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</row>
    <row r="31" customFormat="false" ht="15" hidden="false" customHeight="false" outlineLevel="0" collapsed="false">
      <c r="A31" s="56"/>
      <c r="B31" s="57" t="s">
        <v>211</v>
      </c>
      <c r="C31" s="57" t="s">
        <v>212</v>
      </c>
      <c r="D31" s="57" t="s">
        <v>213</v>
      </c>
      <c r="E31" s="57" t="s">
        <v>214</v>
      </c>
      <c r="F31" s="57" t="s">
        <v>215</v>
      </c>
      <c r="G31" s="57" t="s">
        <v>216</v>
      </c>
      <c r="H31" s="57" t="s">
        <v>217</v>
      </c>
      <c r="I31" s="57" t="s">
        <v>218</v>
      </c>
      <c r="J31" s="57" t="s">
        <v>219</v>
      </c>
      <c r="K31" s="57" t="s">
        <v>220</v>
      </c>
      <c r="L31" s="57" t="s">
        <v>221</v>
      </c>
      <c r="M31" s="57" t="s">
        <v>222</v>
      </c>
      <c r="N31" s="57" t="s">
        <v>223</v>
      </c>
      <c r="O31" s="57" t="s">
        <v>224</v>
      </c>
      <c r="P31" s="57" t="s">
        <v>225</v>
      </c>
      <c r="Q31" s="57" t="s">
        <v>226</v>
      </c>
      <c r="R31" s="57" t="s">
        <v>227</v>
      </c>
      <c r="S31" s="57" t="s">
        <v>228</v>
      </c>
      <c r="T31" s="57" t="s">
        <v>229</v>
      </c>
    </row>
    <row r="32" customFormat="false" ht="15" hidden="false" customHeight="false" outlineLevel="0" collapsed="false">
      <c r="A32" s="58" t="s">
        <v>24</v>
      </c>
      <c r="B32" s="59"/>
      <c r="C32" s="59" t="n">
        <f aca="false">IFERROR('0. Database'!D6/'0. Database'!C6-1,"")</f>
        <v>0.115402895348688</v>
      </c>
      <c r="D32" s="59" t="n">
        <f aca="false">IFERROR('0. Database'!E6/'0. Database'!D6-1,"")</f>
        <v>0.0777008740916472</v>
      </c>
      <c r="E32" s="59" t="n">
        <f aca="false">IFERROR('0. Database'!F6/'0. Database'!E6-1,"")</f>
        <v>-0.0882667236589014</v>
      </c>
      <c r="F32" s="59" t="n">
        <f aca="false">IFERROR('0. Database'!G6/'0. Database'!F6-1,"")</f>
        <v>0.131868260665729</v>
      </c>
      <c r="G32" s="59" t="n">
        <f aca="false">IFERROR('0. Database'!H6/'0. Database'!G6-1,"")</f>
        <v>0.142786136624867</v>
      </c>
      <c r="H32" s="59" t="n">
        <f aca="false">IFERROR('0. Database'!I6/'0. Database'!H6-1,"")</f>
        <v>0.140295396882929</v>
      </c>
      <c r="I32" s="59" t="n">
        <f aca="false">IFERROR('0. Database'!J6/'0. Database'!I6-1,"")</f>
        <v>0.136455742472764</v>
      </c>
      <c r="J32" s="59" t="n">
        <f aca="false">IFERROR('0. Database'!K6/'0. Database'!J6-1,"")</f>
        <v>0.175317274411775</v>
      </c>
      <c r="K32" s="59" t="n">
        <f aca="false">IFERROR('0. Database'!L6/'0. Database'!K6-1,"")</f>
        <v>0.179560706296702</v>
      </c>
      <c r="L32" s="59" t="n">
        <f aca="false">IFERROR('0. Database'!M6/'0. Database'!L6-1,"")</f>
        <v>0.0688202955565642</v>
      </c>
      <c r="M32" s="59" t="n">
        <f aca="false">IFERROR('0. Database'!N6/'0. Database'!M6-1,"")</f>
        <v>0.156699620130713</v>
      </c>
      <c r="N32" s="59" t="n">
        <f aca="false">IFERROR('0. Database'!O6/'0. Database'!N6-1,"")</f>
        <v>0.149321562324067</v>
      </c>
      <c r="O32" s="59" t="n">
        <f aca="false">IFERROR('0. Database'!P6/'0. Database'!O6-1,"")</f>
        <v>0.169372293450327</v>
      </c>
      <c r="P32" s="59" t="n">
        <f aca="false">IFERROR('0. Database'!Q6/'0. Database'!P6-1,"")</f>
        <v>0.175034689144228</v>
      </c>
      <c r="Q32" s="59" t="n">
        <f aca="false">IFERROR('0. Database'!R6/'0. Database'!Q6-1,"")</f>
        <v>0.197286820113401</v>
      </c>
      <c r="R32" s="59" t="n">
        <f aca="false">IFERROR('0. Database'!S6/'0. Database'!R6-1,"")</f>
        <v>0.19470416226216</v>
      </c>
      <c r="S32" s="59" t="n">
        <f aca="false">IFERROR('0. Database'!T6/'0. Database'!S6-1,"")</f>
        <v>0.178897421725549</v>
      </c>
      <c r="T32" s="59" t="n">
        <f aca="false">IFERROR('0. Database'!U6/'0. Database'!T6-1,"")</f>
        <v>-1</v>
      </c>
    </row>
    <row r="33" customFormat="false" ht="15" hidden="false" customHeight="false" outlineLevel="0" collapsed="false">
      <c r="A33" s="58" t="s">
        <v>43</v>
      </c>
      <c r="B33" s="59"/>
      <c r="C33" s="59" t="n">
        <f aca="false">IFERROR('0. Database'!D25/'0. Database'!C25-1,"")</f>
        <v>0.195229205001813</v>
      </c>
      <c r="D33" s="59" t="n">
        <f aca="false">IFERROR('0. Database'!E25/'0. Database'!D25-1,"")</f>
        <v>0.202478075794149</v>
      </c>
      <c r="E33" s="59" t="n">
        <f aca="false">IFERROR('0. Database'!F25/'0. Database'!E25-1,"")</f>
        <v>0.270828154525048</v>
      </c>
      <c r="F33" s="59" t="n">
        <f aca="false">IFERROR('0. Database'!G25/'0. Database'!F25-1,"")</f>
        <v>0.307963261194085</v>
      </c>
      <c r="G33" s="59" t="n">
        <f aca="false">IFERROR('0. Database'!H25/'0. Database'!G25-1,"")</f>
        <v>0.309339615215949</v>
      </c>
      <c r="H33" s="59" t="n">
        <f aca="false">IFERROR('0. Database'!I25/'0. Database'!H25-1,"")</f>
        <v>0.20454125820677</v>
      </c>
      <c r="I33" s="59" t="n">
        <f aca="false">IFERROR('0. Database'!J25/'0. Database'!I25-1,"")</f>
        <v>0.376234306043733</v>
      </c>
      <c r="J33" s="59" t="n">
        <f aca="false">IFERROR('0. Database'!K25/'0. Database'!J25-1,"")</f>
        <v>0.216953665713457</v>
      </c>
      <c r="K33" s="59" t="n">
        <f aca="false">IFERROR('0. Database'!L25/'0. Database'!K25-1,"")</f>
        <v>0.0939951726398509</v>
      </c>
      <c r="L33" s="59" t="n">
        <f aca="false">IFERROR('0. Database'!M25/'0. Database'!L25-1,"")</f>
        <v>0.118295741298837</v>
      </c>
      <c r="M33" s="59" t="n">
        <f aca="false">IFERROR('0. Database'!N25/'0. Database'!M25-1,"")</f>
        <v>0.109908922466661</v>
      </c>
      <c r="N33" s="59" t="n">
        <f aca="false">IFERROR('0. Database'!O25/'0. Database'!N25-1,"")</f>
        <v>0.123777546832947</v>
      </c>
      <c r="O33" s="59" t="n">
        <f aca="false">IFERROR('0. Database'!P25/'0. Database'!O25-1,"")</f>
        <v>0.154375512606636</v>
      </c>
      <c r="P33" s="59" t="n">
        <f aca="false">IFERROR('0. Database'!Q25/'0. Database'!P25-1,"")</f>
        <v>0.143827296369472</v>
      </c>
      <c r="Q33" s="59" t="n">
        <f aca="false">IFERROR('0. Database'!R25/'0. Database'!Q25-1,"")</f>
        <v>0.123289530023903</v>
      </c>
      <c r="R33" s="59" t="n">
        <f aca="false">IFERROR('0. Database'!S25/'0. Database'!R25-1,"")</f>
        <v>0.112642300243612</v>
      </c>
      <c r="S33" s="59" t="n">
        <f aca="false">IFERROR('0. Database'!T25/'0. Database'!S25-1,"")</f>
        <v>0.103369054433569</v>
      </c>
      <c r="T33" s="59" t="n">
        <f aca="false">IFERROR('0. Database'!U25/'0. Database'!T25-1,"")</f>
        <v>0.0938376646184709</v>
      </c>
    </row>
    <row r="34" customFormat="false" ht="15" hidden="false" customHeight="false" outlineLevel="0" collapsed="false">
      <c r="A34" s="58" t="s">
        <v>49</v>
      </c>
      <c r="B34" s="59"/>
      <c r="C34" s="59" t="n">
        <f aca="false">IFERROR('0. Database'!D42/'0. Database'!C42-1,"")</f>
        <v>0.188800230551703</v>
      </c>
      <c r="D34" s="59" t="n">
        <f aca="false">IFERROR('0. Database'!E42/'0. Database'!D42-1,"")</f>
        <v>0.136179754852199</v>
      </c>
      <c r="E34" s="59" t="n">
        <f aca="false">IFERROR('0. Database'!F42/'0. Database'!E42-1,"")</f>
        <v>0.203803224472923</v>
      </c>
      <c r="F34" s="59" t="n">
        <f aca="false">IFERROR('0. Database'!G42/'0. Database'!F42-1,"")</f>
        <v>0.228010900389933</v>
      </c>
      <c r="G34" s="59" t="n">
        <f aca="false">IFERROR('0. Database'!H42/'0. Database'!G42-1,"")</f>
        <v>0.23421586757476</v>
      </c>
      <c r="H34" s="59" t="n">
        <f aca="false">IFERROR('0. Database'!I42/'0. Database'!H42-1,"")</f>
        <v>0.183000898997946</v>
      </c>
      <c r="I34" s="59" t="n">
        <f aca="false">IFERROR('0. Database'!J42/'0. Database'!I42-1,"")</f>
        <v>0.127705320128261</v>
      </c>
      <c r="J34" s="59" t="n">
        <f aca="false">IFERROR('0. Database'!K42/'0. Database'!J42-1,"")</f>
        <v>0.411500764270492</v>
      </c>
      <c r="K34" s="59" t="n">
        <f aca="false">IFERROR('0. Database'!L42/'0. Database'!K42-1,"")</f>
        <v>0.0978081564371578</v>
      </c>
      <c r="L34" s="59" t="n">
        <f aca="false">IFERROR('0. Database'!M42/'0. Database'!L42-1,"")</f>
        <v>0.0868277022726951</v>
      </c>
      <c r="M34" s="59" t="n">
        <f aca="false">IFERROR('0. Database'!N42/'0. Database'!M42-1,"")</f>
        <v>0.138662433229016</v>
      </c>
      <c r="N34" s="59" t="n">
        <f aca="false">IFERROR('0. Database'!O42/'0. Database'!N42-1,"")</f>
        <v>0.150900810815444</v>
      </c>
      <c r="O34" s="59" t="n">
        <f aca="false">IFERROR('0. Database'!P42/'0. Database'!O42-1,"")</f>
        <v>0.212102691914327</v>
      </c>
      <c r="P34" s="59" t="n">
        <f aca="false">IFERROR('0. Database'!Q42/'0. Database'!P42-1,"")</f>
        <v>0.212290974865579</v>
      </c>
      <c r="Q34" s="59" t="n">
        <f aca="false">IFERROR('0. Database'!R42/'0. Database'!Q42-1,"")</f>
        <v>0.184950396811654</v>
      </c>
      <c r="R34" s="59" t="n">
        <f aca="false">IFERROR('0. Database'!S42/'0. Database'!R42-1,"")</f>
        <v>0.162332531795857</v>
      </c>
      <c r="S34" s="59" t="n">
        <f aca="false">IFERROR('0. Database'!T42/'0. Database'!S42-1,"")</f>
        <v>0.13075075795109</v>
      </c>
      <c r="T34" s="59" t="n">
        <f aca="false">IFERROR('0. Database'!U42/'0. Database'!T42-1,"")</f>
        <v>0.116455013773831</v>
      </c>
    </row>
    <row r="35" customFormat="false" ht="15" hidden="false" customHeight="false" outlineLevel="0" collapsed="false">
      <c r="A35" s="58" t="s">
        <v>57</v>
      </c>
      <c r="B35" s="59"/>
      <c r="C35" s="59" t="n">
        <f aca="false">IFERROR('0. Database'!D61/'0. Database'!C61-1,"")</f>
        <v>0.583587398373984</v>
      </c>
      <c r="D35" s="59" t="n">
        <f aca="false">IFERROR('0. Database'!E61/'0. Database'!D61-1,"")</f>
        <v>0.43807155462859</v>
      </c>
      <c r="E35" s="59" t="n">
        <f aca="false">IFERROR('0. Database'!F61/'0. Database'!E61-1,"")</f>
        <v>0.541696881798405</v>
      </c>
      <c r="F35" s="59" t="n">
        <f aca="false">IFERROR('0. Database'!G61/'0. Database'!F61-1,"")</f>
        <v>0.470909617193719</v>
      </c>
      <c r="G35" s="59" t="n">
        <f aca="false">IFERROR('0. Database'!H61/'0. Database'!G61-1,"")</f>
        <v>0.37352716896662</v>
      </c>
      <c r="H35" s="59" t="n">
        <f aca="false">IFERROR('0. Database'!I61/'0. Database'!H61-1,"")</f>
        <v>0.266100146853397</v>
      </c>
      <c r="I35" s="59" t="n">
        <f aca="false">IFERROR('0. Database'!J61/'0. Database'!I61-1,"")</f>
        <v>0.215986647146606</v>
      </c>
      <c r="J35" s="59" t="n">
        <f aca="false">IFERROR('0. Database'!K61/'0. Database'!J61-1,"")</f>
        <v>0.371809785263942</v>
      </c>
      <c r="K35" s="59" t="n">
        <f aca="false">IFERROR('0. Database'!L61/'0. Database'!K61-1,"")</f>
        <v>-0.0111931755547829</v>
      </c>
      <c r="L35" s="59" t="n">
        <f aca="false">IFERROR('0. Database'!M61/'0. Database'!L61-1,"")</f>
        <v>0.156866108104863</v>
      </c>
      <c r="M35" s="59" t="n">
        <f aca="false">IFERROR('0. Database'!N61/'0. Database'!M61-1,"")</f>
        <v>0.219412754538513</v>
      </c>
      <c r="N35" s="59" t="n">
        <f aca="false">IFERROR('0. Database'!O61/'0. Database'!N61-1,"")</f>
        <v>0.221671732522796</v>
      </c>
      <c r="O35" s="59" t="n">
        <f aca="false">IFERROR('0. Database'!P61/'0. Database'!O61-1,"")</f>
        <v>0.2697512502177</v>
      </c>
      <c r="P35" s="59" t="n">
        <f aca="false">IFERROR('0. Database'!Q61/'0. Database'!P61-1,"")</f>
        <v>0.20078317845173</v>
      </c>
      <c r="Q35" s="59" t="n">
        <f aca="false">IFERROR('0. Database'!R61/'0. Database'!Q61-1,"")</f>
        <v>0.166200396774889</v>
      </c>
      <c r="R35" s="59" t="n">
        <f aca="false">IFERROR('0. Database'!S61/'0. Database'!R61-1,"")</f>
        <v>0.13996879744046</v>
      </c>
      <c r="S35" s="59" t="n">
        <f aca="false">IFERROR('0. Database'!T61/'0. Database'!S61-1,"")</f>
        <v>0.119898057691976</v>
      </c>
      <c r="T35" s="59" t="n">
        <f aca="false">IFERROR('0. Database'!U61/'0. Database'!T61-1,"")</f>
        <v>0.104120763182785</v>
      </c>
    </row>
    <row r="36" customFormat="false" ht="15" hidden="false" customHeight="false" outlineLevel="0" collapsed="false">
      <c r="A36" s="58" t="s">
        <v>64</v>
      </c>
      <c r="B36" s="59"/>
      <c r="C36" s="59" t="n">
        <f aca="false">IFERROR('0. Database'!D79/'0. Database'!C79-1,"")</f>
        <v>0.0282393364292808</v>
      </c>
      <c r="D36" s="59" t="n">
        <f aca="false">IFERROR('0. Database'!E79/'0. Database'!D79-1,"")</f>
        <v>-0.00135752512726794</v>
      </c>
      <c r="E36" s="59" t="n">
        <f aca="false">IFERROR('0. Database'!F79/'0. Database'!E79-1,"")</f>
        <v>-0.031265521658432</v>
      </c>
      <c r="F36" s="59" t="n">
        <f aca="false">IFERROR('0. Database'!G79/'0. Database'!F79-1,"")</f>
        <v>0.0227217529751464</v>
      </c>
      <c r="G36" s="59" t="n">
        <f aca="false">IFERROR('0. Database'!H79/'0. Database'!G79-1,"")</f>
        <v>0.0404232301643843</v>
      </c>
      <c r="H36" s="59" t="n">
        <f aca="false">IFERROR('0. Database'!I79/'0. Database'!H79-1,"")</f>
        <v>0.0023839111359083</v>
      </c>
      <c r="I36" s="59" t="n">
        <f aca="false">IFERROR('0. Database'!J79/'0. Database'!I79-1,"")</f>
        <v>-0.0114358001265022</v>
      </c>
      <c r="J36" s="59" t="n">
        <f aca="false">IFERROR('0. Database'!K79/'0. Database'!J79-1,"")</f>
        <v>0.036035113761421</v>
      </c>
      <c r="K36" s="59" t="n">
        <f aca="false">IFERROR('0. Database'!L79/'0. Database'!K79-1,"")</f>
        <v>0.0484177762407054</v>
      </c>
      <c r="L36" s="59" t="n">
        <f aca="false">IFERROR('0. Database'!M79/'0. Database'!L79-1,"")</f>
        <v>0.17704578120214</v>
      </c>
      <c r="M36" s="59" t="n">
        <f aca="false">IFERROR('0. Database'!N79/'0. Database'!M79-1,"")</f>
        <v>0.060174156741067</v>
      </c>
      <c r="N36" s="59" t="n">
        <f aca="false">IFERROR('0. Database'!O79/'0. Database'!N79-1,"")</f>
        <v>0.0837975113762959</v>
      </c>
      <c r="O36" s="59" t="n">
        <f aca="false">IFERROR('0. Database'!P79/'0. Database'!O79-1,"")</f>
        <v>0.172263454067144</v>
      </c>
      <c r="P36" s="59" t="n">
        <f aca="false">IFERROR('0. Database'!Q79/'0. Database'!P79-1,"")</f>
        <v>0.319457694122543</v>
      </c>
      <c r="Q36" s="59" t="n">
        <f aca="false">IFERROR('0. Database'!R79/'0. Database'!Q79-1,"")</f>
        <v>0.412955573662325</v>
      </c>
      <c r="R36" s="59" t="n">
        <f aca="false">IFERROR('0. Database'!S79/'0. Database'!R79-1,"")</f>
        <v>0.316855148927758</v>
      </c>
      <c r="S36" s="59" t="n">
        <f aca="false">IFERROR('0. Database'!T79/'0. Database'!S79-1,"")</f>
        <v>0.123262637826697</v>
      </c>
      <c r="T36" s="59" t="n">
        <f aca="false">IFERROR('0. Database'!U79/'0. Database'!T79-1,"")</f>
        <v>-1</v>
      </c>
    </row>
    <row r="39" customFormat="false" ht="15" hidden="false" customHeight="false" outlineLevel="0" collapsed="false">
      <c r="A39" s="55" t="s">
        <v>144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</row>
    <row r="40" customFormat="false" ht="15" hidden="false" customHeight="false" outlineLevel="0" collapsed="false">
      <c r="A40" s="56"/>
      <c r="B40" s="57" t="s">
        <v>211</v>
      </c>
      <c r="C40" s="57" t="s">
        <v>212</v>
      </c>
      <c r="D40" s="57" t="s">
        <v>213</v>
      </c>
      <c r="E40" s="57" t="s">
        <v>214</v>
      </c>
      <c r="F40" s="57" t="s">
        <v>215</v>
      </c>
      <c r="G40" s="57" t="s">
        <v>216</v>
      </c>
      <c r="H40" s="57" t="s">
        <v>217</v>
      </c>
      <c r="I40" s="57" t="s">
        <v>218</v>
      </c>
      <c r="J40" s="57" t="s">
        <v>219</v>
      </c>
      <c r="K40" s="57" t="s">
        <v>220</v>
      </c>
      <c r="L40" s="57" t="s">
        <v>221</v>
      </c>
      <c r="M40" s="57" t="s">
        <v>222</v>
      </c>
      <c r="N40" s="57" t="s">
        <v>223</v>
      </c>
      <c r="O40" s="57" t="s">
        <v>224</v>
      </c>
      <c r="P40" s="57" t="s">
        <v>225</v>
      </c>
      <c r="Q40" s="57" t="s">
        <v>226</v>
      </c>
      <c r="R40" s="57" t="s">
        <v>227</v>
      </c>
      <c r="S40" s="57" t="s">
        <v>228</v>
      </c>
      <c r="T40" s="57" t="s">
        <v>229</v>
      </c>
    </row>
    <row r="41" customFormat="false" ht="15" hidden="false" customHeight="false" outlineLevel="0" collapsed="false">
      <c r="A41" s="58" t="s">
        <v>24</v>
      </c>
      <c r="B41" s="59" t="n">
        <f aca="false">IFERROR('0. Database'!C7/'0. Database'!C6,"")</f>
        <v>0.343793754576167</v>
      </c>
      <c r="C41" s="59" t="n">
        <f aca="false">IFERROR('0. Database'!D7/'0. Database'!D6,"")</f>
        <v>0.319682609146292</v>
      </c>
      <c r="D41" s="59" t="n">
        <f aca="false">IFERROR('0. Database'!E7/'0. Database'!E6,"")</f>
        <v>0.194069245565292</v>
      </c>
      <c r="E41" s="59" t="n">
        <f aca="false">IFERROR('0. Database'!F7/'0. Database'!F6,"")</f>
        <v>0.236544772620722</v>
      </c>
      <c r="F41" s="59" t="n">
        <f aca="false">IFERROR('0. Database'!G7/'0. Database'!G6,"")</f>
        <v>0.300556067556513</v>
      </c>
      <c r="G41" s="59" t="n">
        <f aca="false">IFERROR('0. Database'!H7/'0. Database'!H6,"")</f>
        <v>0.317669445451251</v>
      </c>
      <c r="H41" s="59" t="n">
        <f aca="false">IFERROR('0. Database'!I7/'0. Database'!I6,"")</f>
        <v>0.341369802054942</v>
      </c>
      <c r="I41" s="59" t="n">
        <f aca="false">IFERROR('0. Database'!J7/'0. Database'!J6,"")</f>
        <v>0.370303814285215</v>
      </c>
      <c r="J41" s="59" t="n">
        <f aca="false">IFERROR('0. Database'!K7/'0. Database'!K6,"")</f>
        <v>0.415948788729713</v>
      </c>
      <c r="K41" s="59" t="n">
        <f aca="false">IFERROR('0. Database'!L7/'0. Database'!L6,"")</f>
        <v>0.420552781560498</v>
      </c>
      <c r="L41" s="59" t="n">
        <f aca="false">IFERROR('0. Database'!M7/'0. Database'!M6,"")</f>
        <v>0.417728806361041</v>
      </c>
      <c r="M41" s="59" t="n">
        <f aca="false">IFERROR('0. Database'!N7/'0. Database'!N6,"")</f>
        <v>0.446442995732737</v>
      </c>
      <c r="N41" s="59" t="n">
        <f aca="false">IFERROR('0. Database'!O7/'0. Database'!O6,"")</f>
        <v>0.456219562408599</v>
      </c>
      <c r="O41" s="59" t="n">
        <f aca="false">IFERROR('0. Database'!P7/'0. Database'!P6,"")</f>
        <v>0.465802538269156</v>
      </c>
      <c r="P41" s="59" t="n">
        <f aca="false">IFERROR('0. Database'!Q7/'0. Database'!Q6,"")</f>
        <v>0.463117571257584</v>
      </c>
      <c r="Q41" s="59" t="n">
        <f aca="false">IFERROR('0. Database'!R7/'0. Database'!R6,"")</f>
        <v>0.469393623381428</v>
      </c>
      <c r="R41" s="59" t="n">
        <f aca="false">IFERROR('0. Database'!S7/'0. Database'!S6,"")</f>
        <v>0.480824089640994</v>
      </c>
      <c r="S41" s="59" t="n">
        <f aca="false">IFERROR('0. Database'!T7/'0. Database'!T6,"")</f>
        <v>0.487820996536282</v>
      </c>
      <c r="T41" s="59" t="str">
        <f aca="false">IFERROR('0. Database'!U7/'0. Database'!U6,"")</f>
        <v/>
      </c>
    </row>
    <row r="42" customFormat="false" ht="15" hidden="false" customHeight="false" outlineLevel="0" collapsed="false">
      <c r="A42" s="58" t="s">
        <v>43</v>
      </c>
      <c r="B42" s="59" t="n">
        <f aca="false">IFERROR('0. Database'!C26/'0. Database'!C25,"")</f>
        <v>0.0100063127073456</v>
      </c>
      <c r="C42" s="59" t="n">
        <f aca="false">IFERROR('0. Database'!D26/'0. Database'!D25,"")</f>
        <v>0.0020047556760207</v>
      </c>
      <c r="D42" s="59" t="n">
        <f aca="false">IFERROR('0. Database'!E26/'0. Database'!E25,"")</f>
        <v>0.0208641336141883</v>
      </c>
      <c r="E42" s="59" t="n">
        <f aca="false">IFERROR('0. Database'!F26/'0. Database'!F25,"")</f>
        <v>0.0307823541956216</v>
      </c>
      <c r="F42" s="59" t="n">
        <f aca="false">IFERROR('0. Database'!G26/'0. Database'!G25,"")</f>
        <v>0.023090416380871</v>
      </c>
      <c r="G42" s="59" t="n">
        <f aca="false">IFERROR('0. Database'!H26/'0. Database'!H25,"")</f>
        <v>0.0533305852194412</v>
      </c>
      <c r="H42" s="59" t="n">
        <f aca="false">IFERROR('0. Database'!I26/'0. Database'!I25,"")</f>
        <v>0.0518319418797813</v>
      </c>
      <c r="I42" s="59" t="n">
        <f aca="false">IFERROR('0. Database'!J26/'0. Database'!J25,"")</f>
        <v>0.0593139997513366</v>
      </c>
      <c r="J42" s="59" t="n">
        <f aca="false">IFERROR('0. Database'!K26/'0. Database'!K25,"")</f>
        <v>0.0529540975092695</v>
      </c>
      <c r="K42" s="59" t="n">
        <f aca="false">IFERROR('0. Database'!L26/'0. Database'!L25,"")</f>
        <v>0.0238295819122422</v>
      </c>
      <c r="L42" s="59" t="n">
        <f aca="false">IFERROR('0. Database'!M26/'0. Database'!M25,"")</f>
        <v>0.0641144079960333</v>
      </c>
      <c r="M42" s="59" t="n">
        <f aca="false">IFERROR('0. Database'!N26/'0. Database'!N25,"")</f>
        <v>0.107519448742004</v>
      </c>
      <c r="N42" s="59" t="n">
        <f aca="false">IFERROR('0. Database'!O26/'0. Database'!O25,"")</f>
        <v>0.111552967957552</v>
      </c>
      <c r="O42" s="59" t="n">
        <f aca="false">IFERROR('0. Database'!P26/'0. Database'!P25,"")</f>
        <v>0.131708463674658</v>
      </c>
      <c r="P42" s="59" t="n">
        <f aca="false">IFERROR('0. Database'!Q26/'0. Database'!Q25,"")</f>
        <v>0.154365760146159</v>
      </c>
      <c r="Q42" s="59" t="n">
        <f aca="false">IFERROR('0. Database'!R26/'0. Database'!R25,"")</f>
        <v>0.172540408713261</v>
      </c>
      <c r="R42" s="59" t="n">
        <f aca="false">IFERROR('0. Database'!S26/'0. Database'!S25,"")</f>
        <v>0.188661589820496</v>
      </c>
      <c r="S42" s="59" t="n">
        <f aca="false">IFERROR('0. Database'!T26/'0. Database'!T25,"")</f>
        <v>0.202680597904355</v>
      </c>
      <c r="T42" s="59" t="n">
        <f aca="false">IFERROR('0. Database'!U26/'0. Database'!U25,"")</f>
        <v>0.213888220975314</v>
      </c>
    </row>
    <row r="43" customFormat="false" ht="15" hidden="false" customHeight="false" outlineLevel="0" collapsed="false">
      <c r="A43" s="58" t="s">
        <v>49</v>
      </c>
      <c r="B43" s="59" t="n">
        <f aca="false">IFERROR('0. Database'!C43/'0. Database'!C42,"")</f>
        <v>0.27743655325204</v>
      </c>
      <c r="C43" s="59" t="n">
        <f aca="false">IFERROR('0. Database'!D43/'0. Database'!D42,"")</f>
        <v>0.249935607036257</v>
      </c>
      <c r="D43" s="59" t="n">
        <f aca="false">IFERROR('0. Database'!E43/'0. Database'!E42,"")</f>
        <v>0.258171198442438</v>
      </c>
      <c r="E43" s="59" t="n">
        <f aca="false">IFERROR('0. Database'!F43/'0. Database'!F42,"")</f>
        <v>0.262717121588089</v>
      </c>
      <c r="F43" s="59" t="n">
        <f aca="false">IFERROR('0. Database'!G43/'0. Database'!G42,"")</f>
        <v>0.235857651887601</v>
      </c>
      <c r="G43" s="59" t="n">
        <f aca="false">IFERROR('0. Database'!H43/'0. Database'!H42,"")</f>
        <v>0.196997493038248</v>
      </c>
      <c r="H43" s="59" t="n">
        <f aca="false">IFERROR('0. Database'!I43/'0. Database'!I42,"")</f>
        <v>0.211489154006314</v>
      </c>
      <c r="I43" s="59" t="n">
        <f aca="false">IFERROR('0. Database'!J43/'0. Database'!J42,"")</f>
        <v>0.225851517857632</v>
      </c>
      <c r="J43" s="59" t="n">
        <f aca="false">IFERROR('0. Database'!K43/'0. Database'!K42,"")</f>
        <v>0.305522886852432</v>
      </c>
      <c r="K43" s="59" t="n">
        <f aca="false">IFERROR('0. Database'!L43/'0. Database'!L42,"")</f>
        <v>0.26461270842467</v>
      </c>
      <c r="L43" s="59" t="n">
        <f aca="false">IFERROR('0. Database'!M43/'0. Database'!M42,"")</f>
        <v>0.274218104452266</v>
      </c>
      <c r="M43" s="59" t="n">
        <f aca="false">IFERROR('0. Database'!N43/'0. Database'!N42,"")</f>
        <v>0.321097772114577</v>
      </c>
      <c r="N43" s="59" t="n">
        <f aca="false">IFERROR('0. Database'!O43/'0. Database'!O42,"")</f>
        <v>0.3203263859238</v>
      </c>
      <c r="O43" s="59" t="n">
        <f aca="false">IFERROR('0. Database'!P43/'0. Database'!P42,"")</f>
        <v>0.342669553816202</v>
      </c>
      <c r="P43" s="59" t="n">
        <f aca="false">IFERROR('0. Database'!Q43/'0. Database'!Q42,"")</f>
        <v>0.355253646282618</v>
      </c>
      <c r="Q43" s="59" t="n">
        <f aca="false">IFERROR('0. Database'!R43/'0. Database'!R42,"")</f>
        <v>0.36181091725094</v>
      </c>
      <c r="R43" s="59" t="n">
        <f aca="false">IFERROR('0. Database'!S43/'0. Database'!S42,"")</f>
        <v>0.366157445799273</v>
      </c>
      <c r="S43" s="59" t="n">
        <f aca="false">IFERROR('0. Database'!T43/'0. Database'!T42,"")</f>
        <v>0.367020570414675</v>
      </c>
      <c r="T43" s="59" t="n">
        <f aca="false">IFERROR('0. Database'!U43/'0. Database'!U42,"")</f>
        <v>0.369485813940611</v>
      </c>
    </row>
    <row r="44" customFormat="false" ht="15" hidden="false" customHeight="false" outlineLevel="0" collapsed="false">
      <c r="A44" s="58" t="s">
        <v>57</v>
      </c>
      <c r="B44" s="59" t="n">
        <f aca="false">IFERROR('0. Database'!C62/'0. Database'!C61,"")</f>
        <v>0.35619918699187</v>
      </c>
      <c r="C44" s="59" t="n">
        <f aca="false">IFERROR('0. Database'!D62/'0. Database'!D61,"")</f>
        <v>0.400673832825285</v>
      </c>
      <c r="D44" s="59" t="n">
        <f aca="false">IFERROR('0. Database'!E62/'0. Database'!E61,"")</f>
        <v>0.347241590896413</v>
      </c>
      <c r="E44" s="59" t="n">
        <f aca="false">IFERROR('0. Database'!F62/'0. Database'!F61,"")</f>
        <v>0.449634561111513</v>
      </c>
      <c r="F44" s="59" t="n">
        <f aca="false">IFERROR('0. Database'!G62/'0. Database'!G61,"")</f>
        <v>0.496937495387794</v>
      </c>
      <c r="G44" s="59" t="n">
        <f aca="false">IFERROR('0. Database'!H62/'0. Database'!H61,"")</f>
        <v>0.446165693613668</v>
      </c>
      <c r="H44" s="59" t="n">
        <f aca="false">IFERROR('0. Database'!I62/'0. Database'!I61,"")</f>
        <v>0.339274221496114</v>
      </c>
      <c r="I44" s="59" t="n">
        <f aca="false">IFERROR('0. Database'!J62/'0. Database'!J61,"")</f>
        <v>0.380045599423028</v>
      </c>
      <c r="J44" s="59" t="n">
        <f aca="false">IFERROR('0. Database'!K62/'0. Database'!K61,"")</f>
        <v>0.396450406600582</v>
      </c>
      <c r="K44" s="59" t="n">
        <f aca="false">IFERROR('0. Database'!L62/'0. Database'!L61,"")</f>
        <v>0.248222692931077</v>
      </c>
      <c r="L44" s="59" t="n">
        <f aca="false">IFERROR('0. Database'!M62/'0. Database'!M61,"")</f>
        <v>0.346557846124195</v>
      </c>
      <c r="M44" s="59" t="n">
        <f aca="false">IFERROR('0. Database'!N62/'0. Database'!N61,"")</f>
        <v>0.421762917933131</v>
      </c>
      <c r="N44" s="59" t="n">
        <f aca="false">IFERROR('0. Database'!O62/'0. Database'!O61,"")</f>
        <v>0.414380613539671</v>
      </c>
      <c r="O44" s="59" t="n">
        <f aca="false">IFERROR('0. Database'!P62/'0. Database'!P61,"")</f>
        <v>0.354617777658644</v>
      </c>
      <c r="P44" s="59" t="n">
        <f aca="false">IFERROR('0. Database'!Q62/'0. Database'!Q61,"")</f>
        <v>0.340842115995234</v>
      </c>
      <c r="Q44" s="59" t="n">
        <f aca="false">IFERROR('0. Database'!R62/'0. Database'!R61,"")</f>
        <v>0.331377350179063</v>
      </c>
      <c r="R44" s="59" t="n">
        <f aca="false">IFERROR('0. Database'!S62/'0. Database'!S61,"")</f>
        <v>0.32287495749683</v>
      </c>
      <c r="S44" s="59" t="n">
        <f aca="false">IFERROR('0. Database'!T62/'0. Database'!T61,"")</f>
        <v>0.313057785144646</v>
      </c>
      <c r="T44" s="59" t="n">
        <f aca="false">IFERROR('0. Database'!U62/'0. Database'!U61,"")</f>
        <v>0.313563982706012</v>
      </c>
    </row>
    <row r="45" customFormat="false" ht="15" hidden="false" customHeight="false" outlineLevel="0" collapsed="false">
      <c r="A45" s="58" t="s">
        <v>64</v>
      </c>
      <c r="B45" s="59" t="n">
        <f aca="false">IFERROR('0. Database'!C80/'0. Database'!C79,"")</f>
        <v>0.39416959707943</v>
      </c>
      <c r="C45" s="59" t="n">
        <f aca="false">IFERROR('0. Database'!D80/'0. Database'!D79,"")</f>
        <v>0.385276073619632</v>
      </c>
      <c r="D45" s="59" t="n">
        <f aca="false">IFERROR('0. Database'!E80/'0. Database'!E79,"")</f>
        <v>0.36258594097195</v>
      </c>
      <c r="E45" s="59" t="n">
        <f aca="false">IFERROR('0. Database'!F80/'0. Database'!F79,"")</f>
        <v>0.34012467280136</v>
      </c>
      <c r="F45" s="59" t="n">
        <f aca="false">IFERROR('0. Database'!G80/'0. Database'!G79,"")</f>
        <v>0.335365049209742</v>
      </c>
      <c r="G45" s="59" t="n">
        <f aca="false">IFERROR('0. Database'!H80/'0. Database'!H79,"")</f>
        <v>0.336385077730719</v>
      </c>
      <c r="H45" s="59" t="n">
        <f aca="false">IFERROR('0. Database'!I80/'0. Database'!I79,"")</f>
        <v>0.342441492726123</v>
      </c>
      <c r="I45" s="59" t="n">
        <f aca="false">IFERROR('0. Database'!J80/'0. Database'!J79,"")</f>
        <v>0.355667596550047</v>
      </c>
      <c r="J45" s="59" t="n">
        <f aca="false">IFERROR('0. Database'!K80/'0. Database'!K79,"")</f>
        <v>0.375830636594946</v>
      </c>
      <c r="K45" s="59" t="n">
        <f aca="false">IFERROR('0. Database'!L80/'0. Database'!L79,"")</f>
        <v>0.257463301995712</v>
      </c>
      <c r="L45" s="59" t="n">
        <f aca="false">IFERROR('0. Database'!M80/'0. Database'!M79,"")</f>
        <v>0.262115904313883</v>
      </c>
      <c r="M45" s="59" t="n">
        <f aca="false">IFERROR('0. Database'!N80/'0. Database'!N79,"")</f>
        <v>0.289911444270312</v>
      </c>
      <c r="N45" s="59" t="n">
        <f aca="false">IFERROR('0. Database'!O80/'0. Database'!O79,"")</f>
        <v>0.307984459659576</v>
      </c>
      <c r="O45" s="59" t="n">
        <f aca="false">IFERROR('0. Database'!P80/'0. Database'!P79,"")</f>
        <v>0.289246248332696</v>
      </c>
      <c r="P45" s="59" t="n">
        <f aca="false">IFERROR('0. Database'!Q80/'0. Database'!Q79,"")</f>
        <v>0.23797825280389</v>
      </c>
      <c r="Q45" s="59" t="n">
        <f aca="false">IFERROR('0. Database'!R80/'0. Database'!R79,"")</f>
        <v>0.294398702858343</v>
      </c>
      <c r="R45" s="59" t="n">
        <f aca="false">IFERROR('0. Database'!S80/'0. Database'!S79,"")</f>
        <v>0.32118626604911</v>
      </c>
      <c r="S45" s="59" t="n">
        <f aca="false">IFERROR('0. Database'!T80/'0. Database'!T79,"")</f>
        <v>0.312321387266789</v>
      </c>
      <c r="T45" s="59" t="str">
        <f aca="false">IFERROR('0. Database'!U80/'0. Database'!U79,"")</f>
        <v/>
      </c>
    </row>
    <row r="48" customFormat="false" ht="15" hidden="false" customHeight="false" outlineLevel="0" collapsed="false">
      <c r="A48" s="55" t="s">
        <v>151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</row>
    <row r="49" customFormat="false" ht="15" hidden="false" customHeight="false" outlineLevel="0" collapsed="false">
      <c r="A49" s="56"/>
      <c r="B49" s="57" t="s">
        <v>211</v>
      </c>
      <c r="C49" s="57" t="s">
        <v>212</v>
      </c>
      <c r="D49" s="57" t="s">
        <v>213</v>
      </c>
      <c r="E49" s="57" t="s">
        <v>214</v>
      </c>
      <c r="F49" s="57" t="s">
        <v>215</v>
      </c>
      <c r="G49" s="57" t="s">
        <v>216</v>
      </c>
      <c r="H49" s="57" t="s">
        <v>217</v>
      </c>
      <c r="I49" s="57" t="s">
        <v>218</v>
      </c>
      <c r="J49" s="57" t="s">
        <v>219</v>
      </c>
      <c r="K49" s="57" t="s">
        <v>220</v>
      </c>
      <c r="L49" s="57" t="s">
        <v>221</v>
      </c>
      <c r="M49" s="57" t="s">
        <v>222</v>
      </c>
      <c r="N49" s="57" t="s">
        <v>223</v>
      </c>
      <c r="O49" s="57" t="s">
        <v>224</v>
      </c>
      <c r="P49" s="57" t="s">
        <v>225</v>
      </c>
      <c r="Q49" s="57" t="s">
        <v>226</v>
      </c>
      <c r="R49" s="57" t="s">
        <v>227</v>
      </c>
      <c r="S49" s="57" t="s">
        <v>228</v>
      </c>
      <c r="T49" s="57" t="s">
        <v>229</v>
      </c>
    </row>
    <row r="50" customFormat="false" ht="15" hidden="false" customHeight="false" outlineLevel="0" collapsed="false">
      <c r="A50" s="58" t="s">
        <v>24</v>
      </c>
      <c r="B50" s="59" t="n">
        <f aca="false">IFERROR('0. Database'!C12/'0. Database'!C6,"")</f>
        <v>0.0428907243509872</v>
      </c>
      <c r="C50" s="59" t="n">
        <f aca="false">IFERROR('0. Database'!D12/'0. Database'!D6,"")</f>
        <v>0.0488869439038154</v>
      </c>
      <c r="D50" s="59" t="n">
        <f aca="false">IFERROR('0. Database'!E12/'0. Database'!E6,"")</f>
        <v>0.0577046377431075</v>
      </c>
      <c r="E50" s="59" t="n">
        <f aca="false">IFERROR('0. Database'!F12/'0. Database'!F6,"")</f>
        <v>0.0688935771214252</v>
      </c>
      <c r="F50" s="59" t="n">
        <f aca="false">IFERROR('0. Database'!G12/'0. Database'!G6,"")</f>
        <v>0.0807695892141533</v>
      </c>
      <c r="G50" s="59" t="n">
        <f aca="false">IFERROR('0. Database'!H12/'0. Database'!H6,"")</f>
        <v>0.0897064153678869</v>
      </c>
      <c r="H50" s="59" t="n">
        <f aca="false">IFERROR('0. Database'!I12/'0. Database'!I6,"")</f>
        <v>0.0921783492129081</v>
      </c>
      <c r="I50" s="59" t="n">
        <f aca="false">IFERROR('0. Database'!J12/'0. Database'!J6,"")</f>
        <v>0.0860049645142118</v>
      </c>
      <c r="J50" s="59" t="n">
        <f aca="false">IFERROR('0. Database'!K12/'0. Database'!K6,"")</f>
        <v>0.0648469849126648</v>
      </c>
      <c r="K50" s="59" t="n">
        <f aca="false">IFERROR('0. Database'!L12/'0. Database'!L6,"")</f>
        <v>0.0736369597014173</v>
      </c>
      <c r="L50" s="59" t="n">
        <f aca="false">IFERROR('0. Database'!M12/'0. Database'!M6,"")</f>
        <v>0.0637047872967935</v>
      </c>
      <c r="M50" s="59" t="n">
        <f aca="false">IFERROR('0. Database'!N12/'0. Database'!N6,"")</f>
        <v>0.0815920235637764</v>
      </c>
      <c r="N50" s="59" t="n">
        <f aca="false">IFERROR('0. Database'!O12/'0. Database'!O6,"")</f>
        <v>0.0993880535559626</v>
      </c>
      <c r="O50" s="59" t="n">
        <f aca="false">IFERROR('0. Database'!P12/'0. Database'!P6,"")</f>
        <v>0.120322156151902</v>
      </c>
      <c r="P50" s="59" t="n">
        <f aca="false">IFERROR('0. Database'!Q12/'0. Database'!Q6,"")</f>
        <v>0.161305506475254</v>
      </c>
      <c r="Q50" s="59" t="n">
        <f aca="false">IFERROR('0. Database'!R12/'0. Database'!R6,"")</f>
        <v>0.204963806289356</v>
      </c>
      <c r="R50" s="59" t="n">
        <f aca="false">IFERROR('0. Database'!S12/'0. Database'!S6,"")</f>
        <v>0.23749503625081</v>
      </c>
      <c r="S50" s="59" t="n">
        <f aca="false">IFERROR('0. Database'!T12/'0. Database'!T6,"")</f>
        <v>0.256198827702057</v>
      </c>
      <c r="T50" s="59" t="str">
        <f aca="false">IFERROR('0. Database'!U12/'0. Database'!U6,"")</f>
        <v/>
      </c>
    </row>
    <row r="51" customFormat="false" ht="15" hidden="false" customHeight="false" outlineLevel="0" collapsed="false">
      <c r="A51" s="58" t="s">
        <v>43</v>
      </c>
      <c r="B51" s="59" t="n">
        <f aca="false">IFERROR('0. Database'!C31/'0. Database'!C25,"")</f>
        <v>0.0436919936067049</v>
      </c>
      <c r="C51" s="59" t="n">
        <f aca="false">IFERROR('0. Database'!D31/'0. Database'!D25,"")</f>
        <v>0.0533215565174787</v>
      </c>
      <c r="D51" s="59" t="n">
        <f aca="false">IFERROR('0. Database'!E31/'0. Database'!E25,"")</f>
        <v>0.0586973139974544</v>
      </c>
      <c r="E51" s="59" t="n">
        <f aca="false">IFERROR('0. Database'!F31/'0. Database'!F25,"")</f>
        <v>0.0596895291461684</v>
      </c>
      <c r="F51" s="59" t="n">
        <f aca="false">IFERROR('0. Database'!G31/'0. Database'!G25,"")</f>
        <v>0.0645317261309075</v>
      </c>
      <c r="G51" s="59" t="n">
        <f aca="false">IFERROR('0. Database'!H31/'0. Database'!H25,"")</f>
        <v>0.0658731487803098</v>
      </c>
      <c r="H51" s="59" t="n">
        <f aca="false">IFERROR('0. Database'!I31/'0. Database'!I25,"")</f>
        <v>0.0776730523809184</v>
      </c>
      <c r="I51" s="59" t="n">
        <f aca="false">IFERROR('0. Database'!J31/'0. Database'!J25,"")</f>
        <v>0.0654062538853662</v>
      </c>
      <c r="J51" s="59" t="n">
        <f aca="false">IFERROR('0. Database'!K31/'0. Database'!K25,"")</f>
        <v>0.0729978587635317</v>
      </c>
      <c r="K51" s="59" t="n">
        <f aca="false">IFERROR('0. Database'!L31/'0. Database'!L25,"")</f>
        <v>0.080666092069193</v>
      </c>
      <c r="L51" s="59" t="n">
        <f aca="false">IFERROR('0. Database'!M31/'0. Database'!M25,"")</f>
        <v>0.0846629609332185</v>
      </c>
      <c r="M51" s="59" t="n">
        <f aca="false">IFERROR('0. Database'!N31/'0. Database'!N25,"")</f>
        <v>0.0827561018811554</v>
      </c>
      <c r="N51" s="59" t="n">
        <f aca="false">IFERROR('0. Database'!O31/'0. Database'!O25,"")</f>
        <v>0.0917196243953334</v>
      </c>
      <c r="O51" s="59" t="n">
        <f aca="false">IFERROR('0. Database'!P31/'0. Database'!P25,"")</f>
        <v>0.0980858724771357</v>
      </c>
      <c r="P51" s="59" t="n">
        <f aca="false">IFERROR('0. Database'!Q31/'0. Database'!Q25,"")</f>
        <v>0.0958313626162915</v>
      </c>
      <c r="Q51" s="59" t="n">
        <f aca="false">IFERROR('0. Database'!R31/'0. Database'!R25,"")</f>
        <v>0.113353361221732</v>
      </c>
      <c r="R51" s="59" t="n">
        <f aca="false">IFERROR('0. Database'!S31/'0. Database'!S25,"")</f>
        <v>0.127377899470562</v>
      </c>
      <c r="S51" s="59" t="n">
        <f aca="false">IFERROR('0. Database'!T31/'0. Database'!T25,"")</f>
        <v>0.13440275735048</v>
      </c>
      <c r="T51" s="59" t="n">
        <f aca="false">IFERROR('0. Database'!U31/'0. Database'!U25,"")</f>
        <v>0.134314444254999</v>
      </c>
    </row>
    <row r="52" customFormat="false" ht="15" hidden="false" customHeight="false" outlineLevel="0" collapsed="false">
      <c r="A52" s="58" t="s">
        <v>49</v>
      </c>
      <c r="B52" s="59" t="n">
        <f aca="false">IFERROR('0. Database'!C48/'0. Database'!C42,"")</f>
        <v>0.0500909598515823</v>
      </c>
      <c r="C52" s="59" t="n">
        <f aca="false">IFERROR('0. Database'!D48/'0. Database'!D42,"")</f>
        <v>0.0533779791215285</v>
      </c>
      <c r="D52" s="59" t="n">
        <f aca="false">IFERROR('0. Database'!E48/'0. Database'!E42,"")</f>
        <v>0.0551014148741816</v>
      </c>
      <c r="E52" s="59" t="n">
        <f aca="false">IFERROR('0. Database'!F48/'0. Database'!F42,"")</f>
        <v>0.0583458879829848</v>
      </c>
      <c r="F52" s="59" t="n">
        <f aca="false">IFERROR('0. Database'!G48/'0. Database'!G42,"")</f>
        <v>0.055053899237743</v>
      </c>
      <c r="G52" s="59" t="n">
        <f aca="false">IFERROR('0. Database'!H48/'0. Database'!H42,"")</f>
        <v>0.059670075062674</v>
      </c>
      <c r="H52" s="59" t="n">
        <f aca="false">IFERROR('0. Database'!I48/'0. Database'!I42,"")</f>
        <v>0.0670715508133723</v>
      </c>
      <c r="I52" s="59" t="n">
        <f aca="false">IFERROR('0. Database'!J48/'0. Database'!J42,"")</f>
        <v>0.0707018687646211</v>
      </c>
      <c r="J52" s="59" t="n">
        <f aca="false">IFERROR('0. Database'!K48/'0. Database'!K42,"")</f>
        <v>0.0448499245061851</v>
      </c>
      <c r="K52" s="59" t="n">
        <f aca="false">IFERROR('0. Database'!L48/'0. Database'!L42,"")</f>
        <v>0.0540489895204288</v>
      </c>
      <c r="L52" s="59" t="n">
        <f aca="false">IFERROR('0. Database'!M48/'0. Database'!M42,"")</f>
        <v>0.0433515293076638</v>
      </c>
      <c r="M52" s="59" t="n">
        <f aca="false">IFERROR('0. Database'!N48/'0. Database'!N42,"")</f>
        <v>0.0437434646218194</v>
      </c>
      <c r="N52" s="59" t="n">
        <f aca="false">IFERROR('0. Database'!O48/'0. Database'!O42,"")</f>
        <v>0.0524680018667646</v>
      </c>
      <c r="O52" s="59" t="n">
        <f aca="false">IFERROR('0. Database'!P48/'0. Database'!P42,"")</f>
        <v>0.0878078621508295</v>
      </c>
      <c r="P52" s="59" t="n">
        <f aca="false">IFERROR('0. Database'!Q48/'0. Database'!Q42,"")</f>
        <v>0.117551138236728</v>
      </c>
      <c r="Q52" s="59" t="n">
        <f aca="false">IFERROR('0. Database'!R48/'0. Database'!R42,"")</f>
        <v>0.140202635391807</v>
      </c>
      <c r="R52" s="59" t="n">
        <f aca="false">IFERROR('0. Database'!S48/'0. Database'!S42,"")</f>
        <v>0.156603153029435</v>
      </c>
      <c r="S52" s="59" t="n">
        <f aca="false">IFERROR('0. Database'!T48/'0. Database'!T42,"")</f>
        <v>0.169388668170233</v>
      </c>
      <c r="T52" s="59" t="n">
        <f aca="false">IFERROR('0. Database'!U48/'0. Database'!U42,"")</f>
        <v>0.176229835314764</v>
      </c>
    </row>
    <row r="53" customFormat="false" ht="15" hidden="false" customHeight="false" outlineLevel="0" collapsed="false">
      <c r="A53" s="58" t="s">
        <v>57</v>
      </c>
      <c r="B53" s="59" t="n">
        <f aca="false">IFERROR('0. Database'!C67/'0. Database'!C61,"")</f>
        <v>0.12842987804878</v>
      </c>
      <c r="C53" s="59" t="n">
        <f aca="false">IFERROR('0. Database'!D67/'0. Database'!D61,"")</f>
        <v>0.0997112145034494</v>
      </c>
      <c r="D53" s="59" t="n">
        <f aca="false">IFERROR('0. Database'!E67/'0. Database'!E61,"")</f>
        <v>0.108495565348357</v>
      </c>
      <c r="E53" s="59" t="n">
        <f aca="false">IFERROR('0. Database'!F67/'0. Database'!F61,"")</f>
        <v>0.0847384036471525</v>
      </c>
      <c r="F53" s="59" t="n">
        <f aca="false">IFERROR('0. Database'!G67/'0. Database'!G61,"")</f>
        <v>0.0744102526258825</v>
      </c>
      <c r="G53" s="59" t="n">
        <f aca="false">IFERROR('0. Database'!H67/'0. Database'!H61,"")</f>
        <v>0.0772771231061284</v>
      </c>
      <c r="H53" s="59" t="n">
        <f aca="false">IFERROR('0. Database'!I67/'0. Database'!I61,"")</f>
        <v>0.0812062831964807</v>
      </c>
      <c r="I53" s="59" t="n">
        <f aca="false">IFERROR('0. Database'!J67/'0. Database'!J61,"")</f>
        <v>0.0798222553102389</v>
      </c>
      <c r="J53" s="59" t="n">
        <f aca="false">IFERROR('0. Database'!K67/'0. Database'!K61,"")</f>
        <v>0.0675491185374251</v>
      </c>
      <c r="K53" s="59" t="n">
        <f aca="false">IFERROR('0. Database'!L67/'0. Database'!L61,"")</f>
        <v>0.0744882470478265</v>
      </c>
      <c r="L53" s="59" t="n">
        <f aca="false">IFERROR('0. Database'!M67/'0. Database'!M61,"")</f>
        <v>0.0828533517171852</v>
      </c>
      <c r="M53" s="59" t="n">
        <f aca="false">IFERROR('0. Database'!N67/'0. Database'!N61,"")</f>
        <v>0.0942127659574468</v>
      </c>
      <c r="N53" s="59" t="n">
        <f aca="false">IFERROR('0. Database'!O67/'0. Database'!O61,"")</f>
        <v>0.0926330455551962</v>
      </c>
      <c r="O53" s="59" t="n">
        <f aca="false">IFERROR('0. Database'!P67/'0. Database'!P61,"")</f>
        <v>0.140906872115809</v>
      </c>
      <c r="P53" s="59" t="n">
        <f aca="false">IFERROR('0. Database'!Q67/'0. Database'!Q61,"")</f>
        <v>0.184728970793823</v>
      </c>
      <c r="Q53" s="59" t="n">
        <f aca="false">IFERROR('0. Database'!R67/'0. Database'!R61,"")</f>
        <v>0.22007811861814</v>
      </c>
      <c r="R53" s="59" t="n">
        <f aca="false">IFERROR('0. Database'!S67/'0. Database'!S61,"")</f>
        <v>0.245661608068325</v>
      </c>
      <c r="S53" s="59" t="n">
        <f aca="false">IFERROR('0. Database'!T67/'0. Database'!T61,"")</f>
        <v>0.265100899909223</v>
      </c>
      <c r="T53" s="59" t="n">
        <f aca="false">IFERROR('0. Database'!U67/'0. Database'!U61,"")</f>
        <v>0.270348132124682</v>
      </c>
    </row>
    <row r="54" customFormat="false" ht="15" hidden="false" customHeight="false" outlineLevel="0" collapsed="false">
      <c r="A54" s="58" t="s">
        <v>64</v>
      </c>
      <c r="B54" s="59" t="n">
        <f aca="false">IFERROR('0. Database'!C87/'0. Database'!C79,"")</f>
        <v>0.0146565377285051</v>
      </c>
      <c r="C54" s="59" t="n">
        <f aca="false">IFERROR('0. Database'!D87/'0. Database'!D79,"")</f>
        <v>0.0158726014880564</v>
      </c>
      <c r="D54" s="59" t="n">
        <f aca="false">IFERROR('0. Database'!E87/'0. Database'!E79,"")</f>
        <v>0.0186129192481635</v>
      </c>
      <c r="E54" s="59" t="n">
        <f aca="false">IFERROR('0. Database'!F87/'0. Database'!F79,"")</f>
        <v>0.0235043311655018</v>
      </c>
      <c r="F54" s="59" t="n">
        <f aca="false">IFERROR('0. Database'!G87/'0. Database'!G79,"")</f>
        <v>0.0263859204728357</v>
      </c>
      <c r="G54" s="59" t="n">
        <f aca="false">IFERROR('0. Database'!H87/'0. Database'!H79,"")</f>
        <v>0.0295452816312039</v>
      </c>
      <c r="H54" s="59" t="n">
        <f aca="false">IFERROR('0. Database'!I87/'0. Database'!I79,"")</f>
        <v>0.0311195445920304</v>
      </c>
      <c r="I54" s="59" t="n">
        <f aca="false">IFERROR('0. Database'!J87/'0. Database'!J79,"")</f>
        <v>0.035369692626622</v>
      </c>
      <c r="J54" s="59" t="n">
        <f aca="false">IFERROR('0. Database'!K87/'0. Database'!K79,"")</f>
        <v>0.0379684296336553</v>
      </c>
      <c r="K54" s="59" t="n">
        <f aca="false">IFERROR('0. Database'!L87/'0. Database'!L79,"")</f>
        <v>0.0464645036639099</v>
      </c>
      <c r="L54" s="59" t="n">
        <f aca="false">IFERROR('0. Database'!M87/'0. Database'!M79,"")</f>
        <v>0.0505655089580623</v>
      </c>
      <c r="M54" s="59" t="n">
        <f aca="false">IFERROR('0. Database'!N87/'0. Database'!N79,"")</f>
        <v>0.0590812107022148</v>
      </c>
      <c r="N54" s="59" t="n">
        <f aca="false">IFERROR('0. Database'!O87/'0. Database'!O79,"")</f>
        <v>0.0673705116813882</v>
      </c>
      <c r="O54" s="59" t="n">
        <f aca="false">IFERROR('0. Database'!P87/'0. Database'!P79,"")</f>
        <v>0.111485990926891</v>
      </c>
      <c r="P54" s="59" t="n">
        <f aca="false">IFERROR('0. Database'!Q87/'0. Database'!Q79,"")</f>
        <v>0.189999957198541</v>
      </c>
      <c r="Q54" s="59" t="n">
        <f aca="false">IFERROR('0. Database'!R87/'0. Database'!R79,"")</f>
        <v>0.219999992028382</v>
      </c>
      <c r="R54" s="59" t="n">
        <f aca="false">IFERROR('0. Database'!S87/'0. Database'!S79,"")</f>
        <v>0.239999997578589</v>
      </c>
      <c r="S54" s="59" t="n">
        <f aca="false">IFERROR('0. Database'!T87/'0. Database'!T79,"")</f>
        <v>0.259999995688612</v>
      </c>
      <c r="T54" s="59" t="str">
        <f aca="false">IFERROR('0. Database'!U87/'0. Database'!U79,"")</f>
        <v/>
      </c>
    </row>
  </sheetData>
  <mergeCells count="7">
    <mergeCell ref="A1:T1"/>
    <mergeCell ref="A3:T3"/>
    <mergeCell ref="A12:T12"/>
    <mergeCell ref="A21:T21"/>
    <mergeCell ref="A30:T30"/>
    <mergeCell ref="A39:T39"/>
    <mergeCell ref="A48:T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2026-05-06T02:40:19Z</dcterms:created>
  <dc:creator>openpyxl</dc:creator>
  <dc:description/>
  <dc:language>en-US</dc:language>
  <cp:lastModifiedBy/>
  <dcterms:modified xsi:type="dcterms:W3CDTF">2026-05-06T02:40:29Z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
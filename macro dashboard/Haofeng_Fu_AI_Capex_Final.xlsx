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060" windowHeight="12520" tabRatio="500" activeTab="2"/>
  </bookViews>
  <sheets>
    <sheet name="0. Database" sheetId="1" r:id="rId1"/>
    <sheet name="1. Revenue &amp; Growth" sheetId="3" r:id="rId2"/>
    <sheet name="2. Capex &amp; D&amp;A" sheetId="4" r:id="rId3"/>
    <sheet name="3. FCF &amp; Cash" sheetId="5" r:id="rId4"/>
    <sheet name="4. EPS &amp; Margins" sheetId="6" r:id="rId5"/>
    <sheet name="5. Depreciation Sensitivity" sheetId="7" r:id="rId6"/>
    <sheet name="IT_DA_Share_Derivation" sheetId="12" r:id="rId7"/>
    <sheet name="6. SP500 AI EPS Split" sheetId="8" r:id="rId8"/>
    <sheet name="7. SPX Data" sheetId="11" r:id="rId9"/>
  </sheets>
  <calcPr calcId="144525"/>
</workbook>
</file>

<file path=xl/sharedStrings.xml><?xml version="1.0" encoding="utf-8"?>
<sst xmlns="http://schemas.openxmlformats.org/spreadsheetml/2006/main" count="312">
  <si>
    <t>Centralized Database (USD mm except EPS/shares) — Blue = input</t>
  </si>
  <si>
    <t>Ticker</t>
  </si>
  <si>
    <t>Metric</t>
  </si>
  <si>
    <t>2013A</t>
  </si>
  <si>
    <t>2014A</t>
  </si>
  <si>
    <t>2015A</t>
  </si>
  <si>
    <t>2016A</t>
  </si>
  <si>
    <t>2017A</t>
  </si>
  <si>
    <t>2018A</t>
  </si>
  <si>
    <t>2019A</t>
  </si>
  <si>
    <t>2020A</t>
  </si>
  <si>
    <t>2021A</t>
  </si>
  <si>
    <t>2022A</t>
  </si>
  <si>
    <t>2023A</t>
  </si>
  <si>
    <t>2024A</t>
  </si>
  <si>
    <t>2025E</t>
  </si>
  <si>
    <t>2026E</t>
  </si>
  <si>
    <t>2027E</t>
  </si>
  <si>
    <t>2028E</t>
  </si>
  <si>
    <t>2029E</t>
  </si>
  <si>
    <t>2030E</t>
  </si>
  <si>
    <t>MSFT (FY(Jun))</t>
  </si>
  <si>
    <t>MSFT</t>
  </si>
  <si>
    <t>Revenue</t>
  </si>
  <si>
    <t>Operating Income</t>
  </si>
  <si>
    <t>Net Income</t>
  </si>
  <si>
    <t>EPS</t>
  </si>
  <si>
    <t>Diluted Shares (mm)</t>
  </si>
  <si>
    <t>SBC</t>
  </si>
  <si>
    <t>D&amp;A</t>
  </si>
  <si>
    <t>Capex</t>
  </si>
  <si>
    <t>CFO</t>
  </si>
  <si>
    <t>FCF</t>
  </si>
  <si>
    <t>Buybacks</t>
  </si>
  <si>
    <t>Intell Cloud</t>
  </si>
  <si>
    <t>PP&amp;ENet</t>
  </si>
  <si>
    <t>Useful Life(yr)</t>
  </si>
  <si>
    <t>AMZN (CY)</t>
  </si>
  <si>
    <t>AMZN</t>
  </si>
  <si>
    <t>AWS Rev</t>
  </si>
  <si>
    <t>AWS OI</t>
  </si>
  <si>
    <t>GOOGL (CY)</t>
  </si>
  <si>
    <t>GOOGL</t>
  </si>
  <si>
    <t>Cloud Rev</t>
  </si>
  <si>
    <t>Search Rev</t>
  </si>
  <si>
    <t>YouTube Rev</t>
  </si>
  <si>
    <t>GCloud OI</t>
  </si>
  <si>
    <t>META (CY)</t>
  </si>
  <si>
    <t>META</t>
  </si>
  <si>
    <t>Ad Rev(META)</t>
  </si>
  <si>
    <t>FOA Rev</t>
  </si>
  <si>
    <t>FOA OI</t>
  </si>
  <si>
    <t>RL Rev</t>
  </si>
  <si>
    <t>RL OI</t>
  </si>
  <si>
    <t>ORCL (FY(May))</t>
  </si>
  <si>
    <t>ORCL</t>
  </si>
  <si>
    <t>CloudTotalRevenue(ORCL)</t>
  </si>
  <si>
    <t>IaaS Rev</t>
  </si>
  <si>
    <t>SaaS Rev</t>
  </si>
  <si>
    <t>RPO</t>
  </si>
  <si>
    <t>Operating Income(Adjusted)</t>
  </si>
  <si>
    <t>EPS(Adjusted)</t>
  </si>
  <si>
    <t>NVDA (FY Jan)</t>
  </si>
  <si>
    <t>NVDA</t>
  </si>
  <si>
    <t>Free Cash Flow</t>
  </si>
  <si>
    <t>MU (FY Aug)</t>
  </si>
  <si>
    <t>MU</t>
  </si>
  <si>
    <t>Revenue&amp;AI/CloudSegment Detail (2013-2030E)</t>
  </si>
  <si>
    <t>A. Total Revenue ($mm)</t>
  </si>
  <si>
    <t>Company</t>
  </si>
  <si>
    <t>C. Cloud / AI Proxy Revenue ($mm)</t>
  </si>
  <si>
    <t>MSFT — Azure</t>
  </si>
  <si>
    <t>AMZN — AWS</t>
  </si>
  <si>
    <t>GOOGL — Cloud</t>
  </si>
  <si>
    <t>META — Advertising</t>
  </si>
  <si>
    <t>ORCL — CloudTotalRevenue</t>
  </si>
  <si>
    <t>B. Revenue YoY %</t>
  </si>
  <si>
    <t>Capex&amp;D&amp;A (2013-2030E)</t>
  </si>
  <si>
    <t>A. Capex ($mm)</t>
  </si>
  <si>
    <t>D. D&amp;A ($mm)</t>
  </si>
  <si>
    <t>(Revenue — for ratios)</t>
  </si>
  <si>
    <t>B. CapexYoY %</t>
  </si>
  <si>
    <t>C. Capex / Revenue %</t>
  </si>
  <si>
    <t>E. D&amp;A / Revenue %</t>
  </si>
  <si>
    <t>F. D&amp;AYoY %</t>
  </si>
  <si>
    <t>Free Cash Flow&amp;Cash Quality (2013-2030E)</t>
  </si>
  <si>
    <t>A. CFO ($mm)</t>
  </si>
  <si>
    <t>B. FCF ($mm)</t>
  </si>
  <si>
    <t>E. Buybacks ($mm)</t>
  </si>
  <si>
    <t>(Revenue)</t>
  </si>
  <si>
    <t>(NI)</t>
  </si>
  <si>
    <t>(Capex)</t>
  </si>
  <si>
    <t>C. Free Cash FlowMargin %</t>
  </si>
  <si>
    <t>D. FCF / Net Income %</t>
  </si>
  <si>
    <t>F. Capex/CFO %</t>
  </si>
  <si>
    <t>EPS、Operating IncomeMargin&amp;Profitability (2013-2030E)</t>
  </si>
  <si>
    <t>A. Operating Income ($mm)</t>
  </si>
  <si>
    <t>C. Net Income ($mm)</t>
  </si>
  <si>
    <t>E. EPS ($)</t>
  </si>
  <si>
    <t>G. Diluted Shares (mm)</t>
  </si>
  <si>
    <t>H. SBC ($mm)</t>
  </si>
  <si>
    <t>B. Operating IncomeMargin %</t>
  </si>
  <si>
    <t>D. Net Margin %</t>
  </si>
  <si>
    <t>F. EPSYoY %</t>
  </si>
  <si>
    <t>Depreciation Sensitivity: IT Useful Life Compression Impact on EPS</t>
  </si>
  <si>
    <t>A. IT Equipment Share Estimation: MSFT Hard Data + Other Companies from 10-K Filings</t>
  </si>
  <si>
    <t>IT Equipment
% of PP&amp;E</t>
  </si>
  <si>
    <t>Estimation Basis
(Source)</t>
  </si>
  <si>
    <t>IT Useful
Life (yr)</t>
  </si>
  <si>
    <t>Buildings
% of PP&amp;E</t>
  </si>
  <si>
    <t>Building
Life (yr)</t>
  </si>
  <si>
    <t>Other
% of PP&amp;E</t>
  </si>
  <si>
    <t>Other
Life (yr)</t>
  </si>
  <si>
    <t>10-K/Model: IT equip = 59% of capex (FY2026E). Useful life: 6yr SL.</t>
  </si>
  <si>
    <t>10-K Note 3 (CY2025): Servers &amp; networking $172B / $462B in-service (ex-CIP) = 37%. Heavy equip (logistics) = 14%. Life: 5-6yr.</t>
  </si>
  <si>
    <t>10-K: Tech infra $203.7B / $266.5B in-service = 76%. 60% of tech infra = servers. → 76%×60% = 46% of total PP&amp;E.</t>
  </si>
  <si>
    <t>10-K Note 6 (Q1'26): Servers $106B / $195B in-service (ex-CIP) = 54%. Life: 5-5.5yr. Server D&amp;A = 74% of total.</t>
  </si>
  <si>
    <t>10-K Note 5: Computer/network $30.3B/$42.9B ex-CIP = 71%. 10-Q: PP&amp;E net doubled to $83.6B in 9mo. Capex 9mo=$39.2B.</t>
  </si>
  <si>
    <t>B. 2026E Base Data (from Database) + Gross PP&amp;E (from 10-K filings)</t>
  </si>
  <si>
    <t>2026E Capex
($mm)</t>
  </si>
  <si>
    <t>2026E D&amp;A
($mm)</t>
  </si>
  <si>
    <t>2026E NI
($mm)</t>
  </si>
  <si>
    <t>2026E EPS
($)</t>
  </si>
  <si>
    <t>Shares
(mm)</t>
  </si>
  <si>
    <t>Tax Rate
(Editable)</t>
  </si>
  <si>
    <t>2026E Gross PP&amp;E
($mm, Bloomberg)</t>
  </si>
  <si>
    <t>Current IT
Life (yr)</t>
  </si>
  <si>
    <t>IT Share
of D&amp;A</t>
  </si>
  <si>
    <t>2027E NI
($mm)</t>
  </si>
  <si>
    <t>2027E EPS
($)</t>
  </si>
  <si>
    <t>C. Core Sensitivity: Compress IT Equipment Useful Life (Buildings/Other Unchanged)</t>
  </si>
  <si>
    <t>New D&amp;A = Gross PP&amp;E × IT% / new_life + Gross PP&amp;E × Bldg% / bldg_life + Gross PP&amp;E × Other% / other_life. Delta vs current D&amp;A flows through to NI and EPS.</t>
  </si>
  <si>
    <t>IT Equipment Life = 6 Years (Buildings/Other Unchanged)</t>
  </si>
  <si>
    <t>IT New D&amp;A
($mm)</t>
  </si>
  <si>
    <t>Building D&amp;A
($mm)</t>
  </si>
  <si>
    <t>New Total D&amp;A
($mm)</t>
  </si>
  <si>
    <t>Current D&amp;A
($mm)</t>
  </si>
  <si>
    <t>Delta D&amp;A
($mm)</t>
  </si>
  <si>
    <t>Delta After-Tax
($mm)</t>
  </si>
  <si>
    <t>Adj NI
($mm)</t>
  </si>
  <si>
    <t>Adj EPS
($)</t>
  </si>
  <si>
    <t>EPS Change %</t>
  </si>
  <si>
    <t>IT Equipment Life = 5 Years (Buildings/Other Unchanged)</t>
  </si>
  <si>
    <t>IT Equipment Life = 4 Years (Buildings/Other Unchanged)</t>
  </si>
  <si>
    <t>IT Equipment Life = 3 Years (Buildings/Other Unchanged)</t>
  </si>
  <si>
    <t>IT Equipment Life = 2 Years (Buildings/Other Unchanged)</t>
  </si>
  <si>
    <t>IT D&amp;A Share Derivation</t>
  </si>
  <si>
    <t>Step-by-step calculation of 'IT Share of D&amp;A' used in Sheet 5 sensitivity analysis</t>
  </si>
  <si>
    <t>METHODOLOGY:</t>
  </si>
  <si>
    <t>Step 1: Get Gross PP&amp;E by category from 10-K Note (Property and Equipment)</t>
  </si>
  <si>
    <t>Step 2: Apply mid-point useful life to each category to get 'implied annual D&amp;A'</t>
  </si>
  <si>
    <t>Step 3: Sum to get total implied D&amp;A</t>
  </si>
  <si>
    <t>Step 4: Compare to reported total D&amp;A; compute scale factor (typically 0.7-0.9, accounts for fully-depreciated assets)</t>
  </si>
  <si>
    <t>Step 5: Apply scale factor uniformly to all categories to match reported D&amp;A</t>
  </si>
  <si>
    <t>Step 6: IT Share of D&amp;A = (Scaled IT D&amp;A) / (Reported Total D&amp;A)</t>
  </si>
  <si>
    <t>AMZN — FY2025 (Dec 2025)</t>
  </si>
  <si>
    <t>Source: 10-K Note 3, Property and Equipment</t>
  </si>
  <si>
    <t>Category</t>
  </si>
  <si>
    <t>Gross PP&amp;E ($M)</t>
  </si>
  <si>
    <t>Useful Life (yr)</t>
  </si>
  <si>
    <t>Implied D&amp;A ($M)</t>
  </si>
  <si>
    <t>Step 2 Notes</t>
  </si>
  <si>
    <t>Land and Buildings (ex-land 15%)</t>
  </si>
  <si>
    <t>Buildings 40yr per 10-K; assume 15% is land (non-depreciable)</t>
  </si>
  <si>
    <t>Servers and Networking [IT]</t>
  </si>
  <si>
    <t>5-6 yr per 10-K; mid-point 5.5yr</t>
  </si>
  <si>
    <t>Heavy Equipment (logistics)</t>
  </si>
  <si>
    <t>10-13 yr per 10-K; mid-point 11.5yr</t>
  </si>
  <si>
    <t>Other Equipment</t>
  </si>
  <si>
    <t>3-10 yr range; mid-point 6.5yr</t>
  </si>
  <si>
    <t>Other Assets</t>
  </si>
  <si>
    <t>Misc internal-use, ~7yr</t>
  </si>
  <si>
    <t>Total Implied D&amp;A</t>
  </si>
  <si>
    <t>Reported D&amp;A (Bloomberg)</t>
  </si>
  <si>
    <t>Scale Factor = Reported / Implied</t>
  </si>
  <si>
    <t>Scaled IT D&amp;A = Implied IT × Scale</t>
  </si>
  <si>
    <t>→ IT Share of D&amp;A = Scaled IT / Reported</t>
  </si>
  <si>
    <t>GOOGL — FY2024 (Dec 2024)</t>
  </si>
  <si>
    <t>Source: 10-K — Information Technology Assets disclosure (not as granular as AMZN)</t>
  </si>
  <si>
    <t>Information Technology Assets</t>
  </si>
  <si>
    <t>Disclosed as single line; includes servers + DC buildings + cabling</t>
  </si>
  <si>
    <t xml:space="preserve">   ↳ Estimated IT servers/networking [IT]</t>
  </si>
  <si>
    <t>60% of IT assets are servers (est from earnings commentary); 6yr life</t>
  </si>
  <si>
    <t xml:space="preserve">   ↳ Estimated DC buildings + other</t>
  </si>
  <si>
    <t>40% is DC buildings + cabling; 25yr life (this is an assumptions)</t>
  </si>
  <si>
    <t>Land and Buildings (office)</t>
  </si>
  <si>
    <t>28yr blended for office buildings</t>
  </si>
  <si>
    <t>Other</t>
  </si>
  <si>
    <t>Office equipment etc</t>
  </si>
  <si>
    <t>Note: IT share = 55% reflects GOOGL's lower IT concentration (lots of non-IT PP&amp;E)</t>
  </si>
  <si>
    <t>META — FY2024 (Dec 2024) updated to Q1 2026</t>
  </si>
  <si>
    <t>Source: 10-K Note 6, Property and Equipment</t>
  </si>
  <si>
    <t>Per Q1 2026 10-Q; 5-5.5yr (extended from 5yr)</t>
  </si>
  <si>
    <t>Buildings</t>
  </si>
  <si>
    <t>30yr per policy</t>
  </si>
  <si>
    <t>Network equipment</t>
  </si>
  <si>
    <t>Long-haul fiber etc; ~15yr</t>
  </si>
  <si>
    <t>Office equipment</t>
  </si>
  <si>
    <t>5yr</t>
  </si>
  <si>
    <t>Land</t>
  </si>
  <si>
    <t>Non-depreciable</t>
  </si>
  <si>
    <t>Leasehold improvements</t>
  </si>
  <si>
    <t>12yr</t>
  </si>
  <si>
    <t>Note: META disclosed servers depreciation = $13.36B / total $18B = 74% directly in 10-K</t>
  </si>
  <si>
    <t>ORCL — FY2024 (May 2024)</t>
  </si>
  <si>
    <t>Source: 10-K Note 5, Property and Equipment</t>
  </si>
  <si>
    <t>Computer/Network Equipment + Software [IT]</t>
  </si>
  <si>
    <t>5yr per ORCL policy</t>
  </si>
  <si>
    <t>Buildings &amp; Improvements</t>
  </si>
  <si>
    <t>25yr per policy (mix of new + old)</t>
  </si>
  <si>
    <t>Furniture and Equipment</t>
  </si>
  <si>
    <t>3-7yr range; use 5yr</t>
  </si>
  <si>
    <t>Note: IT concentration HIGHEST among 5 — ORCL doesn't own DC, uses partners; PP&amp;E is almost all IT</t>
  </si>
  <si>
    <t xml:space="preserve">A. MSFT Actual PP&amp;E/Capex Breakdown </t>
  </si>
  <si>
    <t>Metric (MSFT FY)</t>
  </si>
  <si>
    <t>FY2020A</t>
  </si>
  <si>
    <t>FY2021A</t>
  </si>
  <si>
    <t>FY2022A</t>
  </si>
  <si>
    <t>FY2023A</t>
  </si>
  <si>
    <t>FY2024A</t>
  </si>
  <si>
    <t>FY2025A</t>
  </si>
  <si>
    <t>FY2026E</t>
  </si>
  <si>
    <t>IT Equipment Capex ($mm)</t>
  </si>
  <si>
    <t>Buildings Capex ($mm)</t>
  </si>
  <si>
    <t>Finance Leases Capex ($mm)</t>
  </si>
  <si>
    <t>Capex ($mm)</t>
  </si>
  <si>
    <t>Total Capex ($mm)</t>
  </si>
  <si>
    <t>IT Equipment % of Capex</t>
  </si>
  <si>
    <t>IT Equipment D&amp;A ($mm)</t>
  </si>
  <si>
    <t>Buildings D&amp;A ($mm)</t>
  </si>
  <si>
    <t>Total D&amp;A ($mm)</t>
  </si>
  <si>
    <t>IT D&amp;A % of TotalD&amp;A</t>
  </si>
  <si>
    <t>IT EquipmentUseful Life</t>
  </si>
  <si>
    <t>BuildingsUseful Life</t>
  </si>
  <si>
    <t>Key: IT equipment share jumped from ~35% pre-AI to 59% in AI era. IT contributes 66-73% of total D&amp;A (because IT 6yr vs buildings 15yr).</t>
  </si>
  <si>
    <t>S&amp;P 500: AI vs Non-AI EPSBreakdown + Dual P/E Valuation</t>
  </si>
  <si>
    <t>S&amp;P 500 EPS — Bloomberg Consensus ($)</t>
  </si>
  <si>
    <t>EPS: FactSet actual (2018-2024), sell-side/consensus estimates (2025+). Capex/Buybacks: sell-side data (May 7 2026 report). Yellow = editable.</t>
  </si>
  <si>
    <t>2025A</t>
  </si>
  <si>
    <t>2028E (ext)</t>
  </si>
  <si>
    <t>2029E (ext)</t>
  </si>
  <si>
    <t>2030E (ext)</t>
  </si>
  <si>
    <t>S&amp;P 500 Operating EPS ($)</t>
  </si>
  <si>
    <t xml:space="preserve">S&amp;P 500Capex ($B) </t>
  </si>
  <si>
    <t xml:space="preserve">AICapex ($B) </t>
  </si>
  <si>
    <t>S&amp;P 500 Buybacks ($B)</t>
  </si>
  <si>
    <t>B. AI Semi EPS - Bottom-Up (Bloomberg MODL Data)</t>
  </si>
  <si>
    <t>Adj NI of NVDA/AVGO/MU/AMD/QCOM/AMAT/ANET/MRVL/INTC/SMCI from Bloomberg. Divided by S&amp;P 500 divisor (~8.8B). FY labels as-is.</t>
  </si>
  <si>
    <t>NVDA Adj NI ($M)</t>
  </si>
  <si>
    <t>AVGO Adj NI ($M)</t>
  </si>
  <si>
    <t>MU Adj NI ($M)</t>
  </si>
  <si>
    <t>AMD Adj NI ($M)</t>
  </si>
  <si>
    <t>QCOM Adj NI ($M)</t>
  </si>
  <si>
    <t>AMAT Adj NI ($M)</t>
  </si>
  <si>
    <t>ANET Adj NI ($M)</t>
  </si>
  <si>
    <t>MRVL Adj NI ($M)</t>
  </si>
  <si>
    <t>INTC Adj NI ($M)</t>
  </si>
  <si>
    <t>SMCI Adj NI ($M)</t>
  </si>
  <si>
    <t>Total AI Semi Adj NI ($M)</t>
  </si>
  <si>
    <t>AI EPS ($) = Total NI / 8.8B</t>
  </si>
  <si>
    <t>Non-AI EPS ($) = Total S&amp;P EPS - AI EPS</t>
  </si>
  <si>
    <t>AI % of Total EPS</t>
  </si>
  <si>
    <t>AI EPS YoY %</t>
  </si>
  <si>
    <t>C. Dual P/E Valuation - Separate Multiples for AI vs Non-AI EPS</t>
  </si>
  <si>
    <t>Non-AI P/E (editable) - hist avg ~18x</t>
  </si>
  <si>
    <t>AI P/E (editable) - NVDA ~30-40x fwd</t>
  </si>
  <si>
    <t>Valuation Component</t>
  </si>
  <si>
    <t>Non-AI Component = Non-AI EPS x P/E</t>
  </si>
  <si>
    <t>AI Component = AI EPS x P/E</t>
  </si>
  <si>
    <t>Implied S&amp;P 500 Level</t>
  </si>
  <si>
    <t>Blended P/E (implied)</t>
  </si>
  <si>
    <t>D. Scenario Grid: 2026E Implied S&amp;P 500 at Different P/E Combinations</t>
  </si>
  <si>
    <t>Each cell = J27*Non-AI-PE + J26*AI-PE. Rows: AI P/E. Columns: Non-AI P/E.</t>
  </si>
  <si>
    <t>AI P/E vs Non-AI P/E</t>
  </si>
  <si>
    <t>22x</t>
  </si>
  <si>
    <t>20x</t>
  </si>
  <si>
    <t>18x</t>
  </si>
  <si>
    <t>16x</t>
  </si>
  <si>
    <t>14x</t>
  </si>
  <si>
    <t>40x</t>
  </si>
  <si>
    <t>35x</t>
  </si>
  <si>
    <t>30x</t>
  </si>
  <si>
    <t>25x</t>
  </si>
  <si>
    <t>15x</t>
  </si>
  <si>
    <t>10x</t>
  </si>
  <si>
    <t>E. Stress Test: 3 Scenarios with Different AI EPS Trajectories</t>
  </si>
  <si>
    <t>Base Case  |  AI PE = 40x  |  Non-AI PE = 21x</t>
  </si>
  <si>
    <t>Current trajectory. AI capex sustains. NVDA margins hold.</t>
  </si>
  <si>
    <t>AI PE:</t>
  </si>
  <si>
    <t>Non-AI PE:</t>
  </si>
  <si>
    <t>AI EPS ($)</t>
  </si>
  <si>
    <t>Non-AI EPS ($)</t>
  </si>
  <si>
    <t>Implied S&amp;P 500</t>
  </si>
  <si>
    <t>Slowdown  |  AI PE = 25x  |  Non-AI PE = 18x</t>
  </si>
  <si>
    <t>2027+ capex growth decelerates. Customer crack. AI margins compress.</t>
  </si>
  <si>
    <t>vs Base Delta</t>
  </si>
  <si>
    <t>AI Bust  |  AI PE = 15x  |  Non-AI PE = 17x</t>
  </si>
  <si>
    <t>Capex cut 30% from 2027. AI margins collapse. Re-rating.</t>
  </si>
  <si>
    <t>S&amp;P 500 Fundamentals — Bloomberg Terminal (FA1.xlsx)</t>
  </si>
  <si>
    <t>2009A</t>
  </si>
  <si>
    <t>2010A</t>
  </si>
  <si>
    <t>2011A</t>
  </si>
  <si>
    <t>2012A</t>
  </si>
  <si>
    <t>Sales/Share ($)</t>
  </si>
  <si>
    <t>Gross Margin (%)</t>
  </si>
  <si>
    <t>EBIT/Share ($)</t>
  </si>
  <si>
    <t>Op Margin (%)</t>
  </si>
  <si>
    <t>EBITDA/Share ($)</t>
  </si>
  <si>
    <t>EPS Aggregate ($)</t>
  </si>
  <si>
    <t>EPS YoY %</t>
  </si>
  <si>
    <t>Sales YoY %</t>
  </si>
  <si>
    <t>Key: 2026E OpMargin jumps from 15.0% to 19.5% = 450bp expansion. Most aggressive in 15 years. If only 200bp (to 17%), EPS~$295 vs $337 = 12% miss. Consensus is a bet on AI margin expansion.</t>
  </si>
</sst>
</file>

<file path=xl/styles.xml><?xml version="1.0" encoding="utf-8"?>
<styleSheet xmlns="http://schemas.openxmlformats.org/spreadsheetml/2006/main">
  <numFmts count="18">
    <numFmt numFmtId="176" formatCode="\$#,##0.00;\(\$#,##0.00\);\-"/>
    <numFmt numFmtId="177" formatCode="\$#,##0.00;&quot;($&quot;#,##0.00\);\-"/>
    <numFmt numFmtId="178" formatCode="0%;\(0%\);\-"/>
    <numFmt numFmtId="43" formatCode="_ * #,##0.00_ ;_ * \-#,##0.00_ ;_ * &quot;-&quot;??_ ;_ @_ "/>
    <numFmt numFmtId="179" formatCode="0.000"/>
    <numFmt numFmtId="180" formatCode="0.0&quot;x&quot;"/>
    <numFmt numFmtId="181" formatCode="\$0.00;\(\$0.00\);\-"/>
    <numFmt numFmtId="182" formatCode="0&quot;x&quot;"/>
    <numFmt numFmtId="183" formatCode="#,##0;\(#,##0\);\-"/>
    <numFmt numFmtId="184" formatCode="\$#,##0"/>
    <numFmt numFmtId="185" formatCode="0.0%"/>
    <numFmt numFmtId="186" formatCode="0.0%;\(0.0%\);\-"/>
    <numFmt numFmtId="41" formatCode="_ * #,##0_ ;_ * \-#,##0_ ;_ * &quot;-&quot;_ ;_ @_ "/>
    <numFmt numFmtId="42" formatCode="_ &quot;￥&quot;* #,##0_ ;_ &quot;￥&quot;* \-#,##0_ ;_ &quot;￥&quot;* &quot;-&quot;_ ;_ @_ "/>
    <numFmt numFmtId="187" formatCode="\+0.0%;\-0.0%;\-"/>
    <numFmt numFmtId="188" formatCode="0.0"/>
    <numFmt numFmtId="44" formatCode="_ &quot;￥&quot;* #,##0.00_ ;_ &quot;￥&quot;* \-#,##0.00_ ;_ &quot;￥&quot;* &quot;-&quot;??_ ;_ @_ "/>
    <numFmt numFmtId="189" formatCode="\$0.00"/>
  </numFmts>
  <fonts count="71">
    <font>
      <sz val="11"/>
      <color theme="1"/>
      <name val="Calibri"/>
      <charset val="1"/>
    </font>
    <font>
      <b/>
      <sz val="12"/>
      <color rgb="FFFFFFFF"/>
      <name val="Arial"/>
      <charset val="134"/>
    </font>
    <font>
      <b/>
      <sz val="8"/>
      <color rgb="FFFFFFFF"/>
      <name val="Arial"/>
      <charset val="134"/>
    </font>
    <font>
      <b/>
      <sz val="7"/>
      <color rgb="FFFFFFFF"/>
      <name val="Arial"/>
      <charset val="134"/>
    </font>
    <font>
      <b/>
      <sz val="9"/>
      <color rgb="FF000000"/>
      <name val="Arial"/>
      <charset val="134"/>
    </font>
    <font>
      <sz val="9"/>
      <color rgb="FF0000FF"/>
      <name val="Arial"/>
      <charset val="134"/>
    </font>
    <font>
      <sz val="9"/>
      <name val="Arial"/>
      <charset val="134"/>
    </font>
    <font>
      <b/>
      <sz val="10"/>
      <color rgb="FF000000"/>
      <name val="Arial"/>
      <charset val="134"/>
    </font>
    <font>
      <b/>
      <sz val="12"/>
      <color rgb="FFFFFFFF"/>
      <name val="Noto Sans CJK SC"/>
      <charset val="1"/>
    </font>
    <font>
      <b/>
      <sz val="10"/>
      <color rgb="FFFFFFFF"/>
      <name val="Arial"/>
      <charset val="1"/>
    </font>
    <font>
      <i/>
      <sz val="8"/>
      <color rgb="FF595959"/>
      <name val="Arial"/>
      <charset val="1"/>
    </font>
    <font>
      <b/>
      <sz val="8"/>
      <color rgb="FFFFFFFF"/>
      <name val="Noto Sans CJK SC"/>
      <charset val="1"/>
    </font>
    <font>
      <b/>
      <sz val="8"/>
      <color rgb="FFFFFFFF"/>
      <name val="Arial"/>
      <charset val="1"/>
    </font>
    <font>
      <b/>
      <sz val="9"/>
      <color rgb="FF000000"/>
      <name val="Noto Sans CJK SC"/>
      <charset val="1"/>
    </font>
    <font>
      <sz val="9"/>
      <color rgb="FF0000FF"/>
      <name val="Arial"/>
      <charset val="1"/>
    </font>
    <font>
      <b/>
      <sz val="9"/>
      <color rgb="FF000000"/>
      <name val="Arial"/>
      <charset val="1"/>
    </font>
    <font>
      <b/>
      <sz val="11"/>
      <color rgb="FFFFFFFF"/>
      <name val="Arial"/>
      <charset val="134"/>
    </font>
    <font>
      <i/>
      <sz val="8"/>
      <color rgb="FF595959"/>
      <name val="Arial"/>
      <charset val="134"/>
    </font>
    <font>
      <b/>
      <sz val="9"/>
      <name val="Arial"/>
      <charset val="134"/>
    </font>
    <font>
      <b/>
      <sz val="9"/>
      <color rgb="FF008000"/>
      <name val="Arial"/>
      <charset val="134"/>
    </font>
    <font>
      <sz val="9"/>
      <color rgb="FF008000"/>
      <name val="Arial"/>
      <charset val="134"/>
    </font>
    <font>
      <b/>
      <sz val="10"/>
      <name val="Arial"/>
      <charset val="134"/>
    </font>
    <font>
      <b/>
      <sz val="9"/>
      <color rgb="FFC00000"/>
      <name val="Arial"/>
      <charset val="134"/>
    </font>
    <font>
      <b/>
      <sz val="8"/>
      <name val="Arial"/>
      <charset val="134"/>
    </font>
    <font>
      <b/>
      <sz val="14"/>
      <color rgb="FF1F3864"/>
      <name val="Arial"/>
      <charset val="134"/>
    </font>
    <font>
      <i/>
      <sz val="9"/>
      <color rgb="FF888888"/>
      <name val="Arial"/>
      <charset val="134"/>
    </font>
    <font>
      <b/>
      <sz val="12"/>
      <color rgb="FF1F3864"/>
      <name val="Arial"/>
      <charset val="134"/>
    </font>
    <font>
      <sz val="9"/>
      <color rgb="FF000000"/>
      <name val="Arial"/>
      <charset val="134"/>
    </font>
    <font>
      <b/>
      <sz val="10"/>
      <color rgb="FF1F3864"/>
      <name val="Arial"/>
      <charset val="134"/>
    </font>
    <font>
      <i/>
      <sz val="9"/>
      <color rgb="FFC00000"/>
      <name val="Arial"/>
      <charset val="134"/>
    </font>
    <font>
      <sz val="9"/>
      <color rgb="FF000000"/>
      <name val="Arial"/>
      <charset val="1"/>
    </font>
    <font>
      <sz val="9"/>
      <color rgb="FF000000"/>
      <name val="Noto Sans CJK SC"/>
      <charset val="1"/>
    </font>
    <font>
      <b/>
      <sz val="10"/>
      <color rgb="FFC00000"/>
      <name val="Noto Sans CJK SC"/>
      <charset val="1"/>
    </font>
    <font>
      <b/>
      <sz val="7"/>
      <color rgb="FFFFFFFF"/>
      <name val="Noto Sans CJK SC"/>
      <charset val="1"/>
    </font>
    <font>
      <b/>
      <sz val="7"/>
      <color rgb="FFFFFFFF"/>
      <name val="Arial"/>
      <charset val="1"/>
    </font>
    <font>
      <b/>
      <sz val="10"/>
      <color rgb="FF000000"/>
      <name val="Arial"/>
      <charset val="1"/>
    </font>
    <font>
      <sz val="7"/>
      <color rgb="FF595959"/>
      <name val="Noto Sans CJK SC"/>
      <charset val="1"/>
    </font>
    <font>
      <i/>
      <sz val="8"/>
      <color rgb="FF595959"/>
      <name val="Noto Sans CJK SC"/>
      <charset val="1"/>
    </font>
    <font>
      <sz val="9"/>
      <color rgb="FF008000"/>
      <name val="Arial"/>
      <charset val="1"/>
    </font>
    <font>
      <b/>
      <sz val="13"/>
      <color rgb="FFFFFFFF"/>
      <name val="Arial"/>
      <charset val="1"/>
    </font>
    <font>
      <b/>
      <sz val="8"/>
      <color rgb="FF000000"/>
      <name val="Arial"/>
      <charset val="1"/>
    </font>
    <font>
      <b/>
      <sz val="13"/>
      <color rgb="FFFFFFFF"/>
      <name val="Noto Sans CJK SC"/>
      <charset val="1"/>
    </font>
    <font>
      <b/>
      <sz val="9"/>
      <color rgb="FFFFFFFF"/>
      <name val="Arial"/>
      <charset val="1"/>
    </font>
    <font>
      <b/>
      <sz val="9"/>
      <color rgb="FFFFFFFF"/>
      <name val="Noto Sans CJK SC"/>
      <charset val="1"/>
    </font>
    <font>
      <b/>
      <sz val="8"/>
      <color rgb="FF1F3864"/>
      <name val="Arial"/>
      <charset val="1"/>
    </font>
    <font>
      <sz val="8"/>
      <color rgb="FF000000"/>
      <name val="Noto Sans CJK SC"/>
      <charset val="1"/>
    </font>
    <font>
      <sz val="8"/>
      <color rgb="FF000000"/>
      <name val="Arial"/>
      <charset val="1"/>
    </font>
    <font>
      <b/>
      <sz val="8"/>
      <color rgb="FF1F3864"/>
      <name val="Arial"/>
      <charset val="134"/>
    </font>
    <font>
      <sz val="8"/>
      <name val="Arial"/>
      <charset val="134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2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0"/>
      <color indexed="8"/>
      <name val="Arial"/>
      <charset val="134"/>
    </font>
    <font>
      <b/>
      <sz val="11"/>
      <color theme="1"/>
      <name val="Calibri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rgb="FF404040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0078D4"/>
        <bgColor rgb="FF0668E1"/>
      </patternFill>
    </fill>
    <fill>
      <patternFill patternType="solid">
        <fgColor rgb="FFFF9900"/>
        <bgColor rgb="FFD4762C"/>
      </patternFill>
    </fill>
    <fill>
      <patternFill patternType="solid">
        <fgColor rgb="FF4285F4"/>
        <bgColor rgb="FF0078D4"/>
      </patternFill>
    </fill>
    <fill>
      <patternFill patternType="solid">
        <fgColor rgb="FF0668E1"/>
        <bgColor rgb="FF0078D4"/>
      </patternFill>
    </fill>
    <fill>
      <patternFill patternType="solid">
        <fgColor rgb="FFF80000"/>
        <bgColor rgb="FFC00000"/>
      </patternFill>
    </fill>
    <fill>
      <patternFill patternType="solid">
        <fgColor rgb="FF76B900"/>
        <bgColor indexed="64"/>
      </patternFill>
    </fill>
    <fill>
      <patternFill patternType="solid">
        <fgColor rgb="FF0033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" fontId="69" fillId="51" borderId="13">
      <alignment horizontal="right"/>
    </xf>
    <xf numFmtId="0" fontId="50" fillId="32" borderId="0">
      <alignment vertical="center"/>
    </xf>
    <xf numFmtId="0" fontId="52" fillId="43" borderId="0">
      <alignment vertical="center"/>
    </xf>
    <xf numFmtId="0" fontId="50" fillId="49" borderId="0">
      <alignment vertical="center"/>
    </xf>
    <xf numFmtId="0" fontId="66" fillId="42" borderId="11">
      <alignment vertical="center"/>
    </xf>
    <xf numFmtId="0" fontId="52" fillId="50" borderId="0">
      <alignment vertical="center"/>
    </xf>
    <xf numFmtId="0" fontId="52" fillId="52" borderId="0">
      <alignment vertical="center"/>
    </xf>
    <xf numFmtId="44" fontId="53" fillId="0" borderId="0"/>
    <xf numFmtId="0" fontId="50" fillId="45" borderId="0">
      <alignment vertical="center"/>
    </xf>
    <xf numFmtId="9" fontId="53" fillId="0" borderId="0"/>
    <xf numFmtId="0" fontId="50" fillId="41" borderId="0">
      <alignment vertical="center"/>
    </xf>
    <xf numFmtId="0" fontId="50" fillId="28" borderId="0">
      <alignment vertical="center"/>
    </xf>
    <xf numFmtId="0" fontId="50" fillId="38" borderId="0">
      <alignment vertical="center"/>
    </xf>
    <xf numFmtId="0" fontId="50" fillId="47" borderId="0">
      <alignment vertical="center"/>
    </xf>
    <xf numFmtId="0" fontId="50" fillId="46" borderId="0">
      <alignment vertical="center"/>
    </xf>
    <xf numFmtId="0" fontId="65" fillId="4" borderId="11">
      <alignment vertical="center"/>
    </xf>
    <xf numFmtId="0" fontId="50" fillId="44" borderId="0">
      <alignment vertical="center"/>
    </xf>
    <xf numFmtId="0" fontId="57" fillId="29" borderId="0">
      <alignment vertical="center"/>
    </xf>
    <xf numFmtId="0" fontId="52" fillId="39" borderId="0">
      <alignment vertical="center"/>
    </xf>
    <xf numFmtId="0" fontId="63" fillId="37" borderId="0">
      <alignment vertical="center"/>
    </xf>
    <xf numFmtId="0" fontId="52" fillId="36" borderId="0">
      <alignment vertical="center"/>
    </xf>
    <xf numFmtId="0" fontId="70" fillId="0" borderId="14">
      <alignment vertical="center"/>
    </xf>
    <xf numFmtId="0" fontId="62" fillId="35" borderId="0">
      <alignment vertical="center"/>
    </xf>
    <xf numFmtId="0" fontId="68" fillId="48" borderId="12">
      <alignment vertical="center"/>
    </xf>
    <xf numFmtId="0" fontId="61" fillId="4" borderId="9">
      <alignment vertical="center"/>
    </xf>
    <xf numFmtId="0" fontId="60" fillId="0" borderId="8">
      <alignment vertical="center"/>
    </xf>
    <xf numFmtId="0" fontId="67" fillId="0" borderId="0">
      <alignment vertical="center"/>
    </xf>
    <xf numFmtId="0" fontId="52" fillId="34" borderId="0">
      <alignment vertical="center"/>
    </xf>
    <xf numFmtId="0" fontId="51" fillId="0" borderId="0">
      <alignment vertical="center"/>
    </xf>
    <xf numFmtId="42" fontId="53" fillId="0" borderId="0"/>
    <xf numFmtId="0" fontId="52" fillId="31" borderId="0">
      <alignment vertical="center"/>
    </xf>
    <xf numFmtId="43" fontId="53" fillId="0" borderId="0"/>
    <xf numFmtId="0" fontId="58" fillId="0" borderId="0">
      <alignment vertical="center"/>
    </xf>
    <xf numFmtId="0" fontId="56" fillId="0" borderId="0">
      <alignment vertical="center"/>
    </xf>
    <xf numFmtId="0" fontId="52" fillId="30" borderId="0">
      <alignment vertical="center"/>
    </xf>
    <xf numFmtId="0" fontId="55" fillId="0" borderId="0">
      <alignment vertical="center"/>
    </xf>
    <xf numFmtId="0" fontId="50" fillId="33" borderId="0">
      <alignment vertical="center"/>
    </xf>
    <xf numFmtId="0" fontId="64" fillId="40" borderId="10">
      <alignment vertical="center"/>
    </xf>
    <xf numFmtId="0" fontId="52" fillId="27" borderId="0">
      <alignment vertical="center"/>
    </xf>
    <xf numFmtId="0" fontId="50" fillId="26" borderId="0">
      <alignment vertical="center"/>
    </xf>
    <xf numFmtId="0" fontId="52" fillId="24" borderId="0">
      <alignment vertical="center"/>
    </xf>
    <xf numFmtId="0" fontId="59" fillId="0" borderId="0">
      <alignment vertical="center"/>
    </xf>
    <xf numFmtId="41" fontId="53" fillId="0" borderId="0"/>
    <xf numFmtId="0" fontId="54" fillId="0" borderId="8">
      <alignment vertical="center"/>
    </xf>
    <xf numFmtId="0" fontId="52" fillId="23" borderId="0">
      <alignment vertical="center"/>
    </xf>
    <xf numFmtId="0" fontId="51" fillId="0" borderId="7">
      <alignment vertical="center"/>
    </xf>
    <xf numFmtId="0" fontId="50" fillId="22" borderId="0">
      <alignment vertical="center"/>
    </xf>
    <xf numFmtId="0" fontId="52" fillId="25" borderId="0">
      <alignment vertical="center"/>
    </xf>
    <xf numFmtId="0" fontId="49" fillId="0" borderId="6">
      <alignment vertical="center"/>
    </xf>
  </cellStyleXfs>
  <cellXfs count="1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3" fontId="5" fillId="0" borderId="1" xfId="0" applyNumberFormat="1" applyFont="1" applyBorder="1" applyAlignment="1">
      <alignment horizontal="right" vertical="center"/>
    </xf>
    <xf numFmtId="188" fontId="5" fillId="0" borderId="1" xfId="0" applyNumberFormat="1" applyFont="1" applyBorder="1" applyAlignment="1">
      <alignment horizontal="right" vertical="center"/>
    </xf>
    <xf numFmtId="185" fontId="6" fillId="0" borderId="1" xfId="0" applyNumberFormat="1" applyFont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184" fontId="5" fillId="0" borderId="1" xfId="0" applyNumberFormat="1" applyFont="1" applyBorder="1" applyAlignment="1">
      <alignment horizontal="right" vertical="center"/>
    </xf>
    <xf numFmtId="3" fontId="14" fillId="0" borderId="1" xfId="0" applyNumberFormat="1" applyFont="1" applyBorder="1" applyAlignment="1">
      <alignment horizontal="right" vertical="center"/>
    </xf>
    <xf numFmtId="0" fontId="15" fillId="8" borderId="1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183" fontId="5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/>
    <xf numFmtId="0" fontId="18" fillId="5" borderId="1" xfId="0" applyFont="1" applyFill="1" applyBorder="1"/>
    <xf numFmtId="183" fontId="19" fillId="5" borderId="1" xfId="0" applyNumberFormat="1" applyFont="1" applyFill="1" applyBorder="1" applyAlignment="1">
      <alignment horizontal="right" vertical="center"/>
    </xf>
    <xf numFmtId="189" fontId="19" fillId="5" borderId="1" xfId="0" applyNumberFormat="1" applyFont="1" applyFill="1" applyBorder="1" applyAlignment="1">
      <alignment horizontal="right" vertical="center"/>
    </xf>
    <xf numFmtId="0" fontId="18" fillId="4" borderId="1" xfId="0" applyFont="1" applyFill="1" applyBorder="1"/>
    <xf numFmtId="189" fontId="20" fillId="0" borderId="1" xfId="0" applyNumberFormat="1" applyFont="1" applyBorder="1" applyAlignment="1">
      <alignment horizontal="right" vertical="center"/>
    </xf>
    <xf numFmtId="185" fontId="20" fillId="0" borderId="1" xfId="0" applyNumberFormat="1" applyFont="1" applyBorder="1" applyAlignment="1">
      <alignment horizontal="right" vertical="center"/>
    </xf>
    <xf numFmtId="186" fontId="20" fillId="0" borderId="1" xfId="0" applyNumberFormat="1" applyFont="1" applyBorder="1" applyAlignment="1">
      <alignment horizontal="right" vertical="center"/>
    </xf>
    <xf numFmtId="0" fontId="16" fillId="2" borderId="0" xfId="0" applyFont="1" applyFill="1" applyAlignment="1">
      <alignment horizontal="left" vertical="center" wrapText="1"/>
    </xf>
    <xf numFmtId="182" fontId="5" fillId="5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right" vertical="center"/>
    </xf>
    <xf numFmtId="0" fontId="21" fillId="5" borderId="1" xfId="0" applyFont="1" applyFill="1" applyBorder="1"/>
    <xf numFmtId="3" fontId="19" fillId="5" borderId="1" xfId="0" applyNumberFormat="1" applyFont="1" applyFill="1" applyBorder="1" applyAlignment="1">
      <alignment horizontal="right" vertical="center"/>
    </xf>
    <xf numFmtId="180" fontId="20" fillId="0" borderId="1" xfId="0" applyNumberFormat="1" applyFont="1" applyBorder="1" applyAlignment="1">
      <alignment horizontal="right" vertical="center"/>
    </xf>
    <xf numFmtId="0" fontId="17" fillId="0" borderId="0" xfId="0" applyFont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right" vertical="center"/>
    </xf>
    <xf numFmtId="0" fontId="21" fillId="9" borderId="0" xfId="0" applyFont="1" applyFill="1" applyAlignment="1">
      <alignment horizontal="left" vertical="center" wrapText="1"/>
    </xf>
    <xf numFmtId="0" fontId="21" fillId="9" borderId="1" xfId="0" applyFont="1" applyFill="1" applyBorder="1"/>
    <xf numFmtId="3" fontId="21" fillId="9" borderId="1" xfId="0" applyNumberFormat="1" applyFont="1" applyFill="1" applyBorder="1" applyAlignment="1">
      <alignment horizontal="right" vertical="center"/>
    </xf>
    <xf numFmtId="0" fontId="21" fillId="5" borderId="0" xfId="0" applyFont="1" applyFill="1" applyAlignment="1">
      <alignment horizontal="left" vertical="center" wrapText="1"/>
    </xf>
    <xf numFmtId="3" fontId="21" fillId="5" borderId="1" xfId="0" applyNumberFormat="1" applyFont="1" applyFill="1" applyBorder="1" applyAlignment="1">
      <alignment horizontal="right" vertical="center"/>
    </xf>
    <xf numFmtId="0" fontId="22" fillId="4" borderId="1" xfId="0" applyFont="1" applyFill="1" applyBorder="1"/>
    <xf numFmtId="187" fontId="22" fillId="0" borderId="1" xfId="0" applyNumberFormat="1" applyFont="1" applyBorder="1" applyAlignment="1">
      <alignment horizontal="right" vertical="center"/>
    </xf>
    <xf numFmtId="0" fontId="23" fillId="0" borderId="0" xfId="0" applyFont="1"/>
    <xf numFmtId="1" fontId="5" fillId="5" borderId="1" xfId="0" applyNumberFormat="1" applyFont="1" applyFill="1" applyBorder="1"/>
    <xf numFmtId="0" fontId="21" fillId="10" borderId="0" xfId="0" applyFont="1" applyFill="1" applyAlignment="1">
      <alignment horizontal="left" vertical="center" wrapText="1"/>
    </xf>
    <xf numFmtId="0" fontId="21" fillId="10" borderId="1" xfId="0" applyFont="1" applyFill="1" applyBorder="1"/>
    <xf numFmtId="3" fontId="21" fillId="10" borderId="1" xfId="0" applyNumberFormat="1" applyFont="1" applyFill="1" applyBorder="1" applyAlignment="1">
      <alignment horizontal="right" vertical="center"/>
    </xf>
    <xf numFmtId="0" fontId="24" fillId="0" borderId="0" xfId="0" applyFont="1"/>
    <xf numFmtId="0" fontId="25" fillId="0" borderId="0" xfId="0" applyFont="1"/>
    <xf numFmtId="0" fontId="21" fillId="0" borderId="0" xfId="0" applyFont="1"/>
    <xf numFmtId="0" fontId="26" fillId="0" borderId="0" xfId="0" applyFont="1"/>
    <xf numFmtId="0" fontId="16" fillId="3" borderId="4" xfId="0" applyFont="1" applyFill="1" applyBorder="1" applyAlignment="1">
      <alignment horizontal="center" vertical="center" wrapText="1"/>
    </xf>
    <xf numFmtId="0" fontId="27" fillId="0" borderId="0" xfId="0" applyFont="1"/>
    <xf numFmtId="3" fontId="5" fillId="0" borderId="0" xfId="0" applyNumberFormat="1" applyFont="1"/>
    <xf numFmtId="0" fontId="5" fillId="0" borderId="0" xfId="0" applyFont="1" applyAlignment="1">
      <alignment horizontal="center"/>
    </xf>
    <xf numFmtId="3" fontId="27" fillId="0" borderId="0" xfId="0" applyNumberFormat="1" applyFont="1"/>
    <xf numFmtId="0" fontId="18" fillId="0" borderId="0" xfId="0" applyFont="1"/>
    <xf numFmtId="3" fontId="18" fillId="0" borderId="0" xfId="0" applyNumberFormat="1" applyFont="1"/>
    <xf numFmtId="179" fontId="27" fillId="0" borderId="0" xfId="0" applyNumberFormat="1" applyFont="1"/>
    <xf numFmtId="0" fontId="28" fillId="0" borderId="0" xfId="0" applyFont="1"/>
    <xf numFmtId="9" fontId="28" fillId="11" borderId="0" xfId="0" applyNumberFormat="1" applyFont="1" applyFill="1"/>
    <xf numFmtId="0" fontId="29" fillId="0" borderId="0" xfId="0" applyFont="1"/>
    <xf numFmtId="9" fontId="14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30" fillId="8" borderId="1" xfId="0" applyFont="1" applyFill="1" applyBorder="1" applyAlignment="1">
      <alignment horizontal="left" vertical="center" wrapText="1"/>
    </xf>
    <xf numFmtId="1" fontId="14" fillId="0" borderId="1" xfId="0" applyNumberFormat="1" applyFont="1" applyBorder="1" applyAlignment="1">
      <alignment horizontal="right" vertical="center"/>
    </xf>
    <xf numFmtId="0" fontId="31" fillId="8" borderId="1" xfId="0" applyFont="1" applyFill="1" applyBorder="1" applyAlignment="1">
      <alignment horizontal="left" vertical="center" wrapText="1"/>
    </xf>
    <xf numFmtId="0" fontId="32" fillId="12" borderId="0" xfId="0" applyFont="1" applyFill="1" applyAlignment="1">
      <alignment horizontal="left" vertical="top" wrapText="1"/>
    </xf>
    <xf numFmtId="0" fontId="33" fillId="7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top" wrapText="1"/>
    </xf>
    <xf numFmtId="188" fontId="5" fillId="5" borderId="1" xfId="0" applyNumberFormat="1" applyFont="1" applyFill="1" applyBorder="1" applyAlignment="1">
      <alignment horizontal="center" vertical="center" wrapText="1"/>
    </xf>
    <xf numFmtId="3" fontId="20" fillId="5" borderId="1" xfId="0" applyNumberFormat="1" applyFont="1" applyFill="1" applyBorder="1" applyAlignment="1">
      <alignment horizontal="right" vertical="center"/>
    </xf>
    <xf numFmtId="0" fontId="37" fillId="0" borderId="0" xfId="0" applyFont="1" applyAlignment="1">
      <alignment horizontal="left" vertical="center" wrapText="1"/>
    </xf>
    <xf numFmtId="0" fontId="35" fillId="13" borderId="5" xfId="0" applyFont="1" applyFill="1" applyBorder="1"/>
    <xf numFmtId="0" fontId="15" fillId="8" borderId="1" xfId="0" applyFont="1" applyFill="1" applyBorder="1" applyAlignment="1">
      <alignment horizontal="center" vertical="center" wrapText="1"/>
    </xf>
    <xf numFmtId="0" fontId="35" fillId="12" borderId="5" xfId="0" applyFont="1" applyFill="1" applyBorder="1"/>
    <xf numFmtId="0" fontId="35" fillId="14" borderId="5" xfId="0" applyFont="1" applyFill="1" applyBorder="1"/>
    <xf numFmtId="189" fontId="20" fillId="5" borderId="1" xfId="0" applyNumberFormat="1" applyFont="1" applyFill="1" applyBorder="1" applyAlignment="1">
      <alignment horizontal="right" vertical="center"/>
    </xf>
    <xf numFmtId="185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183" fontId="20" fillId="0" borderId="1" xfId="0" applyNumberFormat="1" applyFont="1" applyBorder="1" applyAlignment="1">
      <alignment horizontal="right" vertical="center"/>
    </xf>
    <xf numFmtId="188" fontId="5" fillId="0" borderId="1" xfId="0" applyNumberFormat="1" applyFont="1" applyBorder="1"/>
    <xf numFmtId="9" fontId="5" fillId="0" borderId="1" xfId="0" applyNumberFormat="1" applyFont="1" applyBorder="1"/>
    <xf numFmtId="3" fontId="38" fillId="0" borderId="1" xfId="0" applyNumberFormat="1" applyFont="1" applyBorder="1"/>
    <xf numFmtId="189" fontId="38" fillId="0" borderId="1" xfId="0" applyNumberFormat="1" applyFont="1" applyBorder="1"/>
    <xf numFmtId="181" fontId="20" fillId="0" borderId="1" xfId="0" applyNumberFormat="1" applyFont="1" applyBorder="1" applyAlignment="1">
      <alignment horizontal="right" vertical="center"/>
    </xf>
    <xf numFmtId="0" fontId="39" fillId="6" borderId="0" xfId="0" applyFont="1" applyFill="1" applyAlignment="1">
      <alignment horizontal="center" vertical="center" wrapText="1"/>
    </xf>
    <xf numFmtId="0" fontId="40" fillId="8" borderId="1" xfId="0" applyFont="1" applyFill="1" applyBorder="1" applyAlignment="1">
      <alignment horizontal="left" vertical="center" wrapText="1"/>
    </xf>
    <xf numFmtId="183" fontId="38" fillId="0" borderId="1" xfId="0" applyNumberFormat="1" applyFont="1" applyBorder="1" applyAlignment="1">
      <alignment horizontal="right" vertical="center"/>
    </xf>
    <xf numFmtId="186" fontId="30" fillId="0" borderId="1" xfId="0" applyNumberFormat="1" applyFont="1" applyBorder="1" applyAlignment="1">
      <alignment horizontal="right" vertical="center"/>
    </xf>
    <xf numFmtId="186" fontId="0" fillId="0" borderId="1" xfId="0" applyNumberFormat="1" applyBorder="1" applyAlignment="1">
      <alignment horizontal="right" vertical="center"/>
    </xf>
    <xf numFmtId="0" fontId="41" fillId="6" borderId="0" xfId="0" applyFont="1" applyFill="1" applyAlignment="1">
      <alignment horizontal="center" vertical="center" wrapText="1"/>
    </xf>
    <xf numFmtId="178" fontId="30" fillId="0" borderId="1" xfId="0" applyNumberFormat="1" applyFont="1" applyBorder="1" applyAlignment="1">
      <alignment horizontal="right" vertical="center"/>
    </xf>
    <xf numFmtId="183" fontId="0" fillId="0" borderId="1" xfId="0" applyNumberFormat="1" applyBorder="1" applyAlignment="1">
      <alignment horizontal="right" vertical="center"/>
    </xf>
    <xf numFmtId="0" fontId="42" fillId="6" borderId="1" xfId="0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0" fontId="9" fillId="15" borderId="0" xfId="0" applyFont="1" applyFill="1" applyAlignment="1">
      <alignment horizontal="left" vertical="center" wrapText="1"/>
    </xf>
    <xf numFmtId="0" fontId="44" fillId="0" borderId="1" xfId="0" applyFont="1" applyBorder="1" applyAlignment="1">
      <alignment horizontal="center" vertical="center" wrapText="1"/>
    </xf>
    <xf numFmtId="0" fontId="45" fillId="8" borderId="1" xfId="0" applyFont="1" applyFill="1" applyBorder="1" applyAlignment="1">
      <alignment horizontal="left" vertical="center" wrapText="1"/>
    </xf>
    <xf numFmtId="0" fontId="46" fillId="8" borderId="1" xfId="0" applyFont="1" applyFill="1" applyBorder="1" applyAlignment="1">
      <alignment horizontal="left" vertical="center" wrapText="1"/>
    </xf>
    <xf numFmtId="177" fontId="5" fillId="0" borderId="1" xfId="0" applyNumberFormat="1" applyFont="1" applyBorder="1" applyAlignment="1">
      <alignment horizontal="right" vertical="center"/>
    </xf>
    <xf numFmtId="2" fontId="14" fillId="0" borderId="1" xfId="0" applyNumberFormat="1" applyFont="1" applyBorder="1" applyAlignment="1">
      <alignment horizontal="right" vertical="center"/>
    </xf>
    <xf numFmtId="0" fontId="9" fillId="16" borderId="0" xfId="0" applyFont="1" applyFill="1" applyAlignment="1">
      <alignment horizontal="left" vertical="center" wrapText="1"/>
    </xf>
    <xf numFmtId="0" fontId="9" fillId="17" borderId="0" xfId="0" applyFont="1" applyFill="1" applyAlignment="1">
      <alignment horizontal="left" vertical="center" wrapText="1"/>
    </xf>
    <xf numFmtId="0" fontId="9" fillId="18" borderId="0" xfId="0" applyFont="1" applyFill="1" applyAlignment="1">
      <alignment horizontal="left" vertical="center" wrapText="1"/>
    </xf>
    <xf numFmtId="0" fontId="9" fillId="19" borderId="0" xfId="0" applyFont="1" applyFill="1" applyAlignment="1">
      <alignment horizontal="left" vertical="center" wrapText="1"/>
    </xf>
    <xf numFmtId="177" fontId="14" fillId="0" borderId="1" xfId="0" applyNumberFormat="1" applyFont="1" applyBorder="1" applyAlignment="1">
      <alignment horizontal="right" vertical="center"/>
    </xf>
    <xf numFmtId="0" fontId="16" fillId="20" borderId="0" xfId="0" applyFont="1" applyFill="1"/>
    <xf numFmtId="0" fontId="47" fillId="0" borderId="1" xfId="0" applyFont="1" applyBorder="1" applyAlignment="1">
      <alignment horizontal="center" vertical="center"/>
    </xf>
    <xf numFmtId="0" fontId="48" fillId="4" borderId="1" xfId="0" applyFont="1" applyFill="1" applyBorder="1" applyAlignment="1">
      <alignment horizontal="left" vertical="center"/>
    </xf>
    <xf numFmtId="176" fontId="5" fillId="0" borderId="1" xfId="0" applyNumberFormat="1" applyFont="1" applyBorder="1" applyAlignment="1">
      <alignment horizontal="right" vertical="center"/>
    </xf>
    <xf numFmtId="0" fontId="16" fillId="21" borderId="0" xfId="0" applyFont="1" applyFill="1"/>
  </cellXfs>
  <cellStyles count="50">
    <cellStyle name="常规" xfId="0" builtinId="0"/>
    <cellStyle name="fa_data_standard_2_grouped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B0000"/>
      <rgbColor rgb="00008000"/>
      <rgbColor rgb="00000080"/>
      <rgbColor rgb="00808000"/>
      <rgbColor rgb="00800080"/>
      <rgbColor rgb="000078D4"/>
      <rgbColor rgb="00BFBFBF"/>
      <rgbColor rgb="00808080"/>
      <rgbColor rgb="009999FF"/>
      <rgbColor rgb="00993366"/>
      <rgbColor rgb="00F2F2F2"/>
      <rgbColor rgb="00CCFFFF"/>
      <rgbColor rgb="00660066"/>
      <rgbColor rgb="00FF8080"/>
      <rgbColor rgb="000668E1"/>
      <rgbColor rgb="00D9D9D9"/>
      <rgbColor rgb="00000080"/>
      <rgbColor rgb="00FF00FF"/>
      <rgbColor rgb="00FFFF00"/>
      <rgbColor rgb="0000FFFF"/>
      <rgbColor rgb="00800080"/>
      <rgbColor rgb="00C00000"/>
      <rgbColor rgb="00008080"/>
      <rgbColor rgb="000000FF"/>
      <rgbColor rgb="0000CCFF"/>
      <rgbColor rgb="00CCFFFF"/>
      <rgbColor rgb="00C6E0B4"/>
      <rgbColor rgb="00FFE699"/>
      <rgbColor rgb="0099CCFF"/>
      <rgbColor rgb="00FF99CC"/>
      <rgbColor rgb="00CC99FF"/>
      <rgbColor rgb="00F8CBAD"/>
      <rgbColor rgb="004285F4"/>
      <rgbColor rgb="0033CCCC"/>
      <rgbColor rgb="0099CC00"/>
      <rgbColor rgb="00FFCC00"/>
      <rgbColor rgb="00FF9900"/>
      <rgbColor rgb="00D4762C"/>
      <rgbColor rgb="00595959"/>
      <rgbColor rgb="00B3B3B3"/>
      <rgbColor rgb="001F3864"/>
      <rgbColor rgb="00339966"/>
      <rgbColor rgb="00006400"/>
      <rgbColor rgb="00333300"/>
      <rgbColor rgb="00993300"/>
      <rgbColor rgb="00993366"/>
      <rgbColor rgb="002F5496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T101"/>
  <sheetViews>
    <sheetView showGridLines="0" workbookViewId="0">
      <pane xSplit="2" ySplit="3" topLeftCell="J22" activePane="bottomRight" state="frozen"/>
      <selection/>
      <selection pane="topRight"/>
      <selection pane="bottomLeft"/>
      <selection pane="bottomRight" activeCell="M38" sqref="M38"/>
    </sheetView>
  </sheetViews>
  <sheetFormatPr defaultColWidth="8.6796875" defaultRowHeight="14"/>
  <cols>
    <col min="1" max="1" width="10" customWidth="1"/>
    <col min="2" max="2" width="22" customWidth="1"/>
    <col min="3" max="21" width="10.5078125" customWidth="1"/>
  </cols>
  <sheetData>
    <row r="1" ht="24" customHeight="1" spans="1:1">
      <c r="A1" s="11" t="s">
        <v>0</v>
      </c>
    </row>
    <row r="3" ht="15" customHeight="1" spans="1:20">
      <c r="A3" s="105" t="s">
        <v>1</v>
      </c>
      <c r="B3" s="106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  <c r="I3" s="15" t="s">
        <v>9</v>
      </c>
      <c r="J3" s="15" t="s">
        <v>10</v>
      </c>
      <c r="K3" s="15" t="s">
        <v>11</v>
      </c>
      <c r="L3" s="15" t="s">
        <v>12</v>
      </c>
      <c r="M3" s="15" t="s">
        <v>13</v>
      </c>
      <c r="N3" s="15" t="s">
        <v>14</v>
      </c>
      <c r="O3" s="15" t="s">
        <v>15</v>
      </c>
      <c r="P3" s="15" t="s">
        <v>16</v>
      </c>
      <c r="Q3" s="15" t="s">
        <v>17</v>
      </c>
      <c r="R3" s="15" t="s">
        <v>18</v>
      </c>
      <c r="S3" s="15" t="s">
        <v>19</v>
      </c>
      <c r="T3" s="15" t="s">
        <v>20</v>
      </c>
    </row>
    <row r="4" ht="15" customHeight="1" spans="1:1">
      <c r="A4" s="107" t="s">
        <v>21</v>
      </c>
    </row>
    <row r="5" ht="15" customHeight="1" spans="1:20">
      <c r="A5" s="108" t="s">
        <v>22</v>
      </c>
      <c r="B5" s="109" t="s">
        <v>23</v>
      </c>
      <c r="C5" s="5">
        <v>77849</v>
      </c>
      <c r="D5" s="5">
        <v>86833</v>
      </c>
      <c r="E5" s="5">
        <v>93580</v>
      </c>
      <c r="F5" s="5">
        <v>91154</v>
      </c>
      <c r="G5" s="5">
        <v>96571</v>
      </c>
      <c r="H5" s="5">
        <v>110360</v>
      </c>
      <c r="I5" s="5">
        <v>125843</v>
      </c>
      <c r="J5" s="5">
        <v>143015</v>
      </c>
      <c r="K5" s="5">
        <v>168088</v>
      </c>
      <c r="L5" s="5">
        <v>198270</v>
      </c>
      <c r="M5" s="5">
        <v>211915</v>
      </c>
      <c r="N5" s="5">
        <v>245122</v>
      </c>
      <c r="O5" s="5">
        <v>281724</v>
      </c>
      <c r="P5" s="5">
        <v>319618.352346443</v>
      </c>
      <c r="Q5" s="5">
        <v>373106.65121074</v>
      </c>
      <c r="R5" s="5">
        <v>445409.632709663</v>
      </c>
      <c r="S5" s="5">
        <v>534000.031144246</v>
      </c>
      <c r="T5" s="5">
        <v>628544.330275335</v>
      </c>
    </row>
    <row r="6" ht="15" customHeight="1" spans="1:20">
      <c r="A6" s="108" t="s">
        <v>22</v>
      </c>
      <c r="B6" s="109" t="s">
        <v>24</v>
      </c>
      <c r="C6" s="18">
        <v>26764</v>
      </c>
      <c r="D6" s="18">
        <v>27759</v>
      </c>
      <c r="E6" s="5">
        <v>13359</v>
      </c>
      <c r="F6" s="5">
        <v>11756</v>
      </c>
      <c r="G6" s="5">
        <v>11389</v>
      </c>
      <c r="H6" s="5">
        <v>12924</v>
      </c>
      <c r="I6" s="5">
        <v>16219</v>
      </c>
      <c r="J6" s="5">
        <v>18724</v>
      </c>
      <c r="K6" s="5">
        <v>24351</v>
      </c>
      <c r="L6" s="5">
        <v>29687</v>
      </c>
      <c r="M6" s="5">
        <v>50074</v>
      </c>
      <c r="N6" s="5">
        <v>59661</v>
      </c>
      <c r="O6" s="5">
        <v>69773</v>
      </c>
      <c r="P6" s="5">
        <v>79541.62</v>
      </c>
      <c r="Q6" s="5">
        <v>85628.96</v>
      </c>
      <c r="R6" s="5">
        <v>69877.51</v>
      </c>
      <c r="S6" s="5">
        <v>101371.29</v>
      </c>
      <c r="T6" s="5">
        <v>108509.49</v>
      </c>
    </row>
    <row r="7" ht="15" customHeight="1" spans="1:20">
      <c r="A7" s="108" t="s">
        <v>22</v>
      </c>
      <c r="B7" s="109" t="s">
        <v>25</v>
      </c>
      <c r="C7" s="5">
        <v>21863</v>
      </c>
      <c r="D7" s="5">
        <v>22074</v>
      </c>
      <c r="E7" s="5">
        <v>12193</v>
      </c>
      <c r="F7" s="5">
        <v>16798</v>
      </c>
      <c r="G7" s="5">
        <v>21204</v>
      </c>
      <c r="H7" s="5">
        <v>16571</v>
      </c>
      <c r="I7" s="5">
        <v>39240</v>
      </c>
      <c r="J7" s="5">
        <v>44281</v>
      </c>
      <c r="K7" s="5">
        <v>61271</v>
      </c>
      <c r="L7" s="5">
        <v>72738</v>
      </c>
      <c r="M7" s="5">
        <v>72361</v>
      </c>
      <c r="N7" s="5">
        <v>88136</v>
      </c>
      <c r="O7" s="5">
        <v>101832</v>
      </c>
      <c r="P7" s="5">
        <v>128773.529411765</v>
      </c>
      <c r="Q7" s="5">
        <v>144093.728813559</v>
      </c>
      <c r="R7" s="5">
        <v>170374.875</v>
      </c>
      <c r="S7" s="5">
        <v>198374.4375</v>
      </c>
      <c r="T7" s="5">
        <v>231003.5</v>
      </c>
    </row>
    <row r="8" ht="15" customHeight="1" spans="1:20">
      <c r="A8" s="108" t="s">
        <v>22</v>
      </c>
      <c r="B8" s="110" t="s">
        <v>26</v>
      </c>
      <c r="C8" s="111">
        <v>2.58</v>
      </c>
      <c r="D8" s="111">
        <v>2.63</v>
      </c>
      <c r="E8" s="111">
        <v>1.48</v>
      </c>
      <c r="F8" s="111">
        <v>2.1</v>
      </c>
      <c r="G8" s="111">
        <v>2.71</v>
      </c>
      <c r="H8" s="111">
        <v>2.13</v>
      </c>
      <c r="I8" s="111">
        <v>5.06</v>
      </c>
      <c r="J8" s="111">
        <v>5.76</v>
      </c>
      <c r="K8" s="111">
        <v>8.05</v>
      </c>
      <c r="L8" s="111">
        <v>9.65</v>
      </c>
      <c r="M8" s="111">
        <v>9.68</v>
      </c>
      <c r="N8" s="111">
        <v>11.8</v>
      </c>
      <c r="O8" s="111">
        <v>13.64</v>
      </c>
      <c r="P8" s="111">
        <v>17.2806666666667</v>
      </c>
      <c r="Q8" s="111">
        <v>19.4171428571429</v>
      </c>
      <c r="R8" s="111">
        <v>22.8097619047619</v>
      </c>
      <c r="S8" s="111">
        <v>26.9969230769231</v>
      </c>
      <c r="T8" s="111">
        <v>31.4925</v>
      </c>
    </row>
    <row r="9" ht="15" customHeight="1" spans="1:20">
      <c r="A9" s="108" t="s">
        <v>22</v>
      </c>
      <c r="B9" s="109" t="s">
        <v>27</v>
      </c>
      <c r="C9" s="5">
        <v>8470</v>
      </c>
      <c r="D9" s="5">
        <v>8399</v>
      </c>
      <c r="E9" s="5">
        <v>8254</v>
      </c>
      <c r="F9" s="5">
        <v>8013</v>
      </c>
      <c r="G9" s="5">
        <v>7832</v>
      </c>
      <c r="H9" s="5">
        <v>7794</v>
      </c>
      <c r="I9" s="5">
        <v>7753</v>
      </c>
      <c r="J9" s="5">
        <v>7683</v>
      </c>
      <c r="K9" s="5">
        <v>7608</v>
      </c>
      <c r="L9" s="5">
        <v>7540</v>
      </c>
      <c r="M9" s="5">
        <v>7472</v>
      </c>
      <c r="N9" s="5">
        <v>7469</v>
      </c>
      <c r="O9" s="5">
        <v>7465</v>
      </c>
      <c r="P9" s="5">
        <v>7449.90168628124</v>
      </c>
      <c r="Q9" s="5">
        <v>7435.5853369402</v>
      </c>
      <c r="R9" s="5">
        <v>7424.31766355631</v>
      </c>
      <c r="S9" s="5">
        <v>7387.12053574495</v>
      </c>
      <c r="T9" s="5">
        <v>7366.45113168984</v>
      </c>
    </row>
    <row r="10" ht="15" customHeight="1" spans="1:20">
      <c r="A10" s="108" t="s">
        <v>22</v>
      </c>
      <c r="B10" s="110" t="s">
        <v>28</v>
      </c>
      <c r="C10" s="5">
        <v>2197</v>
      </c>
      <c r="D10" s="5">
        <v>2446</v>
      </c>
      <c r="E10" s="5">
        <v>2574</v>
      </c>
      <c r="F10" s="5">
        <v>2668</v>
      </c>
      <c r="G10" s="5">
        <v>3266</v>
      </c>
      <c r="H10" s="5">
        <v>3940</v>
      </c>
      <c r="I10" s="5">
        <v>4652</v>
      </c>
      <c r="J10" s="5">
        <v>5289</v>
      </c>
      <c r="K10" s="5">
        <v>6118</v>
      </c>
      <c r="L10" s="5">
        <v>7502</v>
      </c>
      <c r="M10" s="5">
        <v>9611</v>
      </c>
      <c r="N10" s="5">
        <v>10734</v>
      </c>
      <c r="O10" s="5">
        <v>11974</v>
      </c>
      <c r="P10" s="5">
        <v>12484.2737786546</v>
      </c>
      <c r="Q10" s="5">
        <v>13833.1363367357</v>
      </c>
      <c r="R10" s="5">
        <v>15727.9951272309</v>
      </c>
      <c r="S10" s="5">
        <v>19055.0017494453</v>
      </c>
      <c r="T10" s="5">
        <v>21162.6603870297</v>
      </c>
    </row>
    <row r="11" ht="15" customHeight="1" spans="1:20">
      <c r="A11" s="108" t="s">
        <v>22</v>
      </c>
      <c r="B11" s="110" t="s">
        <v>29</v>
      </c>
      <c r="C11" s="5">
        <v>3755</v>
      </c>
      <c r="D11" s="5">
        <v>5212</v>
      </c>
      <c r="E11" s="5">
        <v>5957</v>
      </c>
      <c r="F11" s="5">
        <v>6622</v>
      </c>
      <c r="G11" s="5">
        <v>8778</v>
      </c>
      <c r="H11" s="5">
        <v>10261</v>
      </c>
      <c r="I11" s="5">
        <v>11682</v>
      </c>
      <c r="J11" s="5">
        <v>12796</v>
      </c>
      <c r="K11" s="5">
        <v>11686</v>
      </c>
      <c r="L11" s="5">
        <v>14460</v>
      </c>
      <c r="M11" s="5">
        <v>13861</v>
      </c>
      <c r="N11" s="5">
        <v>22287</v>
      </c>
      <c r="O11" s="5">
        <v>34153</v>
      </c>
      <c r="P11" s="5">
        <v>42005.1089988491</v>
      </c>
      <c r="Q11" s="5">
        <v>55415.3050954819</v>
      </c>
      <c r="R11" s="5">
        <v>73946.227431947</v>
      </c>
      <c r="S11" s="5">
        <v>97100.1063713892</v>
      </c>
      <c r="T11" s="5">
        <v>127810.225249033</v>
      </c>
    </row>
    <row r="12" ht="15" customHeight="1" spans="1:20">
      <c r="A12" s="108" t="s">
        <v>22</v>
      </c>
      <c r="B12" s="110" t="s">
        <v>30</v>
      </c>
      <c r="C12" s="5">
        <v>4257</v>
      </c>
      <c r="D12" s="5">
        <v>5485</v>
      </c>
      <c r="E12" s="5">
        <v>5944</v>
      </c>
      <c r="F12" s="5">
        <v>8343</v>
      </c>
      <c r="G12" s="5">
        <v>8129</v>
      </c>
      <c r="H12" s="5">
        <v>11632</v>
      </c>
      <c r="I12" s="5">
        <v>13925</v>
      </c>
      <c r="J12" s="5">
        <v>15441</v>
      </c>
      <c r="K12" s="5">
        <v>20622</v>
      </c>
      <c r="L12" s="5">
        <v>23886</v>
      </c>
      <c r="M12" s="5">
        <v>28107</v>
      </c>
      <c r="N12" s="5">
        <v>44477</v>
      </c>
      <c r="O12" s="5">
        <v>64551</v>
      </c>
      <c r="P12" s="5">
        <v>117213.775</v>
      </c>
      <c r="Q12" s="5">
        <v>175938.575</v>
      </c>
      <c r="R12" s="5">
        <v>195085</v>
      </c>
      <c r="S12" s="5">
        <v>191785.5</v>
      </c>
      <c r="T12" s="5">
        <v>196810</v>
      </c>
    </row>
    <row r="13" ht="15" customHeight="1" spans="1:20">
      <c r="A13" s="108" t="s">
        <v>22</v>
      </c>
      <c r="B13" s="110" t="s">
        <v>31</v>
      </c>
      <c r="C13" s="5">
        <v>28833</v>
      </c>
      <c r="D13" s="5">
        <v>32502</v>
      </c>
      <c r="E13" s="5">
        <v>29668</v>
      </c>
      <c r="F13" s="5">
        <v>33325</v>
      </c>
      <c r="G13" s="5">
        <v>39507</v>
      </c>
      <c r="H13" s="5">
        <v>43884</v>
      </c>
      <c r="I13" s="5">
        <v>52185</v>
      </c>
      <c r="J13" s="5">
        <v>60675</v>
      </c>
      <c r="K13" s="5">
        <v>76740</v>
      </c>
      <c r="L13" s="5">
        <v>89035</v>
      </c>
      <c r="M13" s="5">
        <v>87582</v>
      </c>
      <c r="N13" s="5">
        <v>118548</v>
      </c>
      <c r="O13" s="5">
        <v>136162</v>
      </c>
      <c r="P13" s="5">
        <v>173163.835881866</v>
      </c>
      <c r="Q13" s="5">
        <v>210868.567677402</v>
      </c>
      <c r="R13" s="5">
        <v>255947.119540324</v>
      </c>
      <c r="S13" s="5">
        <v>307337.047024182</v>
      </c>
      <c r="T13" s="5">
        <v>359926.179966215</v>
      </c>
    </row>
    <row r="14" ht="15" customHeight="1" spans="1:20">
      <c r="A14" s="108" t="s">
        <v>22</v>
      </c>
      <c r="B14" s="110" t="s">
        <v>32</v>
      </c>
      <c r="C14" s="5">
        <v>24576</v>
      </c>
      <c r="D14" s="5">
        <v>27017</v>
      </c>
      <c r="E14" s="5">
        <v>23724</v>
      </c>
      <c r="F14" s="5">
        <v>24982</v>
      </c>
      <c r="G14" s="5">
        <v>31378</v>
      </c>
      <c r="H14" s="5">
        <v>32252</v>
      </c>
      <c r="I14" s="5">
        <v>38260</v>
      </c>
      <c r="J14" s="5">
        <v>45129</v>
      </c>
      <c r="K14" s="5">
        <v>56118</v>
      </c>
      <c r="L14" s="5">
        <v>65149</v>
      </c>
      <c r="M14" s="5">
        <v>64291</v>
      </c>
      <c r="N14" s="5">
        <v>74071</v>
      </c>
      <c r="O14" s="5">
        <v>71611</v>
      </c>
      <c r="P14" s="5">
        <v>63833.6826850388</v>
      </c>
      <c r="Q14" s="5">
        <v>40769.7527243072</v>
      </c>
      <c r="R14" s="5">
        <v>61522.4859423514</v>
      </c>
      <c r="S14" s="5">
        <v>94794.224348823</v>
      </c>
      <c r="T14" s="5">
        <v>137549.858245257</v>
      </c>
    </row>
    <row r="15" ht="15" customHeight="1" spans="1:20">
      <c r="A15" s="108" t="s">
        <v>22</v>
      </c>
      <c r="B15" s="109" t="s">
        <v>33</v>
      </c>
      <c r="C15" s="5">
        <v>5360</v>
      </c>
      <c r="D15" s="5">
        <v>7316</v>
      </c>
      <c r="E15" s="5">
        <v>14443</v>
      </c>
      <c r="F15" s="5">
        <v>15969</v>
      </c>
      <c r="G15" s="5">
        <v>11788</v>
      </c>
      <c r="H15" s="5">
        <v>10721</v>
      </c>
      <c r="I15" s="5">
        <v>19543</v>
      </c>
      <c r="J15" s="5">
        <v>22968</v>
      </c>
      <c r="K15" s="5">
        <v>27385</v>
      </c>
      <c r="L15" s="5">
        <v>32696</v>
      </c>
      <c r="M15" s="5">
        <v>22245</v>
      </c>
      <c r="N15" s="5">
        <v>17254</v>
      </c>
      <c r="O15" s="5">
        <v>18420</v>
      </c>
      <c r="P15" s="5">
        <v>21283.7471906578</v>
      </c>
      <c r="Q15" s="5">
        <v>20273.4166640745</v>
      </c>
      <c r="R15" s="5">
        <v>21048.1151792151</v>
      </c>
      <c r="S15" s="5">
        <v>22626.7675895225</v>
      </c>
      <c r="T15" s="5">
        <v>24405.7260547797</v>
      </c>
    </row>
    <row r="16" ht="15" customHeight="1" spans="1:20">
      <c r="A16" s="108" t="s">
        <v>22</v>
      </c>
      <c r="B16" s="110" t="s">
        <v>34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72314</v>
      </c>
      <c r="N16" s="18">
        <v>87464</v>
      </c>
      <c r="O16" s="18">
        <v>106265</v>
      </c>
      <c r="P16" s="18">
        <v>136688.31</v>
      </c>
      <c r="Q16" s="18">
        <v>180358.14</v>
      </c>
      <c r="R16" s="18">
        <v>235873.55</v>
      </c>
      <c r="S16" s="18">
        <v>304531.45</v>
      </c>
      <c r="T16" s="18">
        <v>384276.13</v>
      </c>
    </row>
    <row r="17" ht="15" customHeight="1" spans="1:20">
      <c r="A17" s="108" t="s">
        <v>22</v>
      </c>
      <c r="B17" s="110" t="s">
        <v>35</v>
      </c>
      <c r="C17" s="18">
        <v>9991</v>
      </c>
      <c r="D17" s="18">
        <v>13011</v>
      </c>
      <c r="E17" s="18">
        <v>14731</v>
      </c>
      <c r="F17" s="18">
        <v>18356</v>
      </c>
      <c r="G17" s="18">
        <v>23734</v>
      </c>
      <c r="H17" s="18">
        <v>29460</v>
      </c>
      <c r="I17" s="18">
        <v>36477</v>
      </c>
      <c r="J17" s="18">
        <v>44151</v>
      </c>
      <c r="K17" s="18">
        <v>59715</v>
      </c>
      <c r="L17" s="18">
        <v>74398</v>
      </c>
      <c r="M17" s="18">
        <v>95641</v>
      </c>
      <c r="N17" s="18">
        <v>135591</v>
      </c>
      <c r="O17" s="18">
        <v>204966</v>
      </c>
      <c r="P17" s="18">
        <v>314226</v>
      </c>
      <c r="Q17" s="18">
        <v>499947.5</v>
      </c>
      <c r="R17" s="18">
        <v>693712.41</v>
      </c>
      <c r="S17" s="18">
        <v>864268.87</v>
      </c>
      <c r="T17" s="18">
        <v>1003045.34</v>
      </c>
    </row>
    <row r="18" ht="15" customHeight="1" spans="1:20">
      <c r="A18" s="108" t="s">
        <v>22</v>
      </c>
      <c r="B18" s="110" t="s">
        <v>36</v>
      </c>
      <c r="C18" s="112">
        <v>3.16</v>
      </c>
      <c r="D18" s="112">
        <v>2.69</v>
      </c>
      <c r="E18" s="112">
        <v>2.81</v>
      </c>
      <c r="F18" s="112">
        <v>2.83</v>
      </c>
      <c r="G18" s="112">
        <v>2.71</v>
      </c>
      <c r="H18" s="112">
        <v>2.73</v>
      </c>
      <c r="I18" s="112">
        <v>2.74</v>
      </c>
      <c r="J18" s="112">
        <v>3.08</v>
      </c>
      <c r="K18" s="112">
        <v>4.33</v>
      </c>
      <c r="L18" s="112">
        <v>4.12</v>
      </c>
      <c r="M18" s="112">
        <v>6.1</v>
      </c>
      <c r="N18" s="112">
        <v>5.59</v>
      </c>
      <c r="O18" s="112">
        <v>5.26</v>
      </c>
      <c r="P18" s="112">
        <v>4.89</v>
      </c>
      <c r="Q18" s="112">
        <v>4.36</v>
      </c>
      <c r="R18" s="112">
        <v>4.38</v>
      </c>
      <c r="S18" s="112">
        <v>4.6</v>
      </c>
      <c r="T18" s="112">
        <v>4.7</v>
      </c>
    </row>
    <row r="20" ht="15" customHeight="1" spans="1:1">
      <c r="A20" s="113" t="s">
        <v>37</v>
      </c>
    </row>
    <row r="21" ht="15" customHeight="1" spans="1:20">
      <c r="A21" s="108" t="s">
        <v>38</v>
      </c>
      <c r="B21" s="109" t="s">
        <v>23</v>
      </c>
      <c r="C21" s="5">
        <v>41410</v>
      </c>
      <c r="D21" s="5">
        <v>50834</v>
      </c>
      <c r="E21" s="5">
        <v>63708</v>
      </c>
      <c r="F21" s="5">
        <v>79785</v>
      </c>
      <c r="G21" s="5">
        <v>106110</v>
      </c>
      <c r="H21" s="5">
        <v>141366</v>
      </c>
      <c r="I21" s="5">
        <v>170773</v>
      </c>
      <c r="J21" s="5">
        <v>236282</v>
      </c>
      <c r="K21" s="5">
        <v>279833</v>
      </c>
      <c r="L21" s="5">
        <v>315880</v>
      </c>
      <c r="M21" s="5">
        <v>352828</v>
      </c>
      <c r="N21" s="5">
        <v>387497</v>
      </c>
      <c r="O21" s="5">
        <v>426305</v>
      </c>
      <c r="P21" s="5">
        <v>461081.718871665</v>
      </c>
      <c r="Q21" s="5">
        <v>516677.030980667</v>
      </c>
      <c r="R21" s="5">
        <v>556072.426496916</v>
      </c>
      <c r="S21" s="5">
        <v>599450.605497709</v>
      </c>
      <c r="T21" s="5">
        <v>645470.672783422</v>
      </c>
    </row>
    <row r="22" ht="15" customHeight="1" spans="1:20">
      <c r="A22" s="108" t="s">
        <v>38</v>
      </c>
      <c r="B22" s="109" t="s">
        <v>24</v>
      </c>
      <c r="C22" s="5">
        <v>673</v>
      </c>
      <c r="D22" s="5">
        <v>458</v>
      </c>
      <c r="E22" s="5">
        <v>1507</v>
      </c>
      <c r="F22" s="5">
        <v>3108</v>
      </c>
      <c r="G22" s="5">
        <v>4331</v>
      </c>
      <c r="H22" s="5">
        <v>7296</v>
      </c>
      <c r="I22" s="5">
        <v>9201</v>
      </c>
      <c r="J22" s="5">
        <v>13531</v>
      </c>
      <c r="K22" s="5">
        <v>18532</v>
      </c>
      <c r="L22" s="5">
        <v>22841</v>
      </c>
      <c r="M22" s="5">
        <v>24631</v>
      </c>
      <c r="N22" s="5">
        <v>39834</v>
      </c>
      <c r="O22" s="5">
        <v>45606</v>
      </c>
      <c r="P22" s="5">
        <v>58892.45</v>
      </c>
      <c r="Q22" s="5">
        <v>76144.3</v>
      </c>
      <c r="R22" s="5">
        <v>98372.18</v>
      </c>
      <c r="S22" s="5">
        <v>123330.71</v>
      </c>
      <c r="T22" s="5">
        <v>152115.05</v>
      </c>
    </row>
    <row r="23" ht="15" customHeight="1" spans="1:20">
      <c r="A23" s="108" t="s">
        <v>38</v>
      </c>
      <c r="B23" s="109" t="s">
        <v>25</v>
      </c>
      <c r="C23" s="5">
        <v>274</v>
      </c>
      <c r="D23" s="5">
        <v>-241</v>
      </c>
      <c r="E23" s="5">
        <v>596</v>
      </c>
      <c r="F23" s="5">
        <v>2371</v>
      </c>
      <c r="G23" s="5">
        <v>2244</v>
      </c>
      <c r="H23" s="5">
        <v>10073</v>
      </c>
      <c r="I23" s="5">
        <v>11588</v>
      </c>
      <c r="J23" s="5">
        <v>21331</v>
      </c>
      <c r="K23" s="5">
        <v>24042</v>
      </c>
      <c r="L23" s="5">
        <v>7311</v>
      </c>
      <c r="M23" s="5">
        <v>29793</v>
      </c>
      <c r="N23" s="5">
        <v>59248</v>
      </c>
      <c r="O23" s="5">
        <v>77670</v>
      </c>
      <c r="P23" s="5">
        <v>95381.3695652174</v>
      </c>
      <c r="Q23" s="5">
        <v>109556.177777778</v>
      </c>
      <c r="R23" s="5">
        <v>138562.233333333</v>
      </c>
      <c r="S23" s="5">
        <v>162769.352941176</v>
      </c>
      <c r="T23" s="5">
        <v>199614.8125</v>
      </c>
    </row>
    <row r="24" ht="15" customHeight="1" spans="1:20">
      <c r="A24" s="108" t="s">
        <v>38</v>
      </c>
      <c r="B24" s="110" t="s">
        <v>26</v>
      </c>
      <c r="C24" s="111">
        <v>0.0295</v>
      </c>
      <c r="D24" s="111">
        <v>-0.026</v>
      </c>
      <c r="E24" s="111">
        <v>0.0625</v>
      </c>
      <c r="F24" s="111">
        <v>0.245</v>
      </c>
      <c r="G24" s="111">
        <v>0.2275</v>
      </c>
      <c r="H24" s="111">
        <v>1.007</v>
      </c>
      <c r="I24" s="111">
        <v>1.1505</v>
      </c>
      <c r="J24" s="111">
        <v>2.0915</v>
      </c>
      <c r="K24" s="111">
        <v>2.33417475</v>
      </c>
      <c r="L24" s="111">
        <v>0.717539</v>
      </c>
      <c r="M24" s="111">
        <v>2.839592</v>
      </c>
      <c r="N24" s="111">
        <v>5.53</v>
      </c>
      <c r="O24" s="111">
        <v>7.17</v>
      </c>
      <c r="P24" s="111">
        <v>8.7931914893617</v>
      </c>
      <c r="Q24" s="111">
        <v>10.0281818181818</v>
      </c>
      <c r="R24" s="111">
        <v>12.9156</v>
      </c>
      <c r="S24" s="111">
        <v>14.3427272727273</v>
      </c>
      <c r="T24" s="111">
        <v>17.1333333333333</v>
      </c>
    </row>
    <row r="25" ht="15" customHeight="1" spans="1:20">
      <c r="A25" s="108" t="s">
        <v>38</v>
      </c>
      <c r="B25" s="109" t="s">
        <v>27</v>
      </c>
      <c r="C25" s="5">
        <v>9300</v>
      </c>
      <c r="D25" s="5">
        <v>9240</v>
      </c>
      <c r="E25" s="5">
        <v>9540</v>
      </c>
      <c r="F25" s="5">
        <v>9680</v>
      </c>
      <c r="G25" s="5">
        <v>9860</v>
      </c>
      <c r="H25" s="5">
        <v>10000</v>
      </c>
      <c r="I25" s="5">
        <v>10080</v>
      </c>
      <c r="J25" s="5">
        <v>10200</v>
      </c>
      <c r="K25" s="5">
        <v>10300</v>
      </c>
      <c r="L25" s="5">
        <v>10189</v>
      </c>
      <c r="M25" s="5">
        <v>10492</v>
      </c>
      <c r="N25" s="5">
        <v>10721</v>
      </c>
      <c r="O25" s="5">
        <v>10827</v>
      </c>
      <c r="P25" s="5">
        <v>10899.3092734652</v>
      </c>
      <c r="Q25" s="5">
        <v>11005.6614096136</v>
      </c>
      <c r="R25" s="5">
        <v>11088.3890280209</v>
      </c>
      <c r="S25" s="5">
        <v>11138.9560771978</v>
      </c>
      <c r="T25" s="5">
        <v>11236.5278053244</v>
      </c>
    </row>
    <row r="26" ht="15" customHeight="1" spans="1:20">
      <c r="A26" s="108" t="s">
        <v>38</v>
      </c>
      <c r="B26" s="110" t="s">
        <v>28</v>
      </c>
      <c r="C26" s="5">
        <v>1056</v>
      </c>
      <c r="D26" s="5">
        <v>1491</v>
      </c>
      <c r="E26" s="5">
        <v>2119</v>
      </c>
      <c r="F26" s="5">
        <v>2975</v>
      </c>
      <c r="G26" s="5">
        <v>4215</v>
      </c>
      <c r="H26" s="5">
        <v>5418</v>
      </c>
      <c r="I26" s="5">
        <v>6864</v>
      </c>
      <c r="J26" s="5">
        <v>9208</v>
      </c>
      <c r="K26" s="5">
        <v>12757</v>
      </c>
      <c r="L26" s="5">
        <v>19621</v>
      </c>
      <c r="M26" s="5">
        <v>24023</v>
      </c>
      <c r="N26" s="5">
        <v>22011</v>
      </c>
      <c r="O26" s="5">
        <v>19467</v>
      </c>
      <c r="P26" s="5">
        <v>19792.5781332109</v>
      </c>
      <c r="Q26" s="5">
        <v>22146.495057643</v>
      </c>
      <c r="R26" s="5">
        <v>24906.4766863686</v>
      </c>
      <c r="S26" s="5">
        <v>28060.9258066145</v>
      </c>
      <c r="T26" s="5">
        <v>31047.3943224294</v>
      </c>
    </row>
    <row r="27" ht="15" customHeight="1" spans="1:20">
      <c r="A27" s="108" t="s">
        <v>38</v>
      </c>
      <c r="B27" s="110" t="s">
        <v>29</v>
      </c>
      <c r="C27" s="5">
        <v>3253</v>
      </c>
      <c r="D27" s="5">
        <v>4746</v>
      </c>
      <c r="E27" s="5">
        <v>6281</v>
      </c>
      <c r="F27" s="5">
        <v>8116</v>
      </c>
      <c r="G27" s="5">
        <v>11478</v>
      </c>
      <c r="H27" s="5">
        <v>15341</v>
      </c>
      <c r="I27" s="5">
        <v>21789</v>
      </c>
      <c r="J27" s="5">
        <v>25180</v>
      </c>
      <c r="K27" s="5">
        <v>34433</v>
      </c>
      <c r="L27" s="5">
        <v>41921</v>
      </c>
      <c r="M27" s="5">
        <v>48663</v>
      </c>
      <c r="N27" s="5">
        <v>52795</v>
      </c>
      <c r="O27" s="5">
        <v>65756</v>
      </c>
      <c r="P27" s="5">
        <v>84391.5805352369</v>
      </c>
      <c r="Q27" s="5">
        <v>107181.816361416</v>
      </c>
      <c r="R27" s="5">
        <v>131811.179161373</v>
      </c>
      <c r="S27" s="5">
        <v>145951.115563808</v>
      </c>
      <c r="T27" s="5">
        <v>164275.194314539</v>
      </c>
    </row>
    <row r="28" ht="15" customHeight="1" spans="1:20">
      <c r="A28" s="108" t="s">
        <v>38</v>
      </c>
      <c r="B28" s="110" t="s">
        <v>30</v>
      </c>
      <c r="C28" s="5">
        <v>3444</v>
      </c>
      <c r="D28" s="5">
        <v>4893</v>
      </c>
      <c r="E28" s="5">
        <v>5387</v>
      </c>
      <c r="F28" s="5">
        <v>7804</v>
      </c>
      <c r="G28" s="5">
        <v>11955</v>
      </c>
      <c r="H28" s="5">
        <v>13427</v>
      </c>
      <c r="I28" s="5">
        <v>16861</v>
      </c>
      <c r="J28" s="5">
        <v>40140</v>
      </c>
      <c r="K28" s="5">
        <v>61053</v>
      </c>
      <c r="L28" s="5">
        <v>63645</v>
      </c>
      <c r="M28" s="5">
        <v>52729</v>
      </c>
      <c r="N28" s="5">
        <v>82999</v>
      </c>
      <c r="O28" s="5">
        <v>131819</v>
      </c>
      <c r="P28" s="5">
        <v>199073.703703704</v>
      </c>
      <c r="Q28" s="5">
        <v>226404.481481481</v>
      </c>
      <c r="R28" s="5">
        <v>231478.222222222</v>
      </c>
      <c r="S28" s="5">
        <v>222715.444444444</v>
      </c>
      <c r="T28" s="5">
        <v>224350.555555556</v>
      </c>
    </row>
    <row r="29" ht="15" customHeight="1" spans="1:20">
      <c r="A29" s="108" t="s">
        <v>38</v>
      </c>
      <c r="B29" s="110" t="s">
        <v>31</v>
      </c>
      <c r="C29" s="5">
        <v>5475</v>
      </c>
      <c r="D29" s="5">
        <v>6842</v>
      </c>
      <c r="E29" s="5">
        <v>12039</v>
      </c>
      <c r="F29" s="5">
        <v>17203</v>
      </c>
      <c r="G29" s="5">
        <v>18365</v>
      </c>
      <c r="H29" s="5">
        <v>30723</v>
      </c>
      <c r="I29" s="5">
        <v>38514</v>
      </c>
      <c r="J29" s="5">
        <v>66064</v>
      </c>
      <c r="K29" s="5">
        <v>46327</v>
      </c>
      <c r="L29" s="5">
        <v>46752</v>
      </c>
      <c r="M29" s="5">
        <v>84946</v>
      </c>
      <c r="N29" s="5">
        <v>115877</v>
      </c>
      <c r="O29" s="5">
        <v>139514</v>
      </c>
      <c r="P29" s="5">
        <v>183450.989247653</v>
      </c>
      <c r="Q29" s="5">
        <v>235811.646243303</v>
      </c>
      <c r="R29" s="5">
        <v>295261.245548782</v>
      </c>
      <c r="S29" s="5">
        <v>339695.167423287</v>
      </c>
      <c r="T29" s="5">
        <v>400510.429406655</v>
      </c>
    </row>
    <row r="30" ht="15" customHeight="1" spans="1:20">
      <c r="A30" s="108" t="s">
        <v>38</v>
      </c>
      <c r="B30" s="110" t="s">
        <v>32</v>
      </c>
      <c r="C30" s="5">
        <v>2031</v>
      </c>
      <c r="D30" s="5">
        <v>1949</v>
      </c>
      <c r="E30" s="5">
        <v>6652</v>
      </c>
      <c r="F30" s="5">
        <v>9399</v>
      </c>
      <c r="G30" s="5">
        <v>6410</v>
      </c>
      <c r="H30" s="5">
        <v>17296</v>
      </c>
      <c r="I30" s="5">
        <v>21653</v>
      </c>
      <c r="J30" s="5">
        <v>25924</v>
      </c>
      <c r="K30" s="5">
        <v>-14726</v>
      </c>
      <c r="L30" s="5">
        <v>-16893</v>
      </c>
      <c r="M30" s="5">
        <v>32217</v>
      </c>
      <c r="N30" s="5">
        <v>32878</v>
      </c>
      <c r="O30" s="5">
        <v>7695</v>
      </c>
      <c r="P30" s="5">
        <v>-16137.6353577563</v>
      </c>
      <c r="Q30" s="5">
        <v>-1113.99821459178</v>
      </c>
      <c r="R30" s="5">
        <v>58782.8155877281</v>
      </c>
      <c r="S30" s="5">
        <v>115563.169325736</v>
      </c>
      <c r="T30" s="5">
        <v>183593.769275073</v>
      </c>
    </row>
    <row r="31" ht="15" customHeight="1" spans="1:20">
      <c r="A31" s="108" t="s">
        <v>38</v>
      </c>
      <c r="B31" s="109" t="s">
        <v>33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6000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</row>
    <row r="32" ht="15" customHeight="1" spans="1:20">
      <c r="A32" s="108" t="s">
        <v>38</v>
      </c>
      <c r="B32" s="110" t="s">
        <v>39</v>
      </c>
      <c r="C32" s="18">
        <v>3107.57</v>
      </c>
      <c r="D32" s="18">
        <v>4644</v>
      </c>
      <c r="E32" s="18">
        <v>7880</v>
      </c>
      <c r="F32" s="18">
        <v>12219</v>
      </c>
      <c r="G32" s="18">
        <v>17458</v>
      </c>
      <c r="H32" s="18">
        <v>25656</v>
      </c>
      <c r="I32" s="18">
        <v>35026</v>
      </c>
      <c r="J32" s="18">
        <v>45370</v>
      </c>
      <c r="K32" s="18">
        <v>62202</v>
      </c>
      <c r="L32" s="18">
        <v>80096</v>
      </c>
      <c r="M32" s="18">
        <v>90757</v>
      </c>
      <c r="N32" s="18">
        <v>107556</v>
      </c>
      <c r="O32" s="18">
        <v>128725</v>
      </c>
      <c r="P32" s="18">
        <v>171284.9</v>
      </c>
      <c r="Q32" s="18">
        <v>225587.94</v>
      </c>
      <c r="R32" s="18">
        <v>274421.67</v>
      </c>
      <c r="S32" s="18">
        <v>323817.58</v>
      </c>
      <c r="T32" s="18">
        <v>374009.3</v>
      </c>
    </row>
    <row r="33" ht="15" customHeight="1" spans="1:20">
      <c r="A33" s="108" t="s">
        <v>38</v>
      </c>
      <c r="B33" s="110" t="s">
        <v>40</v>
      </c>
      <c r="C33" s="71"/>
      <c r="D33" s="18">
        <v>458</v>
      </c>
      <c r="E33" s="18">
        <v>1508</v>
      </c>
      <c r="F33" s="18">
        <v>3109</v>
      </c>
      <c r="G33" s="18">
        <v>4331</v>
      </c>
      <c r="H33" s="18">
        <v>7296</v>
      </c>
      <c r="I33" s="18">
        <v>9201</v>
      </c>
      <c r="J33" s="18">
        <v>13531</v>
      </c>
      <c r="K33" s="18">
        <v>18532</v>
      </c>
      <c r="L33" s="18">
        <v>22841</v>
      </c>
      <c r="M33" s="18">
        <v>24631</v>
      </c>
      <c r="N33" s="18">
        <v>39834</v>
      </c>
      <c r="O33" s="18">
        <v>45606</v>
      </c>
      <c r="P33" s="18">
        <v>61254.41</v>
      </c>
      <c r="Q33" s="18">
        <v>81248.3</v>
      </c>
      <c r="R33" s="18">
        <v>100888.47</v>
      </c>
      <c r="S33" s="18">
        <v>121477.03</v>
      </c>
      <c r="T33" s="18">
        <v>143111.04</v>
      </c>
    </row>
    <row r="35" ht="15" customHeight="1" spans="1:1">
      <c r="A35" s="114" t="s">
        <v>41</v>
      </c>
    </row>
    <row r="36" ht="15" customHeight="1" spans="1:20">
      <c r="A36" s="108" t="s">
        <v>42</v>
      </c>
      <c r="B36" s="109" t="s">
        <v>23</v>
      </c>
      <c r="C36" s="5">
        <v>55519</v>
      </c>
      <c r="D36" s="5">
        <v>66001</v>
      </c>
      <c r="E36" s="5">
        <v>74989</v>
      </c>
      <c r="F36" s="5">
        <v>90272</v>
      </c>
      <c r="G36" s="5">
        <v>110855</v>
      </c>
      <c r="H36" s="5">
        <v>136819</v>
      </c>
      <c r="I36" s="5">
        <v>161857</v>
      </c>
      <c r="J36" s="5">
        <v>182527</v>
      </c>
      <c r="K36" s="5">
        <v>257637</v>
      </c>
      <c r="L36" s="5">
        <v>282836</v>
      </c>
      <c r="M36" s="5">
        <v>307394</v>
      </c>
      <c r="N36" s="5">
        <v>350018</v>
      </c>
      <c r="O36" s="5">
        <v>402836</v>
      </c>
      <c r="P36" s="5">
        <v>486455.791246222</v>
      </c>
      <c r="Q36" s="5">
        <v>578508.878663099</v>
      </c>
      <c r="R36" s="5">
        <v>684008.76561542</v>
      </c>
      <c r="S36" s="5">
        <v>805409.013758559</v>
      </c>
      <c r="T36" s="5">
        <v>941245.15705466</v>
      </c>
    </row>
    <row r="37" ht="15" customHeight="1" spans="1:20">
      <c r="A37" s="108" t="s">
        <v>42</v>
      </c>
      <c r="B37" s="109" t="s">
        <v>24</v>
      </c>
      <c r="C37" s="5">
        <v>16260</v>
      </c>
      <c r="D37" s="5">
        <v>18965</v>
      </c>
      <c r="E37" s="5">
        <v>23319</v>
      </c>
      <c r="F37" s="5">
        <v>27055</v>
      </c>
      <c r="G37" s="5">
        <v>32456</v>
      </c>
      <c r="H37" s="5">
        <v>43137</v>
      </c>
      <c r="I37" s="5">
        <v>48999</v>
      </c>
      <c r="J37" s="5">
        <v>54606</v>
      </c>
      <c r="K37" s="5">
        <v>91855</v>
      </c>
      <c r="L37" s="5">
        <v>82699</v>
      </c>
      <c r="M37" s="5">
        <v>95858</v>
      </c>
      <c r="N37" s="5">
        <v>121263</v>
      </c>
      <c r="O37" s="5">
        <v>139404</v>
      </c>
      <c r="P37" s="5">
        <v>166048.71</v>
      </c>
      <c r="Q37" s="5">
        <v>188404.24</v>
      </c>
      <c r="R37" s="5">
        <v>207483.23</v>
      </c>
      <c r="S37" s="5">
        <v>229196.58</v>
      </c>
      <c r="T37" s="5">
        <v>258679.36</v>
      </c>
    </row>
    <row r="38" ht="15" customHeight="1" spans="1:20">
      <c r="A38" s="108" t="s">
        <v>42</v>
      </c>
      <c r="B38" s="109" t="s">
        <v>25</v>
      </c>
      <c r="C38" s="5">
        <v>12214</v>
      </c>
      <c r="D38" s="5">
        <v>13928</v>
      </c>
      <c r="E38" s="5">
        <v>15826</v>
      </c>
      <c r="F38" s="5">
        <v>19478</v>
      </c>
      <c r="G38" s="5">
        <v>22519</v>
      </c>
      <c r="H38" s="5">
        <v>30736</v>
      </c>
      <c r="I38" s="5">
        <v>32508</v>
      </c>
      <c r="J38" s="5">
        <v>40269</v>
      </c>
      <c r="K38" s="5">
        <v>76033</v>
      </c>
      <c r="L38" s="5">
        <v>59972</v>
      </c>
      <c r="M38" s="5">
        <v>73795</v>
      </c>
      <c r="N38" s="5">
        <v>100118</v>
      </c>
      <c r="O38" s="5">
        <v>132170</v>
      </c>
      <c r="P38" s="5">
        <v>174612.843137255</v>
      </c>
      <c r="Q38" s="5">
        <v>180090.274509804</v>
      </c>
      <c r="R38" s="5">
        <v>212391.875</v>
      </c>
      <c r="S38" s="5">
        <v>263167.333333333</v>
      </c>
      <c r="T38" s="5">
        <v>322005.857142857</v>
      </c>
    </row>
    <row r="39" ht="15" customHeight="1" spans="1:20">
      <c r="A39" s="108" t="s">
        <v>42</v>
      </c>
      <c r="B39" s="110" t="s">
        <v>26</v>
      </c>
      <c r="C39" s="111">
        <v>0.90125</v>
      </c>
      <c r="D39" s="111">
        <v>1.0135</v>
      </c>
      <c r="E39" s="111">
        <v>1.142</v>
      </c>
      <c r="F39" s="111">
        <v>1.3925</v>
      </c>
      <c r="G39" s="111">
        <v>1.6005</v>
      </c>
      <c r="H39" s="111">
        <v>2.185</v>
      </c>
      <c r="I39" s="111">
        <v>2.3265</v>
      </c>
      <c r="J39" s="111">
        <v>2.9305</v>
      </c>
      <c r="K39" s="111">
        <v>5.61</v>
      </c>
      <c r="L39" s="111">
        <v>4.56</v>
      </c>
      <c r="M39" s="111">
        <v>5.8</v>
      </c>
      <c r="N39" s="111">
        <v>8.04</v>
      </c>
      <c r="O39" s="111">
        <v>10.81</v>
      </c>
      <c r="P39" s="111">
        <v>14.186724137931</v>
      </c>
      <c r="Q39" s="111">
        <v>14.69</v>
      </c>
      <c r="R39" s="111">
        <v>17.3548484848485</v>
      </c>
      <c r="S39" s="111">
        <v>21.248</v>
      </c>
      <c r="T39" s="111">
        <v>26.0357142857143</v>
      </c>
    </row>
    <row r="40" ht="15" customHeight="1" spans="1:20">
      <c r="A40" s="108" t="s">
        <v>42</v>
      </c>
      <c r="B40" s="109" t="s">
        <v>27</v>
      </c>
      <c r="C40" s="5">
        <v>14739.0440187445</v>
      </c>
      <c r="D40" s="5">
        <v>14839.96</v>
      </c>
      <c r="E40" s="5">
        <v>14893.5</v>
      </c>
      <c r="F40" s="5">
        <v>14951.3</v>
      </c>
      <c r="G40" s="5">
        <v>15014.6</v>
      </c>
      <c r="H40" s="5">
        <v>15002.98</v>
      </c>
      <c r="I40" s="5">
        <v>14901.66</v>
      </c>
      <c r="J40" s="5">
        <v>14664.2</v>
      </c>
      <c r="K40" s="5">
        <v>14462.08</v>
      </c>
      <c r="L40" s="5">
        <v>13159</v>
      </c>
      <c r="M40" s="5">
        <v>12722</v>
      </c>
      <c r="N40" s="5">
        <v>12447</v>
      </c>
      <c r="O40" s="5">
        <v>12230</v>
      </c>
      <c r="P40" s="5">
        <v>12208.5642860298</v>
      </c>
      <c r="Q40" s="5">
        <v>12183.5533224121</v>
      </c>
      <c r="R40" s="5">
        <v>12276.5142259405</v>
      </c>
      <c r="S40" s="5">
        <v>12322.3129116483</v>
      </c>
      <c r="T40" s="5">
        <v>12302.5283151486</v>
      </c>
    </row>
    <row r="41" ht="15" customHeight="1" spans="1:20">
      <c r="A41" s="108" t="s">
        <v>42</v>
      </c>
      <c r="B41" s="110" t="s">
        <v>28</v>
      </c>
      <c r="C41" s="18">
        <v>-3268</v>
      </c>
      <c r="D41" s="18">
        <v>-4175</v>
      </c>
      <c r="E41" s="18">
        <v>-4903</v>
      </c>
      <c r="F41" s="18">
        <v>-6703</v>
      </c>
      <c r="G41" s="18">
        <v>-7679</v>
      </c>
      <c r="H41" s="18">
        <v>-9353</v>
      </c>
      <c r="I41" s="18">
        <v>-10794</v>
      </c>
      <c r="J41" s="18">
        <v>-12991</v>
      </c>
      <c r="K41" s="18">
        <v>-15376</v>
      </c>
      <c r="L41" s="18">
        <v>-19362</v>
      </c>
      <c r="M41" s="18">
        <v>-22460</v>
      </c>
      <c r="N41" s="18">
        <v>-22785</v>
      </c>
      <c r="O41" s="18">
        <v>-24953</v>
      </c>
      <c r="P41" s="18">
        <v>-27937.33</v>
      </c>
      <c r="Q41" s="18">
        <v>-30032.63</v>
      </c>
      <c r="R41" s="18">
        <v>-31979.73</v>
      </c>
      <c r="S41" s="18">
        <v>-33657.1</v>
      </c>
      <c r="T41" s="18">
        <v>-35339.95</v>
      </c>
    </row>
    <row r="42" ht="15" customHeight="1" spans="1:20">
      <c r="A42" s="108" t="s">
        <v>42</v>
      </c>
      <c r="B42" s="110" t="s">
        <v>29</v>
      </c>
      <c r="C42" s="18">
        <v>2781</v>
      </c>
      <c r="D42" s="18">
        <v>3523</v>
      </c>
      <c r="E42" s="18">
        <v>4132</v>
      </c>
      <c r="F42" s="18">
        <v>5267</v>
      </c>
      <c r="G42" s="18">
        <v>6103</v>
      </c>
      <c r="H42" s="18">
        <v>8164</v>
      </c>
      <c r="I42" s="18">
        <v>10856</v>
      </c>
      <c r="J42" s="18">
        <v>12905</v>
      </c>
      <c r="K42" s="18">
        <v>11555</v>
      </c>
      <c r="L42" s="18">
        <v>15287</v>
      </c>
      <c r="M42" s="18">
        <v>13326</v>
      </c>
      <c r="N42" s="18">
        <v>15311</v>
      </c>
      <c r="O42" s="18">
        <v>21136</v>
      </c>
      <c r="P42" s="18">
        <v>42874.7</v>
      </c>
      <c r="Q42" s="18">
        <v>69582.72</v>
      </c>
      <c r="R42" s="18">
        <v>98340.16</v>
      </c>
      <c r="S42" s="18">
        <v>127674.93</v>
      </c>
      <c r="T42" s="18">
        <v>156155.17</v>
      </c>
    </row>
    <row r="43" ht="15" customHeight="1" spans="1:20">
      <c r="A43" s="108" t="s">
        <v>42</v>
      </c>
      <c r="B43" s="110" t="s">
        <v>30</v>
      </c>
      <c r="C43" s="5">
        <v>7358</v>
      </c>
      <c r="D43" s="5">
        <v>10959</v>
      </c>
      <c r="E43" s="5">
        <v>9950</v>
      </c>
      <c r="F43" s="5">
        <v>10212</v>
      </c>
      <c r="G43" s="5">
        <v>13184</v>
      </c>
      <c r="H43" s="5">
        <v>25139</v>
      </c>
      <c r="I43" s="5">
        <v>23548</v>
      </c>
      <c r="J43" s="5">
        <v>22281</v>
      </c>
      <c r="K43" s="5">
        <v>24640</v>
      </c>
      <c r="L43" s="5">
        <v>31485</v>
      </c>
      <c r="M43" s="5">
        <v>32251</v>
      </c>
      <c r="N43" s="5">
        <v>52535</v>
      </c>
      <c r="O43" s="5">
        <v>91447</v>
      </c>
      <c r="P43" s="5">
        <v>186454.019348801</v>
      </c>
      <c r="Q43" s="5">
        <v>244373.725640458</v>
      </c>
      <c r="R43" s="5">
        <v>260117.698684294</v>
      </c>
      <c r="S43" s="5">
        <v>255889.491300743</v>
      </c>
      <c r="T43" s="5">
        <v>259990.248223234</v>
      </c>
    </row>
    <row r="44" ht="15" customHeight="1" spans="1:20">
      <c r="A44" s="108" t="s">
        <v>42</v>
      </c>
      <c r="B44" s="110" t="s">
        <v>31</v>
      </c>
      <c r="C44" s="5">
        <v>18659</v>
      </c>
      <c r="D44" s="5">
        <v>22376</v>
      </c>
      <c r="E44" s="5">
        <v>26572</v>
      </c>
      <c r="F44" s="5">
        <v>36036</v>
      </c>
      <c r="G44" s="5">
        <v>37091</v>
      </c>
      <c r="H44" s="5">
        <v>47971</v>
      </c>
      <c r="I44" s="5">
        <v>54520</v>
      </c>
      <c r="J44" s="5">
        <v>65124</v>
      </c>
      <c r="K44" s="5">
        <v>91652</v>
      </c>
      <c r="L44" s="5">
        <v>91495</v>
      </c>
      <c r="M44" s="5">
        <v>101746</v>
      </c>
      <c r="N44" s="5">
        <v>125299</v>
      </c>
      <c r="O44" s="5">
        <v>164713</v>
      </c>
      <c r="P44" s="5">
        <v>211732.281952773</v>
      </c>
      <c r="Q44" s="5">
        <v>259409.951887163</v>
      </c>
      <c r="R44" s="5">
        <v>321961.128094811</v>
      </c>
      <c r="S44" s="5">
        <v>388350.3504258</v>
      </c>
      <c r="T44" s="5">
        <v>469096.486605456</v>
      </c>
    </row>
    <row r="45" ht="15" customHeight="1" spans="1:20">
      <c r="A45" s="108" t="s">
        <v>42</v>
      </c>
      <c r="B45" s="110" t="s">
        <v>32</v>
      </c>
      <c r="C45" s="5">
        <v>11301</v>
      </c>
      <c r="D45" s="5">
        <v>11417</v>
      </c>
      <c r="E45" s="5">
        <v>20579</v>
      </c>
      <c r="F45" s="5">
        <v>25853</v>
      </c>
      <c r="G45" s="5">
        <v>23907</v>
      </c>
      <c r="H45" s="5">
        <v>22832</v>
      </c>
      <c r="I45" s="5">
        <v>30972</v>
      </c>
      <c r="J45" s="5">
        <v>42843</v>
      </c>
      <c r="K45" s="5">
        <v>67552</v>
      </c>
      <c r="L45" s="5">
        <v>60010</v>
      </c>
      <c r="M45" s="5">
        <v>69495</v>
      </c>
      <c r="N45" s="5">
        <v>72764</v>
      </c>
      <c r="O45" s="5">
        <v>73266</v>
      </c>
      <c r="P45" s="5">
        <v>20997.9335798816</v>
      </c>
      <c r="Q45" s="5">
        <v>15121.6248690842</v>
      </c>
      <c r="R45" s="5">
        <v>53331.293484717</v>
      </c>
      <c r="S45" s="5">
        <v>109926.210976645</v>
      </c>
      <c r="T45" s="5">
        <v>168272.550115726</v>
      </c>
    </row>
    <row r="46" ht="15" customHeight="1" spans="1:20">
      <c r="A46" s="108" t="s">
        <v>42</v>
      </c>
      <c r="B46" s="109" t="s">
        <v>33</v>
      </c>
      <c r="C46" s="5">
        <v>0</v>
      </c>
      <c r="D46" s="5">
        <v>0</v>
      </c>
      <c r="E46" s="5">
        <v>1780</v>
      </c>
      <c r="F46" s="5">
        <v>3693</v>
      </c>
      <c r="G46" s="5">
        <v>4846</v>
      </c>
      <c r="H46" s="5">
        <v>9075</v>
      </c>
      <c r="I46" s="5">
        <v>18396</v>
      </c>
      <c r="J46" s="5">
        <v>31149</v>
      </c>
      <c r="K46" s="5">
        <v>50274</v>
      </c>
      <c r="L46" s="5">
        <v>59296</v>
      </c>
      <c r="M46" s="5">
        <v>61504</v>
      </c>
      <c r="N46" s="5">
        <v>62222</v>
      </c>
      <c r="O46" s="5">
        <v>45709</v>
      </c>
      <c r="P46" s="5">
        <v>27809.9757699993</v>
      </c>
      <c r="Q46" s="5">
        <v>30646.1753163076</v>
      </c>
      <c r="R46" s="5">
        <v>24783.9108771215</v>
      </c>
      <c r="S46" s="5">
        <v>35079.2997523937</v>
      </c>
      <c r="T46" s="5">
        <v>56980.3267604194</v>
      </c>
    </row>
    <row r="47" ht="15" customHeight="1" spans="1:20">
      <c r="A47" s="108" t="s">
        <v>42</v>
      </c>
      <c r="B47" s="110" t="s">
        <v>43</v>
      </c>
      <c r="C47" s="71"/>
      <c r="D47" s="71"/>
      <c r="E47" s="71"/>
      <c r="F47" s="71"/>
      <c r="G47" s="18">
        <v>4056</v>
      </c>
      <c r="H47" s="18">
        <v>5838</v>
      </c>
      <c r="I47" s="18">
        <v>8918</v>
      </c>
      <c r="J47" s="18">
        <v>13059</v>
      </c>
      <c r="K47" s="18">
        <v>19206</v>
      </c>
      <c r="L47" s="18">
        <v>26280</v>
      </c>
      <c r="M47" s="18">
        <v>33088</v>
      </c>
      <c r="N47" s="18">
        <v>43229</v>
      </c>
      <c r="O47" s="18">
        <v>58705</v>
      </c>
      <c r="P47" s="18">
        <v>99085.93</v>
      </c>
      <c r="Q47" s="18">
        <v>157303.91</v>
      </c>
      <c r="R47" s="18">
        <v>220225.47</v>
      </c>
      <c r="S47" s="18">
        <v>286293.12</v>
      </c>
      <c r="T47" s="18">
        <v>343551.74</v>
      </c>
    </row>
    <row r="48" ht="15" customHeight="1" spans="1:20">
      <c r="A48" s="108" t="s">
        <v>42</v>
      </c>
      <c r="B48" s="110" t="s">
        <v>44</v>
      </c>
      <c r="C48" s="71"/>
      <c r="D48" s="71"/>
      <c r="E48" s="71"/>
      <c r="F48" s="71"/>
      <c r="G48" s="18">
        <v>69811</v>
      </c>
      <c r="H48" s="18">
        <v>85296</v>
      </c>
      <c r="I48" s="18">
        <v>98115</v>
      </c>
      <c r="J48" s="18">
        <v>104062</v>
      </c>
      <c r="K48" s="18">
        <v>148951</v>
      </c>
      <c r="L48" s="18">
        <v>162450</v>
      </c>
      <c r="M48" s="18">
        <v>175033</v>
      </c>
      <c r="N48" s="18">
        <v>198084</v>
      </c>
      <c r="O48" s="18">
        <v>224532</v>
      </c>
      <c r="P48" s="18">
        <v>258723.55</v>
      </c>
      <c r="Q48" s="18">
        <v>291360.5</v>
      </c>
      <c r="R48" s="18">
        <v>324483.39</v>
      </c>
      <c r="S48" s="18">
        <v>358139.29</v>
      </c>
      <c r="T48" s="18">
        <v>392613.71</v>
      </c>
    </row>
    <row r="49" ht="15" customHeight="1" spans="1:20">
      <c r="A49" s="108" t="s">
        <v>42</v>
      </c>
      <c r="B49" s="110" t="s">
        <v>45</v>
      </c>
      <c r="C49" s="71"/>
      <c r="D49" s="71"/>
      <c r="E49" s="71"/>
      <c r="F49" s="71"/>
      <c r="G49" s="18">
        <v>8150</v>
      </c>
      <c r="H49" s="18">
        <v>11115</v>
      </c>
      <c r="I49" s="18">
        <v>15149</v>
      </c>
      <c r="J49" s="18">
        <v>19772</v>
      </c>
      <c r="K49" s="18">
        <v>28845</v>
      </c>
      <c r="L49" s="18">
        <v>29243</v>
      </c>
      <c r="M49" s="18">
        <v>31510</v>
      </c>
      <c r="N49" s="18">
        <v>36147</v>
      </c>
      <c r="O49" s="18">
        <v>40367</v>
      </c>
      <c r="P49" s="18">
        <v>43997.73</v>
      </c>
      <c r="Q49" s="18">
        <v>49277.45</v>
      </c>
      <c r="R49" s="18">
        <v>54574.78</v>
      </c>
      <c r="S49" s="18">
        <v>59759.38</v>
      </c>
      <c r="T49" s="18">
        <v>64838.93</v>
      </c>
    </row>
    <row r="50" ht="15" customHeight="1" spans="1:20">
      <c r="A50" s="108" t="s">
        <v>42</v>
      </c>
      <c r="B50" s="110" t="s">
        <v>46</v>
      </c>
      <c r="C50" s="71"/>
      <c r="D50" s="71"/>
      <c r="E50" s="71"/>
      <c r="F50" s="71"/>
      <c r="G50" s="71"/>
      <c r="H50" s="18">
        <v>-4348</v>
      </c>
      <c r="I50" s="18">
        <v>-4645</v>
      </c>
      <c r="J50" s="18">
        <v>-5607</v>
      </c>
      <c r="K50" s="18">
        <v>-2282</v>
      </c>
      <c r="L50" s="18">
        <v>-1922</v>
      </c>
      <c r="M50" s="18">
        <v>1716</v>
      </c>
      <c r="N50" s="18">
        <v>6112</v>
      </c>
      <c r="O50" s="18">
        <v>13910</v>
      </c>
      <c r="P50" s="18">
        <v>32420.97</v>
      </c>
      <c r="Q50" s="18">
        <v>57771.82</v>
      </c>
      <c r="R50" s="18">
        <v>85285.05</v>
      </c>
      <c r="S50" s="18">
        <v>113733.5</v>
      </c>
      <c r="T50" s="18">
        <v>138713.29</v>
      </c>
    </row>
    <row r="52" ht="15" customHeight="1" spans="1:1">
      <c r="A52" s="115" t="s">
        <v>47</v>
      </c>
    </row>
    <row r="53" ht="15" customHeight="1" spans="1:20">
      <c r="A53" s="108" t="s">
        <v>48</v>
      </c>
      <c r="B53" s="109" t="s">
        <v>23</v>
      </c>
      <c r="C53" s="5">
        <v>7872</v>
      </c>
      <c r="D53" s="5">
        <v>12466</v>
      </c>
      <c r="E53" s="5">
        <v>17928</v>
      </c>
      <c r="F53" s="5">
        <v>27638</v>
      </c>
      <c r="G53" s="5">
        <v>40653</v>
      </c>
      <c r="H53" s="5">
        <v>55838</v>
      </c>
      <c r="I53" s="5">
        <v>70196</v>
      </c>
      <c r="J53" s="5">
        <v>84826</v>
      </c>
      <c r="K53" s="5">
        <v>115655</v>
      </c>
      <c r="L53" s="5">
        <v>114450</v>
      </c>
      <c r="M53" s="5">
        <v>133006</v>
      </c>
      <c r="N53" s="5">
        <v>162355</v>
      </c>
      <c r="O53" s="5">
        <v>198759</v>
      </c>
      <c r="P53" s="5">
        <v>249809.411372193</v>
      </c>
      <c r="Q53" s="5">
        <v>297686.364278316</v>
      </c>
      <c r="R53" s="5">
        <v>348303.465454697</v>
      </c>
      <c r="S53" s="5">
        <v>397616.697876779</v>
      </c>
      <c r="T53" s="5">
        <v>448874.017826186</v>
      </c>
    </row>
    <row r="54" ht="15" customHeight="1" spans="1:20">
      <c r="A54" s="108" t="s">
        <v>48</v>
      </c>
      <c r="B54" s="109" t="s">
        <v>24</v>
      </c>
      <c r="C54" s="5">
        <v>2804</v>
      </c>
      <c r="D54" s="5">
        <v>4994</v>
      </c>
      <c r="E54" s="5">
        <v>6225</v>
      </c>
      <c r="F54" s="5">
        <v>12427</v>
      </c>
      <c r="G54" s="5">
        <v>20203</v>
      </c>
      <c r="H54" s="5">
        <v>24913</v>
      </c>
      <c r="I54" s="5">
        <v>23986</v>
      </c>
      <c r="J54" s="5">
        <v>32671</v>
      </c>
      <c r="K54" s="5">
        <v>46753</v>
      </c>
      <c r="L54" s="5">
        <v>28944</v>
      </c>
      <c r="M54" s="5">
        <v>46751</v>
      </c>
      <c r="N54" s="5">
        <v>69380</v>
      </c>
      <c r="O54" s="5">
        <v>83276</v>
      </c>
      <c r="P54" s="5">
        <v>87872.3104133236</v>
      </c>
      <c r="Q54" s="5">
        <v>102309.196371639</v>
      </c>
      <c r="R54" s="5">
        <v>119899.683825587</v>
      </c>
      <c r="S54" s="5">
        <v>139513.214621937</v>
      </c>
      <c r="T54" s="5">
        <v>162052.129491497</v>
      </c>
    </row>
    <row r="55" ht="15" customHeight="1" spans="1:20">
      <c r="A55" s="108" t="s">
        <v>48</v>
      </c>
      <c r="B55" s="109" t="s">
        <v>25</v>
      </c>
      <c r="C55" s="5">
        <v>1491</v>
      </c>
      <c r="D55" s="5">
        <v>2925</v>
      </c>
      <c r="E55" s="5">
        <v>3669</v>
      </c>
      <c r="F55" s="5">
        <v>10188</v>
      </c>
      <c r="G55" s="5">
        <v>18190</v>
      </c>
      <c r="H55" s="5">
        <v>22112</v>
      </c>
      <c r="I55" s="5">
        <v>18485</v>
      </c>
      <c r="J55" s="5">
        <v>29146</v>
      </c>
      <c r="K55" s="5">
        <v>39370</v>
      </c>
      <c r="L55" s="5">
        <v>23200</v>
      </c>
      <c r="M55" s="5">
        <v>39098</v>
      </c>
      <c r="N55" s="5">
        <v>62360</v>
      </c>
      <c r="O55" s="5">
        <v>60458</v>
      </c>
      <c r="P55" s="5">
        <v>83760.9672131148</v>
      </c>
      <c r="Q55" s="5">
        <v>89664.3103448276</v>
      </c>
      <c r="R55" s="5">
        <v>105343.361111111</v>
      </c>
      <c r="S55" s="5">
        <v>126034.55</v>
      </c>
      <c r="T55" s="5">
        <v>146055.1</v>
      </c>
    </row>
    <row r="56" ht="15" customHeight="1" spans="1:20">
      <c r="A56" s="108" t="s">
        <v>48</v>
      </c>
      <c r="B56" s="110" t="s">
        <v>26</v>
      </c>
      <c r="C56" s="111">
        <v>0.6</v>
      </c>
      <c r="D56" s="111">
        <v>1.1</v>
      </c>
      <c r="E56" s="111">
        <v>1.29</v>
      </c>
      <c r="F56" s="111">
        <v>3.49</v>
      </c>
      <c r="G56" s="111">
        <v>6.16</v>
      </c>
      <c r="H56" s="111">
        <v>7.57</v>
      </c>
      <c r="I56" s="111">
        <v>8.56</v>
      </c>
      <c r="J56" s="111">
        <v>9.78</v>
      </c>
      <c r="K56" s="111">
        <v>13.77</v>
      </c>
      <c r="L56" s="111">
        <v>8.59</v>
      </c>
      <c r="M56" s="111">
        <v>14.87</v>
      </c>
      <c r="N56" s="111">
        <v>23.86</v>
      </c>
      <c r="O56" s="111">
        <v>23.49</v>
      </c>
      <c r="P56" s="111">
        <v>32.2001612903226</v>
      </c>
      <c r="Q56" s="111">
        <v>34.9040677966102</v>
      </c>
      <c r="R56" s="111">
        <v>40.4991666666667</v>
      </c>
      <c r="S56" s="111">
        <v>48.6235294117647</v>
      </c>
      <c r="T56" s="111">
        <v>56.996875</v>
      </c>
    </row>
    <row r="57" ht="15" customHeight="1" spans="1:20">
      <c r="A57" s="108" t="s">
        <v>48</v>
      </c>
      <c r="B57" s="109" t="s">
        <v>27</v>
      </c>
      <c r="C57" s="5">
        <v>2517</v>
      </c>
      <c r="D57" s="5">
        <v>2664</v>
      </c>
      <c r="E57" s="5">
        <v>2853</v>
      </c>
      <c r="F57" s="5">
        <v>2925</v>
      </c>
      <c r="G57" s="5">
        <v>2956</v>
      </c>
      <c r="H57" s="5">
        <v>2921</v>
      </c>
      <c r="I57" s="5">
        <v>2876</v>
      </c>
      <c r="J57" s="5">
        <v>2888</v>
      </c>
      <c r="K57" s="5">
        <v>2859</v>
      </c>
      <c r="L57" s="5">
        <v>2702</v>
      </c>
      <c r="M57" s="5">
        <v>2629</v>
      </c>
      <c r="N57" s="5">
        <v>2614</v>
      </c>
      <c r="O57" s="5">
        <v>2574</v>
      </c>
      <c r="P57" s="5">
        <v>2561.93273191366</v>
      </c>
      <c r="Q57" s="5">
        <v>2567.2625368922</v>
      </c>
      <c r="R57" s="5">
        <v>2587.27665605784</v>
      </c>
      <c r="S57" s="5">
        <v>2607.03902201142</v>
      </c>
      <c r="T57" s="5">
        <v>2611.42384003646</v>
      </c>
    </row>
    <row r="58" ht="15" customHeight="1" spans="1:20">
      <c r="A58" s="108" t="s">
        <v>48</v>
      </c>
      <c r="B58" s="110" t="s">
        <v>28</v>
      </c>
      <c r="C58" s="18">
        <v>-906</v>
      </c>
      <c r="D58" s="18">
        <v>-1837</v>
      </c>
      <c r="E58" s="18">
        <v>-2969</v>
      </c>
      <c r="F58" s="18">
        <v>-3202</v>
      </c>
      <c r="G58" s="18">
        <v>-3723</v>
      </c>
      <c r="H58" s="18">
        <v>-4152</v>
      </c>
      <c r="I58" s="18">
        <v>-4835</v>
      </c>
      <c r="J58" s="18">
        <v>-6536</v>
      </c>
      <c r="K58" s="18">
        <v>-9163</v>
      </c>
      <c r="L58" s="18">
        <v>-11991</v>
      </c>
      <c r="M58" s="18">
        <v>-14027</v>
      </c>
      <c r="N58" s="18">
        <v>-16690</v>
      </c>
      <c r="O58" s="18">
        <v>-20426</v>
      </c>
      <c r="P58" s="18">
        <v>-23722.2</v>
      </c>
      <c r="Q58" s="18">
        <v>-24908.31</v>
      </c>
      <c r="R58" s="18">
        <v>-26153.73</v>
      </c>
      <c r="S58" s="18">
        <v>-27461.41</v>
      </c>
      <c r="T58" s="18">
        <v>-28834.48</v>
      </c>
    </row>
    <row r="59" ht="15" customHeight="1" spans="1:20">
      <c r="A59" s="108" t="s">
        <v>48</v>
      </c>
      <c r="B59" s="110" t="s">
        <v>29</v>
      </c>
      <c r="C59" s="5">
        <v>1011</v>
      </c>
      <c r="D59" s="5">
        <v>1243</v>
      </c>
      <c r="E59" s="5">
        <v>1945</v>
      </c>
      <c r="F59" s="5">
        <v>2342</v>
      </c>
      <c r="G59" s="5">
        <v>3025</v>
      </c>
      <c r="H59" s="5">
        <v>4315</v>
      </c>
      <c r="I59" s="5">
        <v>5741</v>
      </c>
      <c r="J59" s="5">
        <v>6862</v>
      </c>
      <c r="K59" s="5">
        <v>7967</v>
      </c>
      <c r="L59" s="5">
        <v>8686</v>
      </c>
      <c r="M59" s="5">
        <v>11178</v>
      </c>
      <c r="N59" s="5">
        <v>15498</v>
      </c>
      <c r="O59" s="5">
        <v>18616</v>
      </c>
      <c r="P59" s="5">
        <v>29596.5475823982</v>
      </c>
      <c r="Q59" s="5">
        <v>43105.4763900207</v>
      </c>
      <c r="R59" s="5">
        <v>57217.3678719479</v>
      </c>
      <c r="S59" s="5">
        <v>74363.3760173666</v>
      </c>
      <c r="T59" s="5">
        <v>87724.3650531103</v>
      </c>
    </row>
    <row r="60" ht="15" customHeight="1" spans="1:20">
      <c r="A60" s="108" t="s">
        <v>48</v>
      </c>
      <c r="B60" s="110" t="s">
        <v>30</v>
      </c>
      <c r="C60" s="5">
        <v>1362</v>
      </c>
      <c r="D60" s="5">
        <v>1831</v>
      </c>
      <c r="E60" s="5">
        <v>2523</v>
      </c>
      <c r="F60" s="5">
        <v>4491</v>
      </c>
      <c r="G60" s="5">
        <v>6733</v>
      </c>
      <c r="H60" s="5">
        <v>13915</v>
      </c>
      <c r="I60" s="5">
        <v>15102</v>
      </c>
      <c r="J60" s="5">
        <v>15163</v>
      </c>
      <c r="K60" s="5">
        <v>18690</v>
      </c>
      <c r="L60" s="5">
        <v>31431</v>
      </c>
      <c r="M60" s="5">
        <v>27266</v>
      </c>
      <c r="N60" s="5">
        <v>37256</v>
      </c>
      <c r="O60" s="5">
        <v>69691</v>
      </c>
      <c r="P60" s="5">
        <v>134391.333333333</v>
      </c>
      <c r="Q60" s="5">
        <v>159343.622222222</v>
      </c>
      <c r="R60" s="5">
        <v>171564.878787879</v>
      </c>
      <c r="S60" s="5">
        <v>174481.583333333</v>
      </c>
      <c r="T60" s="5">
        <v>180526.347826087</v>
      </c>
    </row>
    <row r="61" ht="15" customHeight="1" spans="1:20">
      <c r="A61" s="108" t="s">
        <v>48</v>
      </c>
      <c r="B61" s="110" t="s">
        <v>31</v>
      </c>
      <c r="C61" s="5">
        <v>4222</v>
      </c>
      <c r="D61" s="5">
        <v>5457</v>
      </c>
      <c r="E61" s="5">
        <v>8599</v>
      </c>
      <c r="F61" s="5">
        <v>16108</v>
      </c>
      <c r="G61" s="5">
        <v>24216</v>
      </c>
      <c r="H61" s="5">
        <v>29274</v>
      </c>
      <c r="I61" s="5">
        <v>36314</v>
      </c>
      <c r="J61" s="5">
        <v>38747</v>
      </c>
      <c r="K61" s="5">
        <v>57683</v>
      </c>
      <c r="L61" s="5">
        <v>50475</v>
      </c>
      <c r="M61" s="5">
        <v>71113</v>
      </c>
      <c r="N61" s="5">
        <v>91328</v>
      </c>
      <c r="O61" s="5">
        <v>115800</v>
      </c>
      <c r="P61" s="5">
        <v>139861.260560282</v>
      </c>
      <c r="Q61" s="5">
        <v>175575.987849327</v>
      </c>
      <c r="R61" s="5">
        <v>206809.144037651</v>
      </c>
      <c r="S61" s="5">
        <v>243218.684499603</v>
      </c>
      <c r="T61" s="5">
        <v>283498.223377252</v>
      </c>
    </row>
    <row r="62" ht="15" customHeight="1" spans="1:20">
      <c r="A62" s="108" t="s">
        <v>48</v>
      </c>
      <c r="B62" s="110" t="s">
        <v>32</v>
      </c>
      <c r="C62" s="5">
        <v>2849</v>
      </c>
      <c r="D62" s="5">
        <v>3626</v>
      </c>
      <c r="E62" s="5">
        <v>6076</v>
      </c>
      <c r="F62" s="5">
        <v>11617</v>
      </c>
      <c r="G62" s="5">
        <v>17483</v>
      </c>
      <c r="H62" s="5">
        <v>15359</v>
      </c>
      <c r="I62" s="5">
        <v>21212</v>
      </c>
      <c r="J62" s="5">
        <v>23584</v>
      </c>
      <c r="K62" s="5">
        <v>38993</v>
      </c>
      <c r="L62" s="5">
        <v>19044</v>
      </c>
      <c r="M62" s="5">
        <v>43847</v>
      </c>
      <c r="N62" s="5">
        <v>54072</v>
      </c>
      <c r="O62" s="5">
        <v>46109</v>
      </c>
      <c r="P62" s="5">
        <v>2449.05867389061</v>
      </c>
      <c r="Q62" s="5">
        <v>4328.2402292081</v>
      </c>
      <c r="R62" s="5">
        <v>28847.7751879652</v>
      </c>
      <c r="S62" s="5">
        <v>69327.7866780687</v>
      </c>
      <c r="T62" s="5">
        <v>98032.8517349574</v>
      </c>
    </row>
    <row r="63" ht="15" customHeight="1" spans="1:20">
      <c r="A63" s="108" t="s">
        <v>48</v>
      </c>
      <c r="B63" s="109" t="s">
        <v>33</v>
      </c>
      <c r="C63" s="5">
        <v>0</v>
      </c>
      <c r="D63" s="5">
        <v>0</v>
      </c>
      <c r="E63" s="5">
        <v>0</v>
      </c>
      <c r="F63" s="5">
        <v>0</v>
      </c>
      <c r="G63" s="5">
        <v>5222</v>
      </c>
      <c r="H63" s="5">
        <v>16087</v>
      </c>
      <c r="I63" s="5">
        <v>6539</v>
      </c>
      <c r="J63" s="5">
        <v>9836</v>
      </c>
      <c r="K63" s="5">
        <v>50052</v>
      </c>
      <c r="L63" s="5">
        <v>31551</v>
      </c>
      <c r="M63" s="5">
        <v>26786</v>
      </c>
      <c r="N63" s="5">
        <v>43895</v>
      </c>
      <c r="O63" s="5">
        <v>44648</v>
      </c>
      <c r="P63" s="18">
        <v>0</v>
      </c>
      <c r="Q63" s="18">
        <v>6000</v>
      </c>
      <c r="R63" s="18">
        <v>6000</v>
      </c>
      <c r="S63" s="18">
        <v>6000</v>
      </c>
      <c r="T63" s="18">
        <v>6000</v>
      </c>
    </row>
    <row r="64" ht="15" customHeight="1" spans="1:20">
      <c r="A64" s="108" t="s">
        <v>48</v>
      </c>
      <c r="B64" s="110" t="s">
        <v>49</v>
      </c>
      <c r="C64" s="18">
        <v>6986</v>
      </c>
      <c r="D64" s="18">
        <v>11492</v>
      </c>
      <c r="E64" s="18">
        <v>17080</v>
      </c>
      <c r="F64" s="18">
        <v>26885</v>
      </c>
      <c r="G64" s="18">
        <v>39942</v>
      </c>
      <c r="H64" s="18">
        <v>55012</v>
      </c>
      <c r="I64" s="18">
        <v>69654.5</v>
      </c>
      <c r="J64" s="18">
        <v>84169</v>
      </c>
      <c r="K64" s="18">
        <v>114934</v>
      </c>
      <c r="L64" s="18">
        <v>113641</v>
      </c>
      <c r="M64" s="18">
        <v>131948</v>
      </c>
      <c r="N64" s="18">
        <v>160632</v>
      </c>
      <c r="O64" s="18">
        <v>196174</v>
      </c>
      <c r="P64" s="18">
        <v>248664.66</v>
      </c>
      <c r="Q64" s="18">
        <v>298597.44</v>
      </c>
      <c r="R64" s="18">
        <v>348271.65</v>
      </c>
      <c r="S64" s="18">
        <v>397194.59</v>
      </c>
      <c r="T64" s="18">
        <v>444912.31</v>
      </c>
    </row>
    <row r="65" ht="15" customHeight="1" spans="1:20">
      <c r="A65" s="108" t="s">
        <v>48</v>
      </c>
      <c r="B65" s="110" t="s">
        <v>50</v>
      </c>
      <c r="C65" s="71"/>
      <c r="D65" s="71"/>
      <c r="E65" s="71"/>
      <c r="F65" s="71"/>
      <c r="G65" s="71"/>
      <c r="H65" s="71"/>
      <c r="I65" s="18">
        <v>70196</v>
      </c>
      <c r="J65" s="18">
        <v>84826</v>
      </c>
      <c r="K65" s="18">
        <v>115655</v>
      </c>
      <c r="L65" s="18">
        <v>114450</v>
      </c>
      <c r="M65" s="18">
        <v>133005</v>
      </c>
      <c r="N65" s="18">
        <v>162354</v>
      </c>
      <c r="O65" s="18">
        <v>198758</v>
      </c>
      <c r="P65" s="18">
        <v>252529.81</v>
      </c>
      <c r="Q65" s="18">
        <v>303235.62</v>
      </c>
      <c r="R65" s="18">
        <v>353605.56</v>
      </c>
      <c r="S65" s="18">
        <v>403061.89</v>
      </c>
      <c r="T65" s="18">
        <v>451366.33</v>
      </c>
    </row>
    <row r="66" ht="15" customHeight="1" spans="1:20">
      <c r="A66" s="108" t="s">
        <v>48</v>
      </c>
      <c r="B66" s="110" t="s">
        <v>51</v>
      </c>
      <c r="C66" s="71"/>
      <c r="D66" s="71"/>
      <c r="E66" s="71"/>
      <c r="F66" s="71"/>
      <c r="G66" s="71"/>
      <c r="H66" s="71"/>
      <c r="I66" s="18">
        <v>28489</v>
      </c>
      <c r="J66" s="18">
        <v>39294</v>
      </c>
      <c r="K66" s="18">
        <v>56947</v>
      </c>
      <c r="L66" s="18">
        <v>42662</v>
      </c>
      <c r="M66" s="18">
        <v>62870</v>
      </c>
      <c r="N66" s="18">
        <v>87109</v>
      </c>
      <c r="O66" s="18">
        <v>102469</v>
      </c>
      <c r="P66" s="18">
        <v>109500.79</v>
      </c>
      <c r="Q66" s="18">
        <v>122498.06</v>
      </c>
      <c r="R66" s="18">
        <v>135570.51</v>
      </c>
      <c r="S66" s="18">
        <v>147823.31</v>
      </c>
      <c r="T66" s="18">
        <v>158299.25</v>
      </c>
    </row>
    <row r="67" ht="15" customHeight="1" spans="1:20">
      <c r="A67" s="108" t="s">
        <v>48</v>
      </c>
      <c r="B67" s="110" t="s">
        <v>52</v>
      </c>
      <c r="C67" s="71"/>
      <c r="D67" s="71"/>
      <c r="E67" s="71"/>
      <c r="F67" s="71"/>
      <c r="G67" s="71"/>
      <c r="H67" s="71"/>
      <c r="I67" s="18">
        <v>501</v>
      </c>
      <c r="J67" s="18">
        <v>1139</v>
      </c>
      <c r="K67" s="18">
        <v>2274</v>
      </c>
      <c r="L67" s="18">
        <v>2159</v>
      </c>
      <c r="M67" s="18">
        <v>1896</v>
      </c>
      <c r="N67" s="18">
        <v>2146</v>
      </c>
      <c r="O67" s="18">
        <v>2207</v>
      </c>
      <c r="P67" s="18">
        <v>2645.75</v>
      </c>
      <c r="Q67" s="18">
        <v>3174.9</v>
      </c>
      <c r="R67" s="18">
        <v>3730.51</v>
      </c>
      <c r="S67" s="18">
        <v>4290.08</v>
      </c>
      <c r="T67" s="18">
        <v>4826.34</v>
      </c>
    </row>
    <row r="68" ht="15" customHeight="1" spans="1:20">
      <c r="A68" s="108" t="s">
        <v>48</v>
      </c>
      <c r="B68" s="110" t="s">
        <v>53</v>
      </c>
      <c r="C68" s="71"/>
      <c r="D68" s="71"/>
      <c r="E68" s="71"/>
      <c r="F68" s="71"/>
      <c r="G68" s="71"/>
      <c r="H68" s="71"/>
      <c r="I68" s="18">
        <v>-4503</v>
      </c>
      <c r="J68" s="18">
        <v>-6623</v>
      </c>
      <c r="K68" s="18">
        <v>-10194</v>
      </c>
      <c r="L68" s="18">
        <v>-13717</v>
      </c>
      <c r="M68" s="18">
        <v>-16119</v>
      </c>
      <c r="N68" s="18">
        <v>-17729</v>
      </c>
      <c r="O68" s="18">
        <v>-19193</v>
      </c>
      <c r="P68" s="18">
        <v>-19011</v>
      </c>
      <c r="Q68" s="18">
        <v>-18060.45</v>
      </c>
      <c r="R68" s="18">
        <v>-17157.43</v>
      </c>
      <c r="S68" s="18">
        <v>-16299.56</v>
      </c>
      <c r="T68" s="18">
        <v>-15484.58</v>
      </c>
    </row>
    <row r="70" ht="15" customHeight="1" spans="1:1">
      <c r="A70" s="116" t="s">
        <v>54</v>
      </c>
    </row>
    <row r="71" ht="15" customHeight="1" spans="1:20">
      <c r="A71" s="108" t="s">
        <v>55</v>
      </c>
      <c r="B71" s="109" t="s">
        <v>23</v>
      </c>
      <c r="C71" s="5">
        <v>37180</v>
      </c>
      <c r="D71" s="5">
        <v>38275</v>
      </c>
      <c r="E71" s="5">
        <v>38226</v>
      </c>
      <c r="F71" s="5">
        <v>37047</v>
      </c>
      <c r="G71" s="5">
        <v>37728</v>
      </c>
      <c r="H71" s="5">
        <v>39383</v>
      </c>
      <c r="I71" s="5">
        <v>39506</v>
      </c>
      <c r="J71" s="5">
        <v>39068</v>
      </c>
      <c r="K71" s="5">
        <v>40479</v>
      </c>
      <c r="L71" s="5">
        <v>42440</v>
      </c>
      <c r="M71" s="5">
        <v>49954</v>
      </c>
      <c r="N71" s="5">
        <v>52961</v>
      </c>
      <c r="O71" s="5">
        <v>57399</v>
      </c>
      <c r="P71" s="5">
        <v>67004.1763376629</v>
      </c>
      <c r="Q71" s="5">
        <v>87762.5174380165</v>
      </c>
      <c r="R71" s="5">
        <v>131114.655649142</v>
      </c>
      <c r="S71" s="5">
        <v>184457.800035541</v>
      </c>
      <c r="T71" s="5">
        <v>223941.182821562</v>
      </c>
    </row>
    <row r="72" ht="15" customHeight="1" spans="1:20">
      <c r="A72" s="108" t="s">
        <v>55</v>
      </c>
      <c r="B72" s="109" t="s">
        <v>24</v>
      </c>
      <c r="C72" s="18">
        <v>14684</v>
      </c>
      <c r="D72" s="18">
        <v>14758</v>
      </c>
      <c r="E72" s="18">
        <v>13870</v>
      </c>
      <c r="F72" s="18">
        <v>12604</v>
      </c>
      <c r="G72" s="18">
        <v>12710</v>
      </c>
      <c r="H72" s="18">
        <v>13264</v>
      </c>
      <c r="I72" s="18">
        <v>13535</v>
      </c>
      <c r="J72" s="18">
        <v>13897</v>
      </c>
      <c r="K72" s="18">
        <v>15214</v>
      </c>
      <c r="L72" s="18">
        <v>10927</v>
      </c>
      <c r="M72" s="18">
        <v>13094</v>
      </c>
      <c r="N72" s="18">
        <v>15354</v>
      </c>
      <c r="O72" s="18">
        <v>17678</v>
      </c>
      <c r="P72" s="18">
        <v>19462.44</v>
      </c>
      <c r="Q72" s="18">
        <v>21128.19</v>
      </c>
      <c r="R72" s="18">
        <v>36930.86</v>
      </c>
      <c r="S72" s="18">
        <v>53057.71</v>
      </c>
      <c r="T72" s="18">
        <v>57952.82</v>
      </c>
    </row>
    <row r="73" ht="15" customHeight="1" spans="1:20">
      <c r="A73" s="108" t="s">
        <v>55</v>
      </c>
      <c r="B73" s="109" t="s">
        <v>25</v>
      </c>
      <c r="C73" s="18">
        <v>10926</v>
      </c>
      <c r="D73" s="5">
        <v>10955</v>
      </c>
      <c r="E73" s="5">
        <v>9938</v>
      </c>
      <c r="F73" s="5">
        <v>8901</v>
      </c>
      <c r="G73" s="5">
        <v>9335</v>
      </c>
      <c r="H73" s="5">
        <v>3825</v>
      </c>
      <c r="I73" s="5">
        <v>11083</v>
      </c>
      <c r="J73" s="5">
        <v>10135</v>
      </c>
      <c r="K73" s="5">
        <v>13746</v>
      </c>
      <c r="L73" s="5">
        <v>6717</v>
      </c>
      <c r="M73" s="5">
        <v>8503</v>
      </c>
      <c r="N73" s="5">
        <v>10467</v>
      </c>
      <c r="O73" s="5">
        <v>12443</v>
      </c>
      <c r="P73" s="5">
        <v>17201.0588235294</v>
      </c>
      <c r="Q73" s="5">
        <v>18923.5882352941</v>
      </c>
      <c r="R73" s="5">
        <v>26746.3448275862</v>
      </c>
      <c r="S73" s="5">
        <v>39545.8125</v>
      </c>
      <c r="T73" s="5">
        <v>51960.2666666667</v>
      </c>
    </row>
    <row r="74" ht="15" customHeight="1" spans="1:20">
      <c r="A74" s="108" t="s">
        <v>55</v>
      </c>
      <c r="B74" s="110" t="s">
        <v>26</v>
      </c>
      <c r="C74" s="117">
        <v>2.26</v>
      </c>
      <c r="D74" s="111">
        <v>2.38</v>
      </c>
      <c r="E74" s="111">
        <v>2.21</v>
      </c>
      <c r="F74" s="111">
        <v>2.07</v>
      </c>
      <c r="G74" s="111">
        <v>2.21</v>
      </c>
      <c r="H74" s="111">
        <v>0.9</v>
      </c>
      <c r="I74" s="111">
        <v>2.97</v>
      </c>
      <c r="J74" s="111">
        <v>3.08</v>
      </c>
      <c r="K74" s="111">
        <v>4.55</v>
      </c>
      <c r="L74" s="111">
        <v>2.41</v>
      </c>
      <c r="M74" s="111">
        <v>3.07</v>
      </c>
      <c r="N74" s="111">
        <v>3.71</v>
      </c>
      <c r="O74" s="111">
        <v>4.34</v>
      </c>
      <c r="P74" s="111">
        <v>5.84838709677419</v>
      </c>
      <c r="Q74" s="111">
        <v>6.26125</v>
      </c>
      <c r="R74" s="111">
        <v>8.79074074074074</v>
      </c>
      <c r="S74" s="111">
        <v>12.894375</v>
      </c>
      <c r="T74" s="111">
        <v>16.756</v>
      </c>
    </row>
    <row r="75" ht="15" customHeight="1" spans="1:20">
      <c r="A75" s="108" t="s">
        <v>55</v>
      </c>
      <c r="B75" s="109" t="s">
        <v>27</v>
      </c>
      <c r="C75" s="5">
        <v>4844</v>
      </c>
      <c r="D75" s="5">
        <v>4604</v>
      </c>
      <c r="E75" s="5">
        <v>4503</v>
      </c>
      <c r="F75" s="5">
        <v>4305</v>
      </c>
      <c r="G75" s="5">
        <v>4217</v>
      </c>
      <c r="H75" s="5">
        <v>4238</v>
      </c>
      <c r="I75" s="5">
        <v>3732</v>
      </c>
      <c r="J75" s="5">
        <v>3294</v>
      </c>
      <c r="K75" s="5">
        <v>3022</v>
      </c>
      <c r="L75" s="5">
        <v>2786</v>
      </c>
      <c r="M75" s="5">
        <v>2766</v>
      </c>
      <c r="N75" s="5">
        <v>2823</v>
      </c>
      <c r="O75" s="5">
        <v>2866</v>
      </c>
      <c r="P75" s="5">
        <v>2920.24011673071</v>
      </c>
      <c r="Q75" s="5">
        <v>2985.9047528322</v>
      </c>
      <c r="R75" s="5">
        <v>3029.65124901729</v>
      </c>
      <c r="S75" s="5">
        <v>3070.18000642753</v>
      </c>
      <c r="T75" s="5">
        <v>3102.73888167355</v>
      </c>
    </row>
    <row r="76" ht="15" customHeight="1" spans="1:20">
      <c r="A76" s="108" t="s">
        <v>55</v>
      </c>
      <c r="B76" s="110" t="s">
        <v>28</v>
      </c>
      <c r="C76" s="18">
        <v>755</v>
      </c>
      <c r="D76" s="18">
        <v>805</v>
      </c>
      <c r="E76" s="18">
        <v>933</v>
      </c>
      <c r="F76" s="18">
        <v>1037</v>
      </c>
      <c r="G76" s="18">
        <v>1350</v>
      </c>
      <c r="H76" s="18">
        <v>1607</v>
      </c>
      <c r="I76" s="18">
        <v>1653</v>
      </c>
      <c r="J76" s="18">
        <v>1590</v>
      </c>
      <c r="K76" s="18">
        <v>1837</v>
      </c>
      <c r="L76" s="18">
        <v>2613</v>
      </c>
      <c r="M76" s="18">
        <v>3547</v>
      </c>
      <c r="N76" s="18">
        <v>3974</v>
      </c>
      <c r="O76" s="18">
        <v>4674</v>
      </c>
      <c r="P76" s="18">
        <v>5069.6</v>
      </c>
      <c r="Q76" s="18">
        <v>6473.15</v>
      </c>
      <c r="R76" s="18">
        <v>8609.75</v>
      </c>
      <c r="S76" s="18">
        <v>10649.61</v>
      </c>
      <c r="T76" s="18">
        <v>11212.32</v>
      </c>
    </row>
    <row r="77" ht="15" customHeight="1" spans="1:20">
      <c r="A77" s="108" t="s">
        <v>55</v>
      </c>
      <c r="B77" s="110" t="s">
        <v>29</v>
      </c>
      <c r="C77" s="5">
        <v>2931</v>
      </c>
      <c r="D77" s="5">
        <v>2908</v>
      </c>
      <c r="E77" s="5">
        <v>2861</v>
      </c>
      <c r="F77" s="5">
        <v>2509</v>
      </c>
      <c r="G77" s="5">
        <v>2451</v>
      </c>
      <c r="H77" s="5">
        <v>2785</v>
      </c>
      <c r="I77" s="5">
        <v>2919</v>
      </c>
      <c r="J77" s="5">
        <v>2968</v>
      </c>
      <c r="K77" s="5">
        <v>2916</v>
      </c>
      <c r="L77" s="5">
        <v>3122</v>
      </c>
      <c r="M77" s="5">
        <v>6108</v>
      </c>
      <c r="N77" s="5">
        <v>6139</v>
      </c>
      <c r="O77" s="5">
        <v>6174</v>
      </c>
      <c r="P77" s="5">
        <v>9142.31704315117</v>
      </c>
      <c r="Q77" s="5">
        <v>13499.8347422464</v>
      </c>
      <c r="R77" s="5">
        <v>21615.5713480528</v>
      </c>
      <c r="S77" s="5">
        <v>30404.7707320922</v>
      </c>
      <c r="T77" s="5">
        <v>37972.1809020151</v>
      </c>
    </row>
    <row r="78" ht="15" customHeight="1" spans="1:20">
      <c r="A78" s="108" t="s">
        <v>55</v>
      </c>
      <c r="B78" s="110" t="s">
        <v>30</v>
      </c>
      <c r="C78" s="5">
        <v>650</v>
      </c>
      <c r="D78" s="5">
        <v>580</v>
      </c>
      <c r="E78" s="5">
        <v>1391</v>
      </c>
      <c r="F78" s="5">
        <v>1189</v>
      </c>
      <c r="G78" s="5">
        <v>2021</v>
      </c>
      <c r="H78" s="5">
        <v>1736</v>
      </c>
      <c r="I78" s="5">
        <v>1660</v>
      </c>
      <c r="J78" s="5">
        <v>1564</v>
      </c>
      <c r="K78" s="5">
        <v>2135</v>
      </c>
      <c r="L78" s="5">
        <v>4511</v>
      </c>
      <c r="M78" s="5">
        <v>8695</v>
      </c>
      <c r="N78" s="5">
        <v>6866</v>
      </c>
      <c r="O78" s="5">
        <v>21215</v>
      </c>
      <c r="P78" s="5">
        <v>50345.5172413793</v>
      </c>
      <c r="Q78" s="5">
        <v>67168.625</v>
      </c>
      <c r="R78" s="5">
        <v>80914.6206896552</v>
      </c>
      <c r="S78" s="5">
        <v>87153.4705882353</v>
      </c>
      <c r="T78" s="5">
        <v>77098.125</v>
      </c>
    </row>
    <row r="79" ht="15" customHeight="1" spans="1:20">
      <c r="A79" s="108" t="s">
        <v>55</v>
      </c>
      <c r="B79" s="110" t="s">
        <v>31</v>
      </c>
      <c r="C79" s="5">
        <v>14224</v>
      </c>
      <c r="D79" s="5">
        <v>14921</v>
      </c>
      <c r="E79" s="5">
        <v>14580</v>
      </c>
      <c r="F79" s="5">
        <v>13685</v>
      </c>
      <c r="G79" s="5">
        <v>14126</v>
      </c>
      <c r="H79" s="5">
        <v>15386</v>
      </c>
      <c r="I79" s="5">
        <v>14551</v>
      </c>
      <c r="J79" s="5">
        <v>13139</v>
      </c>
      <c r="K79" s="5">
        <v>15887</v>
      </c>
      <c r="L79" s="5">
        <v>9539</v>
      </c>
      <c r="M79" s="5">
        <v>17165</v>
      </c>
      <c r="N79" s="5">
        <v>18673</v>
      </c>
      <c r="O79" s="5">
        <v>20821</v>
      </c>
      <c r="P79" s="5">
        <v>26027.1907150627</v>
      </c>
      <c r="Q79" s="5">
        <v>37558.3227656968</v>
      </c>
      <c r="R79" s="5">
        <v>55206.9121223441</v>
      </c>
      <c r="S79" s="5">
        <v>80650.5190896361</v>
      </c>
      <c r="T79" s="5">
        <v>102585.671321506</v>
      </c>
    </row>
    <row r="80" ht="15" customHeight="1" spans="1:20">
      <c r="A80" s="108" t="s">
        <v>55</v>
      </c>
      <c r="B80" s="110" t="s">
        <v>32</v>
      </c>
      <c r="C80" s="5">
        <v>13574</v>
      </c>
      <c r="D80" s="5">
        <v>14341</v>
      </c>
      <c r="E80" s="5">
        <v>13189</v>
      </c>
      <c r="F80" s="5">
        <v>12496</v>
      </c>
      <c r="G80" s="5">
        <v>12105</v>
      </c>
      <c r="H80" s="5">
        <v>13650</v>
      </c>
      <c r="I80" s="5">
        <v>12891</v>
      </c>
      <c r="J80" s="5">
        <v>11575</v>
      </c>
      <c r="K80" s="5">
        <v>13752</v>
      </c>
      <c r="L80" s="5">
        <v>5028</v>
      </c>
      <c r="M80" s="5">
        <v>8470</v>
      </c>
      <c r="N80" s="5">
        <v>11807</v>
      </c>
      <c r="O80" s="5">
        <v>-394</v>
      </c>
      <c r="P80" s="5">
        <v>-23532.4290712205</v>
      </c>
      <c r="Q80" s="5">
        <v>-27416.5322095216</v>
      </c>
      <c r="R80" s="5">
        <v>-26754.5356784166</v>
      </c>
      <c r="S80" s="5">
        <v>-3817.75340906375</v>
      </c>
      <c r="T80" s="5">
        <v>27298.0671129361</v>
      </c>
    </row>
    <row r="81" ht="15" customHeight="1" spans="1:20">
      <c r="A81" s="108" t="s">
        <v>55</v>
      </c>
      <c r="B81" s="109" t="s">
        <v>33</v>
      </c>
      <c r="C81" s="18">
        <v>11021</v>
      </c>
      <c r="D81" s="18">
        <v>9813</v>
      </c>
      <c r="E81" s="18">
        <v>8087</v>
      </c>
      <c r="F81" s="18">
        <v>10440</v>
      </c>
      <c r="G81" s="18">
        <v>3561</v>
      </c>
      <c r="H81" s="18">
        <v>11347</v>
      </c>
      <c r="I81" s="18">
        <v>36140</v>
      </c>
      <c r="J81" s="18">
        <v>19240</v>
      </c>
      <c r="K81" s="18">
        <v>20934</v>
      </c>
      <c r="L81" s="18">
        <v>16248</v>
      </c>
      <c r="M81" s="18">
        <v>1300</v>
      </c>
      <c r="N81" s="18">
        <v>1202</v>
      </c>
      <c r="O81" s="18">
        <v>600</v>
      </c>
      <c r="P81" s="18">
        <v>95</v>
      </c>
      <c r="Q81" s="18">
        <v>0</v>
      </c>
      <c r="R81" s="18">
        <v>0</v>
      </c>
      <c r="S81" s="18">
        <v>0</v>
      </c>
      <c r="T81" s="18">
        <v>0</v>
      </c>
    </row>
    <row r="82" ht="15" customHeight="1" spans="1:20">
      <c r="A82" s="108" t="s">
        <v>55</v>
      </c>
      <c r="B82" s="109" t="s">
        <v>56</v>
      </c>
      <c r="C82" s="5">
        <v>37180</v>
      </c>
      <c r="D82" s="5">
        <v>38275</v>
      </c>
      <c r="E82" s="5">
        <v>38226</v>
      </c>
      <c r="F82" s="5">
        <v>37047</v>
      </c>
      <c r="G82" s="5">
        <v>37728</v>
      </c>
      <c r="H82" s="5">
        <v>39383</v>
      </c>
      <c r="I82" s="5">
        <v>39506</v>
      </c>
      <c r="J82" s="5">
        <v>39068</v>
      </c>
      <c r="K82" s="5">
        <v>40479</v>
      </c>
      <c r="L82" s="5">
        <v>42440</v>
      </c>
      <c r="M82" s="5">
        <v>49954</v>
      </c>
      <c r="N82" s="5">
        <v>52961</v>
      </c>
      <c r="O82" s="5">
        <v>57399</v>
      </c>
      <c r="P82" s="5">
        <v>67004.1763376629</v>
      </c>
      <c r="Q82" s="5">
        <v>87762.5174380165</v>
      </c>
      <c r="R82" s="5">
        <v>131114.655649142</v>
      </c>
      <c r="S82" s="5">
        <v>184457.800035541</v>
      </c>
      <c r="T82" s="5">
        <v>223941.182821562</v>
      </c>
    </row>
    <row r="83" ht="15" customHeight="1" spans="1:20">
      <c r="A83" s="108" t="s">
        <v>55</v>
      </c>
      <c r="B83" s="110" t="s">
        <v>57</v>
      </c>
      <c r="C83" s="71"/>
      <c r="D83" s="71"/>
      <c r="E83" s="71"/>
      <c r="F83" s="71"/>
      <c r="G83" s="71"/>
      <c r="H83" s="71"/>
      <c r="I83" s="71"/>
      <c r="J83" s="71"/>
      <c r="K83" s="71"/>
      <c r="L83" s="18">
        <v>2760.74</v>
      </c>
      <c r="M83" s="18">
        <v>4500</v>
      </c>
      <c r="N83" s="18">
        <v>6800</v>
      </c>
      <c r="O83" s="18">
        <v>10234</v>
      </c>
      <c r="P83" s="18">
        <v>18064.4</v>
      </c>
      <c r="Q83" s="18">
        <v>37935.24</v>
      </c>
      <c r="R83" s="18">
        <v>72977.07</v>
      </c>
      <c r="S83" s="18">
        <v>111105.3</v>
      </c>
      <c r="T83" s="18">
        <v>129847.66</v>
      </c>
    </row>
    <row r="84" ht="15" customHeight="1" spans="1:20">
      <c r="A84" s="108" t="s">
        <v>55</v>
      </c>
      <c r="B84" s="110" t="s">
        <v>58</v>
      </c>
      <c r="C84" s="71"/>
      <c r="D84" s="71"/>
      <c r="E84" s="71"/>
      <c r="F84" s="71"/>
      <c r="G84" s="71"/>
      <c r="H84" s="71"/>
      <c r="I84" s="71"/>
      <c r="J84" s="71"/>
      <c r="K84" s="71"/>
      <c r="L84" s="18">
        <v>7999.33</v>
      </c>
      <c r="M84" s="18">
        <v>11400</v>
      </c>
      <c r="N84" s="18">
        <v>12949</v>
      </c>
      <c r="O84" s="18">
        <v>14272</v>
      </c>
      <c r="P84" s="18">
        <v>15955.84</v>
      </c>
      <c r="Q84" s="18">
        <v>17656.52</v>
      </c>
      <c r="R84" s="18">
        <v>19374.2</v>
      </c>
      <c r="S84" s="18">
        <v>21109.07</v>
      </c>
      <c r="T84" s="18">
        <v>22861.28</v>
      </c>
    </row>
    <row r="85" ht="15" customHeight="1" spans="1:20">
      <c r="A85" s="108" t="s">
        <v>55</v>
      </c>
      <c r="B85" s="110" t="s">
        <v>59</v>
      </c>
      <c r="C85" s="71"/>
      <c r="D85" s="71"/>
      <c r="E85" s="71"/>
      <c r="F85" s="71"/>
      <c r="G85" s="71"/>
      <c r="H85" s="71"/>
      <c r="I85" s="18">
        <v>36200</v>
      </c>
      <c r="J85" s="18">
        <v>37000</v>
      </c>
      <c r="K85" s="18">
        <v>41300</v>
      </c>
      <c r="L85" s="18">
        <v>46600</v>
      </c>
      <c r="M85" s="18">
        <v>67900</v>
      </c>
      <c r="N85" s="18">
        <v>98000</v>
      </c>
      <c r="O85" s="18">
        <v>138000</v>
      </c>
      <c r="P85" s="71"/>
      <c r="Q85" s="71"/>
      <c r="R85" s="71"/>
      <c r="S85" s="71"/>
      <c r="T85" s="71"/>
    </row>
    <row r="86" ht="15" customHeight="1" spans="1:20">
      <c r="A86" s="108" t="s">
        <v>55</v>
      </c>
      <c r="B86" s="109" t="s">
        <v>60</v>
      </c>
      <c r="C86" s="18">
        <v>17612</v>
      </c>
      <c r="D86" s="18">
        <v>18108</v>
      </c>
      <c r="E86" s="18">
        <v>17396</v>
      </c>
      <c r="F86" s="18">
        <v>15785</v>
      </c>
      <c r="G86" s="18">
        <v>16168</v>
      </c>
      <c r="H86" s="18">
        <v>17155</v>
      </c>
      <c r="I86" s="18">
        <v>17384</v>
      </c>
      <c r="J86" s="18">
        <v>17383</v>
      </c>
      <c r="K86" s="18">
        <v>19000</v>
      </c>
      <c r="L86" s="18">
        <v>19592</v>
      </c>
      <c r="M86" s="18">
        <v>20904</v>
      </c>
      <c r="N86" s="18">
        <v>23054</v>
      </c>
      <c r="O86" s="18">
        <v>25034</v>
      </c>
      <c r="P86" s="18">
        <v>28113.04</v>
      </c>
      <c r="Q86" s="18">
        <v>28489.16</v>
      </c>
      <c r="R86" s="18">
        <v>46280.73</v>
      </c>
      <c r="S86" s="18">
        <v>64368.1</v>
      </c>
      <c r="T86" s="18">
        <v>69758.92</v>
      </c>
    </row>
    <row r="87" ht="15" customHeight="1" spans="1:20">
      <c r="A87" s="108" t="s">
        <v>55</v>
      </c>
      <c r="B87" s="110" t="s">
        <v>61</v>
      </c>
      <c r="C87" s="117">
        <v>2.68</v>
      </c>
      <c r="D87" s="111">
        <v>2.38</v>
      </c>
      <c r="E87" s="111">
        <v>2.21</v>
      </c>
      <c r="F87" s="111">
        <v>2.07</v>
      </c>
      <c r="G87" s="111">
        <v>2.21</v>
      </c>
      <c r="H87" s="111">
        <v>0.9</v>
      </c>
      <c r="I87" s="111">
        <v>2.97</v>
      </c>
      <c r="J87" s="111">
        <v>3.08</v>
      </c>
      <c r="K87" s="111">
        <v>4.55</v>
      </c>
      <c r="L87" s="111">
        <v>2.41</v>
      </c>
      <c r="M87" s="111">
        <v>3.07</v>
      </c>
      <c r="N87" s="111">
        <v>3.71</v>
      </c>
      <c r="O87" s="111">
        <v>4.34</v>
      </c>
      <c r="P87" s="111">
        <v>5.84838709677419</v>
      </c>
      <c r="Q87" s="111">
        <v>6.26125</v>
      </c>
      <c r="R87" s="111">
        <v>8.79074074074074</v>
      </c>
      <c r="S87" s="111">
        <v>12.894375</v>
      </c>
      <c r="T87" s="111">
        <v>16.756</v>
      </c>
    </row>
    <row r="89" spans="1:1">
      <c r="A89" s="118" t="s">
        <v>62</v>
      </c>
    </row>
    <row r="90" spans="1:20">
      <c r="A90" s="119" t="s">
        <v>63</v>
      </c>
      <c r="B90" s="120" t="s">
        <v>23</v>
      </c>
      <c r="C90" s="71"/>
      <c r="D90" s="5">
        <v>4130.16</v>
      </c>
      <c r="E90" s="5">
        <v>4681.51</v>
      </c>
      <c r="F90" s="5">
        <v>5010</v>
      </c>
      <c r="G90" s="5">
        <v>6910</v>
      </c>
      <c r="H90" s="5">
        <v>9714</v>
      </c>
      <c r="I90" s="5">
        <v>11716</v>
      </c>
      <c r="J90" s="5">
        <v>10918</v>
      </c>
      <c r="K90" s="5">
        <v>16675</v>
      </c>
      <c r="L90" s="5">
        <v>26914</v>
      </c>
      <c r="M90" s="5">
        <v>26974</v>
      </c>
      <c r="N90" s="5">
        <v>60922</v>
      </c>
      <c r="O90" s="5">
        <v>130497</v>
      </c>
      <c r="P90" s="5">
        <v>215938</v>
      </c>
      <c r="Q90" s="5">
        <v>379513.47</v>
      </c>
      <c r="R90" s="5">
        <v>519798.97</v>
      </c>
      <c r="S90" s="5">
        <v>625601.86</v>
      </c>
      <c r="T90" s="5">
        <v>664318.86</v>
      </c>
    </row>
    <row r="91" spans="1:20">
      <c r="A91" s="119" t="s">
        <v>63</v>
      </c>
      <c r="B91" s="120" t="s">
        <v>24</v>
      </c>
      <c r="C91" s="71"/>
      <c r="D91" s="71"/>
      <c r="E91" s="71"/>
      <c r="F91" s="71"/>
      <c r="G91" s="71"/>
      <c r="H91" s="71"/>
      <c r="I91" s="71"/>
      <c r="J91" s="5">
        <v>751</v>
      </c>
      <c r="K91" s="5">
        <v>2548</v>
      </c>
      <c r="L91" s="5">
        <v>4598</v>
      </c>
      <c r="M91" s="5">
        <v>5083</v>
      </c>
      <c r="N91" s="5">
        <v>32016</v>
      </c>
      <c r="O91" s="5">
        <v>82875</v>
      </c>
      <c r="P91" s="5">
        <v>130141</v>
      </c>
      <c r="Q91" s="5">
        <v>245259.44</v>
      </c>
      <c r="R91" s="5">
        <v>309757.26</v>
      </c>
      <c r="S91" s="5">
        <v>392712.72</v>
      </c>
      <c r="T91" s="5">
        <v>481971.82</v>
      </c>
    </row>
    <row r="92" spans="1:20">
      <c r="A92" s="119" t="s">
        <v>63</v>
      </c>
      <c r="B92" s="120" t="s">
        <v>29</v>
      </c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</row>
    <row r="93" spans="1:20">
      <c r="A93" s="119" t="s">
        <v>63</v>
      </c>
      <c r="B93" s="120" t="s">
        <v>26</v>
      </c>
      <c r="C93" s="71"/>
      <c r="D93" s="121">
        <v>0.02</v>
      </c>
      <c r="E93" s="121">
        <v>0.03</v>
      </c>
      <c r="F93" s="121">
        <v>0.03</v>
      </c>
      <c r="G93" s="121">
        <v>0.06</v>
      </c>
      <c r="H93" s="121">
        <v>0.12</v>
      </c>
      <c r="I93" s="121">
        <v>0.17</v>
      </c>
      <c r="J93" s="121">
        <v>0.11</v>
      </c>
      <c r="K93" s="121">
        <v>0.17</v>
      </c>
      <c r="L93" s="121">
        <v>0.39</v>
      </c>
      <c r="M93" s="121">
        <v>0.17</v>
      </c>
      <c r="N93" s="121">
        <v>1.19</v>
      </c>
      <c r="O93" s="121">
        <v>2.94</v>
      </c>
      <c r="P93" s="121">
        <v>4.9</v>
      </c>
      <c r="Q93" s="121">
        <v>8.97</v>
      </c>
      <c r="R93" s="121">
        <v>12.06</v>
      </c>
      <c r="S93" s="121">
        <v>14.09</v>
      </c>
      <c r="T93" s="121">
        <v>15.84</v>
      </c>
    </row>
    <row r="94" spans="1:20">
      <c r="A94" s="119" t="s">
        <v>63</v>
      </c>
      <c r="B94" s="120" t="s">
        <v>27</v>
      </c>
      <c r="C94" s="71"/>
      <c r="D94" s="5">
        <v>23520</v>
      </c>
      <c r="E94" s="5">
        <v>22080</v>
      </c>
      <c r="F94" s="5">
        <v>21720</v>
      </c>
      <c r="G94" s="5">
        <v>21640</v>
      </c>
      <c r="H94" s="5">
        <v>23960</v>
      </c>
      <c r="I94" s="5">
        <v>24320</v>
      </c>
      <c r="J94" s="5">
        <v>24390</v>
      </c>
      <c r="K94" s="5">
        <v>24670</v>
      </c>
      <c r="L94" s="5">
        <v>24960</v>
      </c>
      <c r="M94" s="5">
        <v>24870</v>
      </c>
      <c r="N94" s="5">
        <v>24690</v>
      </c>
      <c r="O94" s="5">
        <v>24555</v>
      </c>
      <c r="P94" s="5">
        <v>24359</v>
      </c>
      <c r="Q94" s="5">
        <v>24298.14</v>
      </c>
      <c r="R94" s="5">
        <v>24143.46</v>
      </c>
      <c r="S94" s="5">
        <v>23883.77</v>
      </c>
      <c r="T94" s="5">
        <v>16685.95</v>
      </c>
    </row>
    <row r="95" spans="1:20">
      <c r="A95" s="119" t="s">
        <v>63</v>
      </c>
      <c r="B95" s="120" t="s">
        <v>64</v>
      </c>
      <c r="C95" s="71"/>
      <c r="D95" s="5">
        <v>580</v>
      </c>
      <c r="E95" s="5">
        <v>784</v>
      </c>
      <c r="F95" s="5">
        <v>1089</v>
      </c>
      <c r="G95" s="5">
        <v>1496</v>
      </c>
      <c r="H95" s="5">
        <v>2909</v>
      </c>
      <c r="I95" s="5">
        <v>3143</v>
      </c>
      <c r="J95" s="5">
        <v>4272</v>
      </c>
      <c r="K95" s="5">
        <v>4694</v>
      </c>
      <c r="L95" s="5">
        <v>8132</v>
      </c>
      <c r="M95" s="5">
        <v>3808</v>
      </c>
      <c r="N95" s="5">
        <v>27021</v>
      </c>
      <c r="O95" s="5">
        <v>60853</v>
      </c>
      <c r="P95" s="5">
        <v>96676</v>
      </c>
      <c r="Q95" s="5">
        <v>196546.7</v>
      </c>
      <c r="R95" s="5">
        <v>268143.94</v>
      </c>
      <c r="S95" s="5">
        <v>304204.5</v>
      </c>
      <c r="T95" s="5">
        <v>297544.37</v>
      </c>
    </row>
    <row r="97" spans="1:1">
      <c r="A97" s="122" t="s">
        <v>65</v>
      </c>
    </row>
    <row r="98" spans="1:20">
      <c r="A98" s="119" t="s">
        <v>66</v>
      </c>
      <c r="B98" s="120" t="s">
        <v>23</v>
      </c>
      <c r="C98" s="5">
        <v>9073</v>
      </c>
      <c r="D98" s="5">
        <v>16358</v>
      </c>
      <c r="E98" s="5">
        <v>16192</v>
      </c>
      <c r="F98" s="5">
        <v>12399</v>
      </c>
      <c r="G98" s="5">
        <v>20322</v>
      </c>
      <c r="H98" s="5">
        <v>30391</v>
      </c>
      <c r="I98" s="5">
        <v>23406</v>
      </c>
      <c r="J98" s="5">
        <v>21435</v>
      </c>
      <c r="K98" s="5">
        <v>27705</v>
      </c>
      <c r="L98" s="5">
        <v>30758</v>
      </c>
      <c r="M98" s="5">
        <v>15540</v>
      </c>
      <c r="N98" s="5">
        <v>25111</v>
      </c>
      <c r="O98" s="5">
        <v>37378</v>
      </c>
      <c r="P98" s="5">
        <v>110164.58</v>
      </c>
      <c r="Q98" s="5">
        <v>178992.05</v>
      </c>
      <c r="R98" s="5">
        <v>173460.16</v>
      </c>
      <c r="S98" s="5">
        <v>171120</v>
      </c>
      <c r="T98" s="5">
        <v>170949</v>
      </c>
    </row>
    <row r="99" spans="1:20">
      <c r="A99" s="119" t="s">
        <v>66</v>
      </c>
      <c r="B99" s="120" t="s">
        <v>29</v>
      </c>
      <c r="C99" s="5">
        <v>1804</v>
      </c>
      <c r="D99" s="5">
        <v>2103</v>
      </c>
      <c r="E99" s="5">
        <v>2667</v>
      </c>
      <c r="F99" s="5">
        <v>2980</v>
      </c>
      <c r="G99" s="5">
        <v>3861</v>
      </c>
      <c r="H99" s="5">
        <v>4759</v>
      </c>
      <c r="I99" s="5">
        <v>5424</v>
      </c>
      <c r="J99" s="5">
        <v>5650</v>
      </c>
      <c r="K99" s="5">
        <v>6214</v>
      </c>
      <c r="L99" s="5">
        <v>7116</v>
      </c>
      <c r="M99" s="5">
        <v>7756</v>
      </c>
      <c r="N99" s="5">
        <v>7780</v>
      </c>
      <c r="O99" s="5">
        <v>8352</v>
      </c>
      <c r="P99" s="5">
        <v>9862.13</v>
      </c>
      <c r="Q99" s="5">
        <v>12539.03</v>
      </c>
      <c r="R99" s="5">
        <v>16162.36</v>
      </c>
      <c r="S99" s="5">
        <v>21543.79</v>
      </c>
      <c r="T99" s="5">
        <v>27453.5</v>
      </c>
    </row>
    <row r="100" spans="1:20">
      <c r="A100" s="119" t="s">
        <v>66</v>
      </c>
      <c r="B100" s="120" t="s">
        <v>26</v>
      </c>
      <c r="C100" s="121">
        <v>1.13</v>
      </c>
      <c r="D100" s="121">
        <v>2.54</v>
      </c>
      <c r="E100" s="121">
        <v>2.47</v>
      </c>
      <c r="F100" s="121">
        <v>-0.27</v>
      </c>
      <c r="G100" s="121">
        <v>4.41</v>
      </c>
      <c r="H100" s="121">
        <v>11.51</v>
      </c>
      <c r="I100" s="121">
        <v>5.51</v>
      </c>
      <c r="J100" s="121">
        <v>2.37</v>
      </c>
      <c r="K100" s="121">
        <v>5.14</v>
      </c>
      <c r="L100" s="121">
        <v>7.75</v>
      </c>
      <c r="M100" s="121">
        <v>-5.34</v>
      </c>
      <c r="N100" s="121">
        <v>0.7</v>
      </c>
      <c r="O100" s="121">
        <v>7.59</v>
      </c>
      <c r="P100" s="121">
        <v>58.9</v>
      </c>
      <c r="Q100" s="121">
        <v>102.73</v>
      </c>
      <c r="R100" s="121">
        <v>96.36</v>
      </c>
      <c r="S100" s="121">
        <v>89.91</v>
      </c>
      <c r="T100" s="121">
        <v>62.55</v>
      </c>
    </row>
    <row r="101" spans="1:20">
      <c r="A101" s="119" t="s">
        <v>66</v>
      </c>
      <c r="B101" s="120" t="s">
        <v>27</v>
      </c>
      <c r="C101" s="5">
        <v>1022</v>
      </c>
      <c r="D101" s="5">
        <v>1060</v>
      </c>
      <c r="E101" s="5">
        <v>1070</v>
      </c>
      <c r="F101" s="5">
        <v>1036</v>
      </c>
      <c r="G101" s="5">
        <v>1089</v>
      </c>
      <c r="H101" s="5">
        <v>1152</v>
      </c>
      <c r="I101" s="5">
        <v>1114</v>
      </c>
      <c r="J101" s="5">
        <v>1110</v>
      </c>
      <c r="K101" s="5">
        <v>1120</v>
      </c>
      <c r="L101" s="5">
        <v>1112</v>
      </c>
      <c r="M101" s="5">
        <v>1093</v>
      </c>
      <c r="N101" s="5">
        <v>1105</v>
      </c>
      <c r="O101" s="5">
        <v>1116</v>
      </c>
      <c r="P101" s="5">
        <v>1131.87</v>
      </c>
      <c r="Q101" s="5">
        <v>1131.16</v>
      </c>
      <c r="R101" s="5">
        <v>1126.9</v>
      </c>
      <c r="S101" s="5">
        <v>847.04</v>
      </c>
      <c r="T101" s="5">
        <v>740.81</v>
      </c>
    </row>
  </sheetData>
  <mergeCells count="8">
    <mergeCell ref="A1:T1"/>
    <mergeCell ref="A4:T4"/>
    <mergeCell ref="A20:T20"/>
    <mergeCell ref="A35:T35"/>
    <mergeCell ref="A52:T52"/>
    <mergeCell ref="A70:T70"/>
    <mergeCell ref="A89:T89"/>
    <mergeCell ref="A97:T97"/>
  </mergeCells>
  <pageMargins left="0.75" right="0.75" top="1" bottom="1" header="0.511805555555556" footer="0.511805555555556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25"/>
  <sheetViews>
    <sheetView showGridLines="0" workbookViewId="0">
      <pane xSplit="1" topLeftCell="B1" activePane="topRight" state="frozen"/>
      <selection/>
      <selection pane="topRight" activeCell="E24" sqref="E24"/>
    </sheetView>
  </sheetViews>
  <sheetFormatPr defaultColWidth="8.6796875" defaultRowHeight="14"/>
  <cols>
    <col min="1" max="1" width="28" customWidth="1"/>
    <col min="2" max="20" width="10" customWidth="1"/>
  </cols>
  <sheetData>
    <row r="1" ht="25.5" customHeight="1" spans="1:1">
      <c r="A1" s="102" t="s">
        <v>67</v>
      </c>
    </row>
    <row r="3" ht="15" customHeight="1" spans="1:1">
      <c r="A3" s="12" t="s">
        <v>68</v>
      </c>
    </row>
    <row r="4" ht="15" customHeight="1" spans="1:19">
      <c r="A4" s="14" t="s">
        <v>69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  <c r="K4" s="15" t="s">
        <v>12</v>
      </c>
      <c r="L4" s="15" t="s">
        <v>13</v>
      </c>
      <c r="M4" s="15" t="s">
        <v>14</v>
      </c>
      <c r="N4" s="15" t="s">
        <v>15</v>
      </c>
      <c r="O4" s="15" t="s">
        <v>16</v>
      </c>
      <c r="P4" s="15" t="s">
        <v>17</v>
      </c>
      <c r="Q4" s="15" t="s">
        <v>18</v>
      </c>
      <c r="R4" s="15" t="s">
        <v>19</v>
      </c>
      <c r="S4" s="15" t="s">
        <v>20</v>
      </c>
    </row>
    <row r="5" ht="15" customHeight="1" spans="1:19">
      <c r="A5" s="98" t="s">
        <v>22</v>
      </c>
      <c r="B5" s="99">
        <f>'0. Database'!C5</f>
        <v>77849</v>
      </c>
      <c r="C5" s="99">
        <f>'0. Database'!D5</f>
        <v>86833</v>
      </c>
      <c r="D5" s="99">
        <f>'0. Database'!E5</f>
        <v>93580</v>
      </c>
      <c r="E5" s="99">
        <f>'0. Database'!F5</f>
        <v>91154</v>
      </c>
      <c r="F5" s="99">
        <f>'0. Database'!G5</f>
        <v>96571</v>
      </c>
      <c r="G5" s="99">
        <f>'0. Database'!H5</f>
        <v>110360</v>
      </c>
      <c r="H5" s="99">
        <f>'0. Database'!I5</f>
        <v>125843</v>
      </c>
      <c r="I5" s="99">
        <f>'0. Database'!J5</f>
        <v>143015</v>
      </c>
      <c r="J5" s="99">
        <f>'0. Database'!K5</f>
        <v>168088</v>
      </c>
      <c r="K5" s="99">
        <f>'0. Database'!L5</f>
        <v>198270</v>
      </c>
      <c r="L5" s="99">
        <f>'0. Database'!M5</f>
        <v>211915</v>
      </c>
      <c r="M5" s="99">
        <f>'0. Database'!N5</f>
        <v>245122</v>
      </c>
      <c r="N5" s="99">
        <f>'0. Database'!O5</f>
        <v>281724</v>
      </c>
      <c r="O5" s="99">
        <f>'0. Database'!P5</f>
        <v>319618.352346443</v>
      </c>
      <c r="P5" s="99">
        <f>'0. Database'!Q5</f>
        <v>373106.65121074</v>
      </c>
      <c r="Q5" s="99">
        <f>'0. Database'!R5</f>
        <v>445409.632709663</v>
      </c>
      <c r="R5" s="99">
        <f>'0. Database'!S5</f>
        <v>534000.031144246</v>
      </c>
      <c r="S5" s="99">
        <f>'0. Database'!T5</f>
        <v>628544.330275335</v>
      </c>
    </row>
    <row r="6" ht="15" customHeight="1" spans="1:19">
      <c r="A6" s="98" t="s">
        <v>38</v>
      </c>
      <c r="B6" s="99">
        <f>'0. Database'!C21</f>
        <v>41410</v>
      </c>
      <c r="C6" s="99">
        <f>'0. Database'!D21</f>
        <v>50834</v>
      </c>
      <c r="D6" s="99">
        <f>'0. Database'!E21</f>
        <v>63708</v>
      </c>
      <c r="E6" s="99">
        <f>'0. Database'!F21</f>
        <v>79785</v>
      </c>
      <c r="F6" s="99">
        <f>'0. Database'!G21</f>
        <v>106110</v>
      </c>
      <c r="G6" s="99">
        <f>'0. Database'!H21</f>
        <v>141366</v>
      </c>
      <c r="H6" s="99">
        <f>'0. Database'!I21</f>
        <v>170773</v>
      </c>
      <c r="I6" s="99">
        <f>'0. Database'!J21</f>
        <v>236282</v>
      </c>
      <c r="J6" s="99">
        <f>'0. Database'!K21</f>
        <v>279833</v>
      </c>
      <c r="K6" s="99">
        <f>'0. Database'!L21</f>
        <v>315880</v>
      </c>
      <c r="L6" s="99">
        <f>'0. Database'!M21</f>
        <v>352828</v>
      </c>
      <c r="M6" s="99">
        <f>'0. Database'!N21</f>
        <v>387497</v>
      </c>
      <c r="N6" s="99">
        <f>'0. Database'!O21</f>
        <v>426305</v>
      </c>
      <c r="O6" s="99">
        <f>'0. Database'!P21</f>
        <v>461081.718871665</v>
      </c>
      <c r="P6" s="99">
        <f>'0. Database'!Q21</f>
        <v>516677.030980667</v>
      </c>
      <c r="Q6" s="99">
        <f>'0. Database'!R21</f>
        <v>556072.426496916</v>
      </c>
      <c r="R6" s="99">
        <f>'0. Database'!S21</f>
        <v>599450.605497709</v>
      </c>
      <c r="S6" s="99">
        <f>'0. Database'!T21</f>
        <v>645470.672783422</v>
      </c>
    </row>
    <row r="7" ht="15" customHeight="1" spans="1:19">
      <c r="A7" s="98" t="s">
        <v>42</v>
      </c>
      <c r="B7" s="99">
        <f>'0. Database'!C36</f>
        <v>55519</v>
      </c>
      <c r="C7" s="99">
        <f>'0. Database'!D36</f>
        <v>66001</v>
      </c>
      <c r="D7" s="99">
        <f>'0. Database'!E36</f>
        <v>74989</v>
      </c>
      <c r="E7" s="99">
        <f>'0. Database'!F36</f>
        <v>90272</v>
      </c>
      <c r="F7" s="99">
        <f>'0. Database'!G36</f>
        <v>110855</v>
      </c>
      <c r="G7" s="99">
        <f>'0. Database'!H36</f>
        <v>136819</v>
      </c>
      <c r="H7" s="99">
        <f>'0. Database'!I36</f>
        <v>161857</v>
      </c>
      <c r="I7" s="99">
        <f>'0. Database'!J36</f>
        <v>182527</v>
      </c>
      <c r="J7" s="99">
        <f>'0. Database'!K36</f>
        <v>257637</v>
      </c>
      <c r="K7" s="99">
        <f>'0. Database'!L36</f>
        <v>282836</v>
      </c>
      <c r="L7" s="99">
        <f>'0. Database'!M36</f>
        <v>307394</v>
      </c>
      <c r="M7" s="99">
        <f>'0. Database'!N36</f>
        <v>350018</v>
      </c>
      <c r="N7" s="99">
        <f>'0. Database'!O36</f>
        <v>402836</v>
      </c>
      <c r="O7" s="99">
        <f>'0. Database'!P36</f>
        <v>486455.791246222</v>
      </c>
      <c r="P7" s="99">
        <f>'0. Database'!Q36</f>
        <v>578508.878663099</v>
      </c>
      <c r="Q7" s="99">
        <f>'0. Database'!R36</f>
        <v>684008.76561542</v>
      </c>
      <c r="R7" s="99">
        <f>'0. Database'!S36</f>
        <v>805409.013758559</v>
      </c>
      <c r="S7" s="99">
        <f>'0. Database'!T36</f>
        <v>941245.15705466</v>
      </c>
    </row>
    <row r="8" ht="15" customHeight="1" spans="1:19">
      <c r="A8" s="98" t="s">
        <v>48</v>
      </c>
      <c r="B8" s="99">
        <f>'0. Database'!C53</f>
        <v>7872</v>
      </c>
      <c r="C8" s="99">
        <f>'0. Database'!D53</f>
        <v>12466</v>
      </c>
      <c r="D8" s="99">
        <f>'0. Database'!E53</f>
        <v>17928</v>
      </c>
      <c r="E8" s="99">
        <f>'0. Database'!F53</f>
        <v>27638</v>
      </c>
      <c r="F8" s="99">
        <f>'0. Database'!G53</f>
        <v>40653</v>
      </c>
      <c r="G8" s="99">
        <f>'0. Database'!H53</f>
        <v>55838</v>
      </c>
      <c r="H8" s="99">
        <f>'0. Database'!I53</f>
        <v>70196</v>
      </c>
      <c r="I8" s="99">
        <f>'0. Database'!J53</f>
        <v>84826</v>
      </c>
      <c r="J8" s="99">
        <f>'0. Database'!K53</f>
        <v>115655</v>
      </c>
      <c r="K8" s="99">
        <f>'0. Database'!L53</f>
        <v>114450</v>
      </c>
      <c r="L8" s="99">
        <f>'0. Database'!M53</f>
        <v>133006</v>
      </c>
      <c r="M8" s="99">
        <f>'0. Database'!N53</f>
        <v>162355</v>
      </c>
      <c r="N8" s="99">
        <f>'0. Database'!O53</f>
        <v>198759</v>
      </c>
      <c r="O8" s="99">
        <f>'0. Database'!P53</f>
        <v>249809.411372193</v>
      </c>
      <c r="P8" s="99">
        <f>'0. Database'!Q53</f>
        <v>297686.364278316</v>
      </c>
      <c r="Q8" s="99">
        <f>'0. Database'!R53</f>
        <v>348303.465454697</v>
      </c>
      <c r="R8" s="99">
        <f>'0. Database'!S53</f>
        <v>397616.697876779</v>
      </c>
      <c r="S8" s="99">
        <f>'0. Database'!T53</f>
        <v>448874.017826186</v>
      </c>
    </row>
    <row r="9" ht="15" customHeight="1" spans="1:19">
      <c r="A9" s="98" t="s">
        <v>55</v>
      </c>
      <c r="B9" s="99">
        <f>'0. Database'!C71</f>
        <v>37180</v>
      </c>
      <c r="C9" s="99">
        <f>'0. Database'!D71</f>
        <v>38275</v>
      </c>
      <c r="D9" s="99">
        <f>'0. Database'!E71</f>
        <v>38226</v>
      </c>
      <c r="E9" s="99">
        <f>'0. Database'!F71</f>
        <v>37047</v>
      </c>
      <c r="F9" s="99">
        <f>'0. Database'!G71</f>
        <v>37728</v>
      </c>
      <c r="G9" s="99">
        <f>'0. Database'!H71</f>
        <v>39383</v>
      </c>
      <c r="H9" s="99">
        <f>'0. Database'!I71</f>
        <v>39506</v>
      </c>
      <c r="I9" s="99">
        <f>'0. Database'!J71</f>
        <v>39068</v>
      </c>
      <c r="J9" s="99">
        <f>'0. Database'!K71</f>
        <v>40479</v>
      </c>
      <c r="K9" s="99">
        <f>'0. Database'!L71</f>
        <v>42440</v>
      </c>
      <c r="L9" s="99">
        <f>'0. Database'!M71</f>
        <v>49954</v>
      </c>
      <c r="M9" s="99">
        <f>'0. Database'!N71</f>
        <v>52961</v>
      </c>
      <c r="N9" s="99">
        <f>'0. Database'!O71</f>
        <v>57399</v>
      </c>
      <c r="O9" s="99">
        <f>'0. Database'!P71</f>
        <v>67004.1763376629</v>
      </c>
      <c r="P9" s="99">
        <f>'0. Database'!Q71</f>
        <v>87762.5174380165</v>
      </c>
      <c r="Q9" s="99">
        <f>'0. Database'!R71</f>
        <v>131114.655649142</v>
      </c>
      <c r="R9" s="99">
        <f>'0. Database'!S71</f>
        <v>184457.800035541</v>
      </c>
      <c r="S9" s="99">
        <f>'0. Database'!T71</f>
        <v>223941.182821562</v>
      </c>
    </row>
    <row r="11" ht="15" customHeight="1" spans="1:1">
      <c r="A11" s="12" t="s">
        <v>70</v>
      </c>
    </row>
    <row r="12" ht="15" customHeight="1" spans="1:19">
      <c r="A12" s="14" t="s">
        <v>69</v>
      </c>
      <c r="B12" s="15" t="s">
        <v>3</v>
      </c>
      <c r="C12" s="15" t="s">
        <v>4</v>
      </c>
      <c r="D12" s="15" t="s">
        <v>5</v>
      </c>
      <c r="E12" s="15" t="s">
        <v>6</v>
      </c>
      <c r="F12" s="15" t="s">
        <v>7</v>
      </c>
      <c r="G12" s="15" t="s">
        <v>8</v>
      </c>
      <c r="H12" s="15" t="s">
        <v>9</v>
      </c>
      <c r="I12" s="15" t="s">
        <v>10</v>
      </c>
      <c r="J12" s="15" t="s">
        <v>11</v>
      </c>
      <c r="K12" s="15" t="s">
        <v>12</v>
      </c>
      <c r="L12" s="15" t="s">
        <v>13</v>
      </c>
      <c r="M12" s="15" t="s">
        <v>14</v>
      </c>
      <c r="N12" s="15" t="s">
        <v>15</v>
      </c>
      <c r="O12" s="15" t="s">
        <v>16</v>
      </c>
      <c r="P12" s="15" t="s">
        <v>17</v>
      </c>
      <c r="Q12" s="15" t="s">
        <v>18</v>
      </c>
      <c r="R12" s="15" t="s">
        <v>19</v>
      </c>
      <c r="S12" s="15" t="s">
        <v>20</v>
      </c>
    </row>
    <row r="13" ht="15" customHeight="1" spans="1:19">
      <c r="A13" s="98" t="s">
        <v>71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</row>
    <row r="14" ht="15" customHeight="1" spans="1:19">
      <c r="A14" s="98" t="s">
        <v>72</v>
      </c>
      <c r="B14" s="99">
        <f>'0. Database'!C32</f>
        <v>3107.57</v>
      </c>
      <c r="C14" s="99">
        <f>'0. Database'!D32</f>
        <v>4644</v>
      </c>
      <c r="D14" s="99">
        <f>'0. Database'!E32</f>
        <v>7880</v>
      </c>
      <c r="E14" s="99">
        <f>'0. Database'!F32</f>
        <v>12219</v>
      </c>
      <c r="F14" s="99">
        <f>'0. Database'!G32</f>
        <v>17458</v>
      </c>
      <c r="G14" s="99">
        <f>'0. Database'!H32</f>
        <v>25656</v>
      </c>
      <c r="H14" s="99">
        <f>'0. Database'!I32</f>
        <v>35026</v>
      </c>
      <c r="I14" s="99">
        <f>'0. Database'!J32</f>
        <v>45370</v>
      </c>
      <c r="J14" s="99">
        <f>'0. Database'!K32</f>
        <v>62202</v>
      </c>
      <c r="K14" s="99">
        <f>'0. Database'!L32</f>
        <v>80096</v>
      </c>
      <c r="L14" s="99">
        <f>'0. Database'!M32</f>
        <v>90757</v>
      </c>
      <c r="M14" s="99">
        <f>'0. Database'!N32</f>
        <v>107556</v>
      </c>
      <c r="N14" s="99">
        <f>'0. Database'!O32</f>
        <v>128725</v>
      </c>
      <c r="O14" s="99">
        <f>'0. Database'!P32</f>
        <v>171284.9</v>
      </c>
      <c r="P14" s="99">
        <f>'0. Database'!Q32</f>
        <v>225587.94</v>
      </c>
      <c r="Q14" s="99">
        <f>'0. Database'!R32</f>
        <v>274421.67</v>
      </c>
      <c r="R14" s="99">
        <f>'0. Database'!S32</f>
        <v>323817.58</v>
      </c>
      <c r="S14" s="99">
        <f>'0. Database'!T32</f>
        <v>374009.3</v>
      </c>
    </row>
    <row r="15" ht="15" customHeight="1" spans="1:19">
      <c r="A15" s="98" t="s">
        <v>73</v>
      </c>
      <c r="B15" s="99">
        <f>'0. Database'!C47</f>
        <v>0</v>
      </c>
      <c r="C15" s="99">
        <f>'0. Database'!D47</f>
        <v>0</v>
      </c>
      <c r="D15" s="99">
        <f>'0. Database'!E47</f>
        <v>0</v>
      </c>
      <c r="E15" s="99">
        <f>'0. Database'!F47</f>
        <v>0</v>
      </c>
      <c r="F15" s="99">
        <f>'0. Database'!G47</f>
        <v>4056</v>
      </c>
      <c r="G15" s="99">
        <f>'0. Database'!H47</f>
        <v>5838</v>
      </c>
      <c r="H15" s="99">
        <f>'0. Database'!I47</f>
        <v>8918</v>
      </c>
      <c r="I15" s="99">
        <f>'0. Database'!J47</f>
        <v>13059</v>
      </c>
      <c r="J15" s="99">
        <f>'0. Database'!K47</f>
        <v>19206</v>
      </c>
      <c r="K15" s="99">
        <f>'0. Database'!L47</f>
        <v>26280</v>
      </c>
      <c r="L15" s="99">
        <f>'0. Database'!M47</f>
        <v>33088</v>
      </c>
      <c r="M15" s="99">
        <f>'0. Database'!N47</f>
        <v>43229</v>
      </c>
      <c r="N15" s="99">
        <f>'0. Database'!O47</f>
        <v>58705</v>
      </c>
      <c r="O15" s="99">
        <f>'0. Database'!P47</f>
        <v>99085.93</v>
      </c>
      <c r="P15" s="99">
        <f>'0. Database'!Q47</f>
        <v>157303.91</v>
      </c>
      <c r="Q15" s="99">
        <f>'0. Database'!R47</f>
        <v>220225.47</v>
      </c>
      <c r="R15" s="99">
        <f>'0. Database'!S47</f>
        <v>286293.12</v>
      </c>
      <c r="S15" s="99">
        <f>'0. Database'!T47</f>
        <v>343551.74</v>
      </c>
    </row>
    <row r="16" ht="15" customHeight="1" spans="1:19">
      <c r="A16" s="98" t="s">
        <v>74</v>
      </c>
      <c r="B16" s="99">
        <f>'0. Database'!C64</f>
        <v>6986</v>
      </c>
      <c r="C16" s="99">
        <f>'0. Database'!D64</f>
        <v>11492</v>
      </c>
      <c r="D16" s="99">
        <f>'0. Database'!E64</f>
        <v>17080</v>
      </c>
      <c r="E16" s="99">
        <f>'0. Database'!F64</f>
        <v>26885</v>
      </c>
      <c r="F16" s="99">
        <f>'0. Database'!G64</f>
        <v>39942</v>
      </c>
      <c r="G16" s="99">
        <f>'0. Database'!H64</f>
        <v>55012</v>
      </c>
      <c r="H16" s="99">
        <f>'0. Database'!I64</f>
        <v>69654.5</v>
      </c>
      <c r="I16" s="99">
        <f>'0. Database'!J64</f>
        <v>84169</v>
      </c>
      <c r="J16" s="99">
        <f>'0. Database'!K64</f>
        <v>114934</v>
      </c>
      <c r="K16" s="99">
        <f>'0. Database'!L64</f>
        <v>113641</v>
      </c>
      <c r="L16" s="99">
        <f>'0. Database'!M64</f>
        <v>131948</v>
      </c>
      <c r="M16" s="99">
        <f>'0. Database'!N64</f>
        <v>160632</v>
      </c>
      <c r="N16" s="99">
        <f>'0. Database'!O64</f>
        <v>196174</v>
      </c>
      <c r="O16" s="99">
        <f>'0. Database'!P64</f>
        <v>248664.66</v>
      </c>
      <c r="P16" s="99">
        <f>'0. Database'!Q64</f>
        <v>298597.44</v>
      </c>
      <c r="Q16" s="99">
        <f>'0. Database'!R64</f>
        <v>348271.65</v>
      </c>
      <c r="R16" s="99">
        <f>'0. Database'!S64</f>
        <v>397194.59</v>
      </c>
      <c r="S16" s="99">
        <f>'0. Database'!T64</f>
        <v>444912.31</v>
      </c>
    </row>
    <row r="17" ht="15" customHeight="1" spans="1:19">
      <c r="A17" s="98" t="s">
        <v>75</v>
      </c>
      <c r="B17" s="99">
        <f>'0. Database'!C82</f>
        <v>37180</v>
      </c>
      <c r="C17" s="99">
        <f>'0. Database'!D82</f>
        <v>38275</v>
      </c>
      <c r="D17" s="99">
        <f>'0. Database'!E82</f>
        <v>38226</v>
      </c>
      <c r="E17" s="99">
        <f>'0. Database'!F82</f>
        <v>37047</v>
      </c>
      <c r="F17" s="99">
        <f>'0. Database'!G82</f>
        <v>37728</v>
      </c>
      <c r="G17" s="99">
        <f>'0. Database'!H82</f>
        <v>39383</v>
      </c>
      <c r="H17" s="99">
        <f>'0. Database'!I82</f>
        <v>39506</v>
      </c>
      <c r="I17" s="99">
        <f>'0. Database'!J82</f>
        <v>39068</v>
      </c>
      <c r="J17" s="99">
        <f>'0. Database'!K82</f>
        <v>40479</v>
      </c>
      <c r="K17" s="99">
        <f>'0. Database'!L82</f>
        <v>42440</v>
      </c>
      <c r="L17" s="99">
        <f>'0. Database'!M82</f>
        <v>49954</v>
      </c>
      <c r="M17" s="99">
        <f>'0. Database'!N82</f>
        <v>52961</v>
      </c>
      <c r="N17" s="99">
        <f>'0. Database'!O82</f>
        <v>57399</v>
      </c>
      <c r="O17" s="99">
        <f>'0. Database'!P82</f>
        <v>67004.1763376629</v>
      </c>
      <c r="P17" s="99">
        <f>'0. Database'!Q82</f>
        <v>87762.5174380165</v>
      </c>
      <c r="Q17" s="99">
        <f>'0. Database'!R82</f>
        <v>131114.655649142</v>
      </c>
      <c r="R17" s="99">
        <f>'0. Database'!S82</f>
        <v>184457.800035541</v>
      </c>
      <c r="S17" s="99">
        <f>'0. Database'!T82</f>
        <v>223941.182821562</v>
      </c>
    </row>
    <row r="19" ht="15" customHeight="1" spans="1:1">
      <c r="A19" s="12" t="s">
        <v>76</v>
      </c>
    </row>
    <row r="20" ht="15" customHeight="1" spans="1:19">
      <c r="A20" s="14" t="s">
        <v>69</v>
      </c>
      <c r="B20" s="15" t="s">
        <v>3</v>
      </c>
      <c r="C20" s="15" t="s">
        <v>4</v>
      </c>
      <c r="D20" s="15" t="s">
        <v>5</v>
      </c>
      <c r="E20" s="15" t="s">
        <v>6</v>
      </c>
      <c r="F20" s="15" t="s">
        <v>7</v>
      </c>
      <c r="G20" s="15" t="s">
        <v>8</v>
      </c>
      <c r="H20" s="15" t="s">
        <v>9</v>
      </c>
      <c r="I20" s="15" t="s">
        <v>10</v>
      </c>
      <c r="J20" s="15" t="s">
        <v>11</v>
      </c>
      <c r="K20" s="15" t="s">
        <v>12</v>
      </c>
      <c r="L20" s="15" t="s">
        <v>13</v>
      </c>
      <c r="M20" s="15" t="s">
        <v>14</v>
      </c>
      <c r="N20" s="15" t="s">
        <v>15</v>
      </c>
      <c r="O20" s="15" t="s">
        <v>16</v>
      </c>
      <c r="P20" s="15" t="s">
        <v>17</v>
      </c>
      <c r="Q20" s="15" t="s">
        <v>18</v>
      </c>
      <c r="R20" s="15" t="s">
        <v>19</v>
      </c>
      <c r="S20" s="15" t="s">
        <v>20</v>
      </c>
    </row>
    <row r="21" ht="15" customHeight="1" spans="1:19">
      <c r="A21" s="98" t="s">
        <v>22</v>
      </c>
      <c r="B21" s="101"/>
      <c r="C21" s="100">
        <f t="shared" ref="C21:S21" si="0">IFERROR(C5/B5-1,"")</f>
        <v>0.115402895348688</v>
      </c>
      <c r="D21" s="100">
        <f t="shared" si="0"/>
        <v>0.0777008740916472</v>
      </c>
      <c r="E21" s="100">
        <f t="shared" si="0"/>
        <v>-0.0259243428082924</v>
      </c>
      <c r="F21" s="100">
        <f t="shared" si="0"/>
        <v>0.0594269039208373</v>
      </c>
      <c r="G21" s="100">
        <f t="shared" si="0"/>
        <v>0.142786136624867</v>
      </c>
      <c r="H21" s="100">
        <f t="shared" si="0"/>
        <v>0.140295396882929</v>
      </c>
      <c r="I21" s="100">
        <f t="shared" si="0"/>
        <v>0.136455742472764</v>
      </c>
      <c r="J21" s="100">
        <f t="shared" si="0"/>
        <v>0.175317274411775</v>
      </c>
      <c r="K21" s="100">
        <f t="shared" si="0"/>
        <v>0.179560706296702</v>
      </c>
      <c r="L21" s="100">
        <f t="shared" si="0"/>
        <v>0.0688202955565642</v>
      </c>
      <c r="M21" s="100">
        <f t="shared" si="0"/>
        <v>0.156699620130713</v>
      </c>
      <c r="N21" s="100">
        <f t="shared" si="0"/>
        <v>0.149321562324067</v>
      </c>
      <c r="O21" s="100">
        <f t="shared" si="0"/>
        <v>0.13450878287417</v>
      </c>
      <c r="P21" s="100">
        <f t="shared" si="0"/>
        <v>0.167350524372641</v>
      </c>
      <c r="Q21" s="100">
        <f t="shared" si="0"/>
        <v>0.193786364473264</v>
      </c>
      <c r="R21" s="100">
        <f t="shared" si="0"/>
        <v>0.198896458290855</v>
      </c>
      <c r="S21" s="100">
        <f t="shared" si="0"/>
        <v>0.177049238983192</v>
      </c>
    </row>
    <row r="22" ht="15" customHeight="1" spans="1:19">
      <c r="A22" s="98" t="s">
        <v>38</v>
      </c>
      <c r="B22" s="101"/>
      <c r="C22" s="100">
        <f t="shared" ref="C22:S22" si="1">IFERROR(C6/B6-1,"")</f>
        <v>0.227577879739193</v>
      </c>
      <c r="D22" s="100">
        <f t="shared" si="1"/>
        <v>0.253255695007279</v>
      </c>
      <c r="E22" s="100">
        <f t="shared" si="1"/>
        <v>0.252354492371445</v>
      </c>
      <c r="F22" s="100">
        <f t="shared" si="1"/>
        <v>0.32994923857868</v>
      </c>
      <c r="G22" s="100">
        <f t="shared" si="1"/>
        <v>0.332258976533786</v>
      </c>
      <c r="H22" s="100">
        <f t="shared" si="1"/>
        <v>0.208020316059024</v>
      </c>
      <c r="I22" s="100">
        <f t="shared" si="1"/>
        <v>0.383602794352737</v>
      </c>
      <c r="J22" s="100">
        <f t="shared" si="1"/>
        <v>0.184317891333238</v>
      </c>
      <c r="K22" s="100">
        <f t="shared" si="1"/>
        <v>0.128816115325927</v>
      </c>
      <c r="L22" s="100">
        <f t="shared" si="1"/>
        <v>0.116968469038875</v>
      </c>
      <c r="M22" s="100">
        <f t="shared" si="1"/>
        <v>0.0982603421497159</v>
      </c>
      <c r="N22" s="100">
        <f t="shared" si="1"/>
        <v>0.100150452777699</v>
      </c>
      <c r="O22" s="100">
        <f t="shared" si="1"/>
        <v>0.0815770841807275</v>
      </c>
      <c r="P22" s="100">
        <f t="shared" si="1"/>
        <v>0.120575832511972</v>
      </c>
      <c r="Q22" s="100">
        <f t="shared" si="1"/>
        <v>0.0762476230876288</v>
      </c>
      <c r="R22" s="100">
        <f t="shared" si="1"/>
        <v>0.0780081459425386</v>
      </c>
      <c r="S22" s="100">
        <f t="shared" si="1"/>
        <v>0.0767704075425926</v>
      </c>
    </row>
    <row r="23" ht="15" customHeight="1" spans="1:19">
      <c r="A23" s="98" t="s">
        <v>42</v>
      </c>
      <c r="B23" s="101"/>
      <c r="C23" s="100">
        <f t="shared" ref="C23:S23" si="2">IFERROR(C7/B7-1,"")</f>
        <v>0.188800230551703</v>
      </c>
      <c r="D23" s="100">
        <f t="shared" si="2"/>
        <v>0.136179754852199</v>
      </c>
      <c r="E23" s="100">
        <f t="shared" si="2"/>
        <v>0.203803224472923</v>
      </c>
      <c r="F23" s="100">
        <f t="shared" si="2"/>
        <v>0.228010900389933</v>
      </c>
      <c r="G23" s="100">
        <f t="shared" si="2"/>
        <v>0.23421586757476</v>
      </c>
      <c r="H23" s="100">
        <f t="shared" si="2"/>
        <v>0.183000898997946</v>
      </c>
      <c r="I23" s="100">
        <f t="shared" si="2"/>
        <v>0.127705320128261</v>
      </c>
      <c r="J23" s="100">
        <f t="shared" si="2"/>
        <v>0.411500764270492</v>
      </c>
      <c r="K23" s="100">
        <f t="shared" si="2"/>
        <v>0.0978081564371578</v>
      </c>
      <c r="L23" s="100">
        <f t="shared" si="2"/>
        <v>0.0868277022726951</v>
      </c>
      <c r="M23" s="100">
        <f t="shared" si="2"/>
        <v>0.138662433229016</v>
      </c>
      <c r="N23" s="100">
        <f t="shared" si="2"/>
        <v>0.150900810815444</v>
      </c>
      <c r="O23" s="100">
        <f t="shared" si="2"/>
        <v>0.207577751854904</v>
      </c>
      <c r="P23" s="100">
        <f t="shared" si="2"/>
        <v>0.189232174995906</v>
      </c>
      <c r="Q23" s="100">
        <f t="shared" si="2"/>
        <v>0.182365199296725</v>
      </c>
      <c r="R23" s="100">
        <f t="shared" si="2"/>
        <v>0.17748346840835</v>
      </c>
      <c r="S23" s="100">
        <f t="shared" si="2"/>
        <v>0.168654858557147</v>
      </c>
    </row>
    <row r="24" ht="15" customHeight="1" spans="1:19">
      <c r="A24" s="98" t="s">
        <v>48</v>
      </c>
      <c r="B24" s="101"/>
      <c r="C24" s="100">
        <f t="shared" ref="C24:S24" si="3">IFERROR(C8/B8-1,"")</f>
        <v>0.583587398373984</v>
      </c>
      <c r="D24" s="100">
        <f t="shared" si="3"/>
        <v>0.438151772822076</v>
      </c>
      <c r="E24" s="100">
        <f t="shared" si="3"/>
        <v>0.54161088799643</v>
      </c>
      <c r="F24" s="100">
        <f t="shared" si="3"/>
        <v>0.470909617193719</v>
      </c>
      <c r="G24" s="100">
        <f t="shared" si="3"/>
        <v>0.37352716896662</v>
      </c>
      <c r="H24" s="100">
        <f t="shared" si="3"/>
        <v>0.257136716931122</v>
      </c>
      <c r="I24" s="100">
        <f t="shared" si="3"/>
        <v>0.208416433984842</v>
      </c>
      <c r="J24" s="100">
        <f t="shared" si="3"/>
        <v>0.36343809680994</v>
      </c>
      <c r="K24" s="100">
        <f t="shared" si="3"/>
        <v>-0.0104189183347023</v>
      </c>
      <c r="L24" s="100">
        <f t="shared" si="3"/>
        <v>0.162131935342944</v>
      </c>
      <c r="M24" s="100">
        <f t="shared" si="3"/>
        <v>0.220659218381126</v>
      </c>
      <c r="N24" s="100">
        <f t="shared" si="3"/>
        <v>0.224224692802809</v>
      </c>
      <c r="O24" s="100">
        <f t="shared" si="3"/>
        <v>0.256845784956621</v>
      </c>
      <c r="P24" s="100">
        <f t="shared" si="3"/>
        <v>0.191653919854888</v>
      </c>
      <c r="Q24" s="100">
        <f t="shared" si="3"/>
        <v>0.170035000760255</v>
      </c>
      <c r="R24" s="100">
        <f t="shared" si="3"/>
        <v>0.141581228190496</v>
      </c>
      <c r="S24" s="100">
        <f t="shared" si="3"/>
        <v>0.128911386828356</v>
      </c>
    </row>
    <row r="25" ht="15" customHeight="1" spans="1:19">
      <c r="A25" s="98" t="s">
        <v>55</v>
      </c>
      <c r="B25" s="101"/>
      <c r="C25" s="100">
        <f t="shared" ref="C25:S25" si="4">IFERROR(C9/B9-1,"")</f>
        <v>0.0294513179128564</v>
      </c>
      <c r="D25" s="100">
        <f t="shared" si="4"/>
        <v>-0.0012802090137165</v>
      </c>
      <c r="E25" s="100">
        <f t="shared" si="4"/>
        <v>-0.0308428818081934</v>
      </c>
      <c r="F25" s="100">
        <f t="shared" si="4"/>
        <v>0.0183820552271439</v>
      </c>
      <c r="G25" s="100">
        <f t="shared" si="4"/>
        <v>0.0438666242578456</v>
      </c>
      <c r="H25" s="100">
        <f t="shared" si="4"/>
        <v>0.00312317497397352</v>
      </c>
      <c r="I25" s="100">
        <f t="shared" si="4"/>
        <v>-0.0110869235052903</v>
      </c>
      <c r="J25" s="100">
        <f t="shared" si="4"/>
        <v>0.0361165147947169</v>
      </c>
      <c r="K25" s="100">
        <f t="shared" si="4"/>
        <v>0.048444872650016</v>
      </c>
      <c r="L25" s="100">
        <f t="shared" si="4"/>
        <v>0.177049952874647</v>
      </c>
      <c r="M25" s="100">
        <f t="shared" si="4"/>
        <v>0.0601953797493695</v>
      </c>
      <c r="N25" s="100">
        <f t="shared" si="4"/>
        <v>0.0837975113762959</v>
      </c>
      <c r="O25" s="100">
        <f t="shared" si="4"/>
        <v>0.16734048219765</v>
      </c>
      <c r="P25" s="100">
        <f t="shared" si="4"/>
        <v>0.309806675269664</v>
      </c>
      <c r="Q25" s="100">
        <f t="shared" si="4"/>
        <v>0.493970996692791</v>
      </c>
      <c r="R25" s="100">
        <f t="shared" si="4"/>
        <v>0.406843492226707</v>
      </c>
      <c r="S25" s="100">
        <f t="shared" si="4"/>
        <v>0.214051033777988</v>
      </c>
    </row>
  </sheetData>
  <mergeCells count="4">
    <mergeCell ref="A1:S1"/>
    <mergeCell ref="A3:S3"/>
    <mergeCell ref="A11:S11"/>
    <mergeCell ref="A19:S19"/>
  </mergeCells>
  <conditionalFormatting sqref="B21:S25">
    <cfRule type="colorScale" priority="2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pageMargins left="0.75" right="0.75" top="1" bottom="1" header="0.511805555555556" footer="0.511805555555556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57"/>
  <sheetViews>
    <sheetView showGridLines="0" tabSelected="1" workbookViewId="0">
      <pane xSplit="1" topLeftCell="N1" activePane="topRight" state="frozen"/>
      <selection/>
      <selection pane="topRight" activeCell="O5" sqref="O5:Q9"/>
    </sheetView>
  </sheetViews>
  <sheetFormatPr defaultColWidth="8.6796875" defaultRowHeight="14"/>
  <cols>
    <col min="1" max="1" width="28" customWidth="1"/>
    <col min="2" max="20" width="10" customWidth="1"/>
  </cols>
  <sheetData>
    <row r="1" ht="25.5" customHeight="1" spans="1:1">
      <c r="A1" s="102" t="s">
        <v>77</v>
      </c>
    </row>
    <row r="3" ht="15" customHeight="1" spans="1:1">
      <c r="A3" s="12" t="s">
        <v>78</v>
      </c>
    </row>
    <row r="4" ht="15" customHeight="1" spans="1:19">
      <c r="A4" s="14" t="s">
        <v>69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  <c r="K4" s="15" t="s">
        <v>12</v>
      </c>
      <c r="L4" s="15" t="s">
        <v>13</v>
      </c>
      <c r="M4" s="15" t="s">
        <v>14</v>
      </c>
      <c r="N4" s="15" t="s">
        <v>15</v>
      </c>
      <c r="O4" s="15" t="s">
        <v>16</v>
      </c>
      <c r="P4" s="15" t="s">
        <v>17</v>
      </c>
      <c r="Q4" s="15" t="s">
        <v>18</v>
      </c>
      <c r="R4" s="15" t="s">
        <v>19</v>
      </c>
      <c r="S4" s="15" t="s">
        <v>20</v>
      </c>
    </row>
    <row r="5" ht="15" customHeight="1" spans="1:19">
      <c r="A5" s="98" t="s">
        <v>22</v>
      </c>
      <c r="B5" s="99">
        <f>'0. Database'!C12</f>
        <v>4257</v>
      </c>
      <c r="C5" s="99">
        <f>'0. Database'!D12</f>
        <v>5485</v>
      </c>
      <c r="D5" s="99">
        <f>'0. Database'!E12</f>
        <v>5944</v>
      </c>
      <c r="E5" s="99">
        <f>'0. Database'!F12</f>
        <v>8343</v>
      </c>
      <c r="F5" s="99">
        <f>'0. Database'!G12</f>
        <v>8129</v>
      </c>
      <c r="G5" s="99">
        <f>'0. Database'!H12</f>
        <v>11632</v>
      </c>
      <c r="H5" s="99">
        <f>'0. Database'!I12</f>
        <v>13925</v>
      </c>
      <c r="I5" s="99">
        <f>'0. Database'!J12</f>
        <v>15441</v>
      </c>
      <c r="J5" s="99">
        <f>'0. Database'!K12</f>
        <v>20622</v>
      </c>
      <c r="K5" s="99">
        <f>'0. Database'!L12</f>
        <v>23886</v>
      </c>
      <c r="L5" s="99">
        <f>'0. Database'!M12</f>
        <v>28107</v>
      </c>
      <c r="M5" s="99">
        <f>'0. Database'!N12</f>
        <v>44477</v>
      </c>
      <c r="N5" s="99">
        <f>'0. Database'!O12</f>
        <v>64551</v>
      </c>
      <c r="O5" s="99">
        <f>'0. Database'!P12</f>
        <v>117213.775</v>
      </c>
      <c r="P5" s="99">
        <f>'0. Database'!Q12</f>
        <v>175938.575</v>
      </c>
      <c r="Q5" s="99">
        <f>'0. Database'!R12</f>
        <v>195085</v>
      </c>
      <c r="R5" s="99">
        <f>'0. Database'!S12</f>
        <v>191785.5</v>
      </c>
      <c r="S5" s="99">
        <f>'0. Database'!T12</f>
        <v>196810</v>
      </c>
    </row>
    <row r="6" ht="15" customHeight="1" spans="1:19">
      <c r="A6" s="98" t="s">
        <v>38</v>
      </c>
      <c r="B6" s="99">
        <f>'0. Database'!C28</f>
        <v>3444</v>
      </c>
      <c r="C6" s="99">
        <f>'0. Database'!D28</f>
        <v>4893</v>
      </c>
      <c r="D6" s="99">
        <f>'0. Database'!E28</f>
        <v>5387</v>
      </c>
      <c r="E6" s="99">
        <f>'0. Database'!F28</f>
        <v>7804</v>
      </c>
      <c r="F6" s="99">
        <f>'0. Database'!G28</f>
        <v>11955</v>
      </c>
      <c r="G6" s="99">
        <f>'0. Database'!H28</f>
        <v>13427</v>
      </c>
      <c r="H6" s="99">
        <f>'0. Database'!I28</f>
        <v>16861</v>
      </c>
      <c r="I6" s="99">
        <f>'0. Database'!J28</f>
        <v>40140</v>
      </c>
      <c r="J6" s="99">
        <f>'0. Database'!K28</f>
        <v>61053</v>
      </c>
      <c r="K6" s="99">
        <f>'0. Database'!L28</f>
        <v>63645</v>
      </c>
      <c r="L6" s="99">
        <f>'0. Database'!M28</f>
        <v>52729</v>
      </c>
      <c r="M6" s="99">
        <f>'0. Database'!N28</f>
        <v>82999</v>
      </c>
      <c r="N6" s="99">
        <f>'0. Database'!O28</f>
        <v>131819</v>
      </c>
      <c r="O6" s="99">
        <f>'0. Database'!P28</f>
        <v>199073.703703704</v>
      </c>
      <c r="P6" s="99">
        <f>'0. Database'!Q28</f>
        <v>226404.481481481</v>
      </c>
      <c r="Q6" s="99">
        <f>'0. Database'!R28</f>
        <v>231478.222222222</v>
      </c>
      <c r="R6" s="99">
        <f>'0. Database'!S28</f>
        <v>222715.444444444</v>
      </c>
      <c r="S6" s="99">
        <f>'0. Database'!T28</f>
        <v>224350.555555556</v>
      </c>
    </row>
    <row r="7" ht="15" customHeight="1" spans="1:19">
      <c r="A7" s="98" t="s">
        <v>42</v>
      </c>
      <c r="B7" s="99">
        <f>'0. Database'!C43</f>
        <v>7358</v>
      </c>
      <c r="C7" s="99">
        <f>'0. Database'!D43</f>
        <v>10959</v>
      </c>
      <c r="D7" s="99">
        <f>'0. Database'!E43</f>
        <v>9950</v>
      </c>
      <c r="E7" s="99">
        <f>'0. Database'!F43</f>
        <v>10212</v>
      </c>
      <c r="F7" s="99">
        <f>'0. Database'!G43</f>
        <v>13184</v>
      </c>
      <c r="G7" s="99">
        <f>'0. Database'!H43</f>
        <v>25139</v>
      </c>
      <c r="H7" s="99">
        <f>'0. Database'!I43</f>
        <v>23548</v>
      </c>
      <c r="I7" s="99">
        <f>'0. Database'!J43</f>
        <v>22281</v>
      </c>
      <c r="J7" s="99">
        <f>'0. Database'!K43</f>
        <v>24640</v>
      </c>
      <c r="K7" s="99">
        <f>'0. Database'!L43</f>
        <v>31485</v>
      </c>
      <c r="L7" s="99">
        <f>'0. Database'!M43</f>
        <v>32251</v>
      </c>
      <c r="M7" s="99">
        <f>'0. Database'!N43</f>
        <v>52535</v>
      </c>
      <c r="N7" s="99">
        <f>'0. Database'!O43</f>
        <v>91447</v>
      </c>
      <c r="O7" s="99">
        <f>'0. Database'!P43</f>
        <v>186454.019348801</v>
      </c>
      <c r="P7" s="99">
        <f>'0. Database'!Q43</f>
        <v>244373.725640458</v>
      </c>
      <c r="Q7" s="99">
        <f>'0. Database'!R43</f>
        <v>260117.698684294</v>
      </c>
      <c r="R7" s="99">
        <f>'0. Database'!S43</f>
        <v>255889.491300743</v>
      </c>
      <c r="S7" s="99">
        <f>'0. Database'!T43</f>
        <v>259990.248223234</v>
      </c>
    </row>
    <row r="8" ht="15" customHeight="1" spans="1:19">
      <c r="A8" s="98" t="s">
        <v>48</v>
      </c>
      <c r="B8" s="99">
        <f>'0. Database'!C60</f>
        <v>1362</v>
      </c>
      <c r="C8" s="99">
        <f>'0. Database'!D60</f>
        <v>1831</v>
      </c>
      <c r="D8" s="99">
        <f>'0. Database'!E60</f>
        <v>2523</v>
      </c>
      <c r="E8" s="99">
        <f>'0. Database'!F60</f>
        <v>4491</v>
      </c>
      <c r="F8" s="99">
        <f>'0. Database'!G60</f>
        <v>6733</v>
      </c>
      <c r="G8" s="99">
        <f>'0. Database'!H60</f>
        <v>13915</v>
      </c>
      <c r="H8" s="99">
        <f>'0. Database'!I60</f>
        <v>15102</v>
      </c>
      <c r="I8" s="99">
        <f>'0. Database'!J60</f>
        <v>15163</v>
      </c>
      <c r="J8" s="99">
        <f>'0. Database'!K60</f>
        <v>18690</v>
      </c>
      <c r="K8" s="99">
        <f>'0. Database'!L60</f>
        <v>31431</v>
      </c>
      <c r="L8" s="99">
        <f>'0. Database'!M60</f>
        <v>27266</v>
      </c>
      <c r="M8" s="99">
        <f>'0. Database'!N60</f>
        <v>37256</v>
      </c>
      <c r="N8" s="99">
        <f>'0. Database'!O60</f>
        <v>69691</v>
      </c>
      <c r="O8" s="99">
        <f>'0. Database'!P60</f>
        <v>134391.333333333</v>
      </c>
      <c r="P8" s="99">
        <f>'0. Database'!Q60</f>
        <v>159343.622222222</v>
      </c>
      <c r="Q8" s="99">
        <f>'0. Database'!R60</f>
        <v>171564.878787879</v>
      </c>
      <c r="R8" s="99">
        <f>'0. Database'!S60</f>
        <v>174481.583333333</v>
      </c>
      <c r="S8" s="99">
        <f>'0. Database'!T60</f>
        <v>180526.347826087</v>
      </c>
    </row>
    <row r="9" ht="15" customHeight="1" spans="1:19">
      <c r="A9" s="98" t="s">
        <v>55</v>
      </c>
      <c r="B9" s="99">
        <f>'0. Database'!C78</f>
        <v>650</v>
      </c>
      <c r="C9" s="99">
        <f>'0. Database'!D78</f>
        <v>580</v>
      </c>
      <c r="D9" s="99">
        <f>'0. Database'!E78</f>
        <v>1391</v>
      </c>
      <c r="E9" s="99">
        <f>'0. Database'!F78</f>
        <v>1189</v>
      </c>
      <c r="F9" s="99">
        <f>'0. Database'!G78</f>
        <v>2021</v>
      </c>
      <c r="G9" s="99">
        <f>'0. Database'!H78</f>
        <v>1736</v>
      </c>
      <c r="H9" s="99">
        <f>'0. Database'!I78</f>
        <v>1660</v>
      </c>
      <c r="I9" s="99">
        <f>'0. Database'!J78</f>
        <v>1564</v>
      </c>
      <c r="J9" s="99">
        <f>'0. Database'!K78</f>
        <v>2135</v>
      </c>
      <c r="K9" s="99">
        <f>'0. Database'!L78</f>
        <v>4511</v>
      </c>
      <c r="L9" s="99">
        <f>'0. Database'!M78</f>
        <v>8695</v>
      </c>
      <c r="M9" s="99">
        <f>'0. Database'!N78</f>
        <v>6866</v>
      </c>
      <c r="N9" s="99">
        <f>'0. Database'!O78</f>
        <v>21215</v>
      </c>
      <c r="O9" s="99">
        <f>'0. Database'!P78</f>
        <v>50345.5172413793</v>
      </c>
      <c r="P9" s="99">
        <f>'0. Database'!Q78</f>
        <v>67168.625</v>
      </c>
      <c r="Q9" s="99">
        <f>'0. Database'!R78</f>
        <v>80914.6206896552</v>
      </c>
      <c r="R9" s="99">
        <f>'0. Database'!S78</f>
        <v>87153.4705882353</v>
      </c>
      <c r="S9" s="99">
        <f>'0. Database'!T78</f>
        <v>77098.125</v>
      </c>
    </row>
    <row r="11" ht="15" customHeight="1" spans="1:1">
      <c r="A11" s="12" t="s">
        <v>79</v>
      </c>
    </row>
    <row r="12" ht="15" customHeight="1" spans="1:19">
      <c r="A12" s="14" t="s">
        <v>69</v>
      </c>
      <c r="B12" s="15" t="s">
        <v>3</v>
      </c>
      <c r="C12" s="15" t="s">
        <v>4</v>
      </c>
      <c r="D12" s="15" t="s">
        <v>5</v>
      </c>
      <c r="E12" s="15" t="s">
        <v>6</v>
      </c>
      <c r="F12" s="15" t="s">
        <v>7</v>
      </c>
      <c r="G12" s="15" t="s">
        <v>8</v>
      </c>
      <c r="H12" s="15" t="s">
        <v>9</v>
      </c>
      <c r="I12" s="15" t="s">
        <v>10</v>
      </c>
      <c r="J12" s="15" t="s">
        <v>11</v>
      </c>
      <c r="K12" s="15" t="s">
        <v>12</v>
      </c>
      <c r="L12" s="15" t="s">
        <v>13</v>
      </c>
      <c r="M12" s="15" t="s">
        <v>14</v>
      </c>
      <c r="N12" s="15" t="s">
        <v>15</v>
      </c>
      <c r="O12" s="15" t="s">
        <v>16</v>
      </c>
      <c r="P12" s="15" t="s">
        <v>17</v>
      </c>
      <c r="Q12" s="15" t="s">
        <v>18</v>
      </c>
      <c r="R12" s="15" t="s">
        <v>19</v>
      </c>
      <c r="S12" s="15" t="s">
        <v>20</v>
      </c>
    </row>
    <row r="13" ht="15" customHeight="1" spans="1:19">
      <c r="A13" s="98" t="s">
        <v>22</v>
      </c>
      <c r="B13" s="99">
        <f>'0. Database'!C11</f>
        <v>3755</v>
      </c>
      <c r="C13" s="99">
        <f>'0. Database'!D11</f>
        <v>5212</v>
      </c>
      <c r="D13" s="99">
        <f>'0. Database'!E11</f>
        <v>5957</v>
      </c>
      <c r="E13" s="99">
        <f>'0. Database'!F11</f>
        <v>6622</v>
      </c>
      <c r="F13" s="99">
        <f>'0. Database'!G11</f>
        <v>8778</v>
      </c>
      <c r="G13" s="99">
        <f>'0. Database'!H11</f>
        <v>10261</v>
      </c>
      <c r="H13" s="99">
        <f>'0. Database'!I11</f>
        <v>11682</v>
      </c>
      <c r="I13" s="99">
        <f>'0. Database'!J11</f>
        <v>12796</v>
      </c>
      <c r="J13" s="99">
        <f>'0. Database'!K11</f>
        <v>11686</v>
      </c>
      <c r="K13" s="99">
        <f>'0. Database'!L11</f>
        <v>14460</v>
      </c>
      <c r="L13" s="99">
        <f>'0. Database'!M11</f>
        <v>13861</v>
      </c>
      <c r="M13" s="99">
        <f>'0. Database'!N11</f>
        <v>22287</v>
      </c>
      <c r="N13" s="99">
        <f>'0. Database'!O11</f>
        <v>34153</v>
      </c>
      <c r="O13" s="99">
        <f>'0. Database'!P11</f>
        <v>42005.1089988491</v>
      </c>
      <c r="P13" s="99">
        <f>'0. Database'!Q11</f>
        <v>55415.3050954819</v>
      </c>
      <c r="Q13" s="99">
        <f>'0. Database'!R11</f>
        <v>73946.227431947</v>
      </c>
      <c r="R13" s="99">
        <f>'0. Database'!S11</f>
        <v>97100.1063713892</v>
      </c>
      <c r="S13" s="99">
        <f>'0. Database'!T11</f>
        <v>127810.225249033</v>
      </c>
    </row>
    <row r="14" ht="15" customHeight="1" spans="1:19">
      <c r="A14" s="98" t="s">
        <v>38</v>
      </c>
      <c r="B14" s="99">
        <f>'0. Database'!C27</f>
        <v>3253</v>
      </c>
      <c r="C14" s="99">
        <f>'0. Database'!D27</f>
        <v>4746</v>
      </c>
      <c r="D14" s="99">
        <f>'0. Database'!E27</f>
        <v>6281</v>
      </c>
      <c r="E14" s="99">
        <f>'0. Database'!F27</f>
        <v>8116</v>
      </c>
      <c r="F14" s="99">
        <f>'0. Database'!G27</f>
        <v>11478</v>
      </c>
      <c r="G14" s="99">
        <f>'0. Database'!H27</f>
        <v>15341</v>
      </c>
      <c r="H14" s="99">
        <f>'0. Database'!I27</f>
        <v>21789</v>
      </c>
      <c r="I14" s="99">
        <f>'0. Database'!J27</f>
        <v>25180</v>
      </c>
      <c r="J14" s="99">
        <f>'0. Database'!K27</f>
        <v>34433</v>
      </c>
      <c r="K14" s="99">
        <f>'0. Database'!L27</f>
        <v>41921</v>
      </c>
      <c r="L14" s="99">
        <f>'0. Database'!M27</f>
        <v>48663</v>
      </c>
      <c r="M14" s="99">
        <f>'0. Database'!N27</f>
        <v>52795</v>
      </c>
      <c r="N14" s="99">
        <f>'0. Database'!O27</f>
        <v>65756</v>
      </c>
      <c r="O14" s="99">
        <f>'0. Database'!P27</f>
        <v>84391.5805352369</v>
      </c>
      <c r="P14" s="99">
        <f>'0. Database'!Q27</f>
        <v>107181.816361416</v>
      </c>
      <c r="Q14" s="99">
        <f>'0. Database'!R27</f>
        <v>131811.179161373</v>
      </c>
      <c r="R14" s="99">
        <f>'0. Database'!S27</f>
        <v>145951.115563808</v>
      </c>
      <c r="S14" s="99">
        <f>'0. Database'!T27</f>
        <v>164275.194314539</v>
      </c>
    </row>
    <row r="15" ht="15" customHeight="1" spans="1:19">
      <c r="A15" s="98" t="s">
        <v>42</v>
      </c>
      <c r="B15" s="99">
        <f>'0. Database'!C42</f>
        <v>2781</v>
      </c>
      <c r="C15" s="99">
        <f>'0. Database'!D42</f>
        <v>3523</v>
      </c>
      <c r="D15" s="99">
        <f>'0. Database'!E42</f>
        <v>4132</v>
      </c>
      <c r="E15" s="99">
        <f>'0. Database'!F42</f>
        <v>5267</v>
      </c>
      <c r="F15" s="99">
        <f>'0. Database'!G42</f>
        <v>6103</v>
      </c>
      <c r="G15" s="99">
        <f>'0. Database'!H42</f>
        <v>8164</v>
      </c>
      <c r="H15" s="99">
        <f>'0. Database'!I42</f>
        <v>10856</v>
      </c>
      <c r="I15" s="99">
        <f>'0. Database'!J42</f>
        <v>12905</v>
      </c>
      <c r="J15" s="99">
        <f>'0. Database'!K42</f>
        <v>11555</v>
      </c>
      <c r="K15" s="99">
        <f>'0. Database'!L42</f>
        <v>15287</v>
      </c>
      <c r="L15" s="99">
        <f>'0. Database'!M42</f>
        <v>13326</v>
      </c>
      <c r="M15" s="99">
        <f>'0. Database'!N42</f>
        <v>15311</v>
      </c>
      <c r="N15" s="99">
        <f>'0. Database'!O42</f>
        <v>21136</v>
      </c>
      <c r="O15" s="99">
        <f>'0. Database'!P42</f>
        <v>42874.7</v>
      </c>
      <c r="P15" s="99">
        <f>'0. Database'!Q42</f>
        <v>69582.72</v>
      </c>
      <c r="Q15" s="99">
        <f>'0. Database'!R42</f>
        <v>98340.16</v>
      </c>
      <c r="R15" s="99">
        <f>'0. Database'!S42</f>
        <v>127674.93</v>
      </c>
      <c r="S15" s="99">
        <f>'0. Database'!T42</f>
        <v>156155.17</v>
      </c>
    </row>
    <row r="16" ht="15" customHeight="1" spans="1:19">
      <c r="A16" s="98" t="s">
        <v>48</v>
      </c>
      <c r="B16" s="99">
        <f>'0. Database'!C59</f>
        <v>1011</v>
      </c>
      <c r="C16" s="99">
        <f>'0. Database'!D59</f>
        <v>1243</v>
      </c>
      <c r="D16" s="99">
        <f>'0. Database'!E59</f>
        <v>1945</v>
      </c>
      <c r="E16" s="99">
        <f>'0. Database'!F59</f>
        <v>2342</v>
      </c>
      <c r="F16" s="99">
        <f>'0. Database'!G59</f>
        <v>3025</v>
      </c>
      <c r="G16" s="99">
        <f>'0. Database'!H59</f>
        <v>4315</v>
      </c>
      <c r="H16" s="99">
        <f>'0. Database'!I59</f>
        <v>5741</v>
      </c>
      <c r="I16" s="99">
        <f>'0. Database'!J59</f>
        <v>6862</v>
      </c>
      <c r="J16" s="99">
        <f>'0. Database'!K59</f>
        <v>7967</v>
      </c>
      <c r="K16" s="99">
        <f>'0. Database'!L59</f>
        <v>8686</v>
      </c>
      <c r="L16" s="99">
        <f>'0. Database'!M59</f>
        <v>11178</v>
      </c>
      <c r="M16" s="99">
        <f>'0. Database'!N59</f>
        <v>15498</v>
      </c>
      <c r="N16" s="99">
        <f>'0. Database'!O59</f>
        <v>18616</v>
      </c>
      <c r="O16" s="99">
        <f>'0. Database'!P59</f>
        <v>29596.5475823982</v>
      </c>
      <c r="P16" s="99">
        <f>'0. Database'!Q59</f>
        <v>43105.4763900207</v>
      </c>
      <c r="Q16" s="99">
        <f>'0. Database'!R59</f>
        <v>57217.3678719479</v>
      </c>
      <c r="R16" s="99">
        <f>'0. Database'!S59</f>
        <v>74363.3760173666</v>
      </c>
      <c r="S16" s="99">
        <f>'0. Database'!T59</f>
        <v>87724.3650531103</v>
      </c>
    </row>
    <row r="17" ht="15" customHeight="1" spans="1:19">
      <c r="A17" s="98" t="s">
        <v>55</v>
      </c>
      <c r="B17" s="99">
        <f>'0. Database'!C77</f>
        <v>2931</v>
      </c>
      <c r="C17" s="99">
        <f>'0. Database'!D77</f>
        <v>2908</v>
      </c>
      <c r="D17" s="99">
        <f>'0. Database'!E77</f>
        <v>2861</v>
      </c>
      <c r="E17" s="99">
        <f>'0. Database'!F77</f>
        <v>2509</v>
      </c>
      <c r="F17" s="99">
        <f>'0. Database'!G77</f>
        <v>2451</v>
      </c>
      <c r="G17" s="99">
        <f>'0. Database'!H77</f>
        <v>2785</v>
      </c>
      <c r="H17" s="99">
        <f>'0. Database'!I77</f>
        <v>2919</v>
      </c>
      <c r="I17" s="99">
        <f>'0. Database'!J77</f>
        <v>2968</v>
      </c>
      <c r="J17" s="99">
        <f>'0. Database'!K77</f>
        <v>2916</v>
      </c>
      <c r="K17" s="99">
        <f>'0. Database'!L77</f>
        <v>3122</v>
      </c>
      <c r="L17" s="99">
        <f>'0. Database'!M77</f>
        <v>6108</v>
      </c>
      <c r="M17" s="99">
        <f>'0. Database'!N77</f>
        <v>6139</v>
      </c>
      <c r="N17" s="99">
        <f>'0. Database'!O77</f>
        <v>6174</v>
      </c>
      <c r="O17" s="99">
        <f>'0. Database'!P77</f>
        <v>9142.31704315117</v>
      </c>
      <c r="P17" s="99">
        <f>'0. Database'!Q77</f>
        <v>13499.8347422464</v>
      </c>
      <c r="Q17" s="99">
        <f>'0. Database'!R77</f>
        <v>21615.5713480528</v>
      </c>
      <c r="R17" s="99">
        <f>'0. Database'!S77</f>
        <v>30404.7707320922</v>
      </c>
      <c r="S17" s="99">
        <f>'0. Database'!T77</f>
        <v>37972.1809020151</v>
      </c>
    </row>
    <row r="19" ht="15" customHeight="1" spans="1:1">
      <c r="A19" s="12" t="s">
        <v>80</v>
      </c>
    </row>
    <row r="20" ht="15" customHeight="1" spans="1:19">
      <c r="A20" s="14" t="s">
        <v>69</v>
      </c>
      <c r="B20" s="15" t="s">
        <v>3</v>
      </c>
      <c r="C20" s="15" t="s">
        <v>4</v>
      </c>
      <c r="D20" s="15" t="s">
        <v>5</v>
      </c>
      <c r="E20" s="15" t="s">
        <v>6</v>
      </c>
      <c r="F20" s="15" t="s">
        <v>7</v>
      </c>
      <c r="G20" s="15" t="s">
        <v>8</v>
      </c>
      <c r="H20" s="15" t="s">
        <v>9</v>
      </c>
      <c r="I20" s="15" t="s">
        <v>10</v>
      </c>
      <c r="J20" s="15" t="s">
        <v>11</v>
      </c>
      <c r="K20" s="15" t="s">
        <v>12</v>
      </c>
      <c r="L20" s="15" t="s">
        <v>13</v>
      </c>
      <c r="M20" s="15" t="s">
        <v>14</v>
      </c>
      <c r="N20" s="15" t="s">
        <v>15</v>
      </c>
      <c r="O20" s="15" t="s">
        <v>16</v>
      </c>
      <c r="P20" s="15" t="s">
        <v>17</v>
      </c>
      <c r="Q20" s="15" t="s">
        <v>18</v>
      </c>
      <c r="R20" s="15" t="s">
        <v>19</v>
      </c>
      <c r="S20" s="15" t="s">
        <v>20</v>
      </c>
    </row>
    <row r="21" ht="15" customHeight="1" spans="1:19">
      <c r="A21" s="98" t="s">
        <v>22</v>
      </c>
      <c r="B21" s="99">
        <f>'0. Database'!C5</f>
        <v>77849</v>
      </c>
      <c r="C21" s="99">
        <f>'0. Database'!D5</f>
        <v>86833</v>
      </c>
      <c r="D21" s="99">
        <f>'0. Database'!E5</f>
        <v>93580</v>
      </c>
      <c r="E21" s="99">
        <f>'0. Database'!F5</f>
        <v>91154</v>
      </c>
      <c r="F21" s="99">
        <f>'0. Database'!G5</f>
        <v>96571</v>
      </c>
      <c r="G21" s="99">
        <f>'0. Database'!H5</f>
        <v>110360</v>
      </c>
      <c r="H21" s="99">
        <f>'0. Database'!I5</f>
        <v>125843</v>
      </c>
      <c r="I21" s="99">
        <f>'0. Database'!J5</f>
        <v>143015</v>
      </c>
      <c r="J21" s="99">
        <f>'0. Database'!K5</f>
        <v>168088</v>
      </c>
      <c r="K21" s="99">
        <f>'0. Database'!L5</f>
        <v>198270</v>
      </c>
      <c r="L21" s="99">
        <f>'0. Database'!M5</f>
        <v>211915</v>
      </c>
      <c r="M21" s="99">
        <f>'0. Database'!N5</f>
        <v>245122</v>
      </c>
      <c r="N21" s="99">
        <f>'0. Database'!O5</f>
        <v>281724</v>
      </c>
      <c r="O21" s="99">
        <f>'0. Database'!P5</f>
        <v>319618.352346443</v>
      </c>
      <c r="P21" s="99">
        <f>'0. Database'!Q5</f>
        <v>373106.65121074</v>
      </c>
      <c r="Q21" s="99">
        <f>'0. Database'!R5</f>
        <v>445409.632709663</v>
      </c>
      <c r="R21" s="99">
        <f>'0. Database'!S5</f>
        <v>534000.031144246</v>
      </c>
      <c r="S21" s="99">
        <f>'0. Database'!T5</f>
        <v>628544.330275335</v>
      </c>
    </row>
    <row r="22" ht="15" customHeight="1" spans="1:19">
      <c r="A22" s="98" t="s">
        <v>38</v>
      </c>
      <c r="B22" s="99">
        <f>'0. Database'!C21</f>
        <v>41410</v>
      </c>
      <c r="C22" s="99">
        <f>'0. Database'!D21</f>
        <v>50834</v>
      </c>
      <c r="D22" s="99">
        <f>'0. Database'!E21</f>
        <v>63708</v>
      </c>
      <c r="E22" s="99">
        <f>'0. Database'!F21</f>
        <v>79785</v>
      </c>
      <c r="F22" s="99">
        <f>'0. Database'!G21</f>
        <v>106110</v>
      </c>
      <c r="G22" s="99">
        <f>'0. Database'!H21</f>
        <v>141366</v>
      </c>
      <c r="H22" s="99">
        <f>'0. Database'!I21</f>
        <v>170773</v>
      </c>
      <c r="I22" s="99">
        <f>'0. Database'!J21</f>
        <v>236282</v>
      </c>
      <c r="J22" s="99">
        <f>'0. Database'!K21</f>
        <v>279833</v>
      </c>
      <c r="K22" s="99">
        <f>'0. Database'!L21</f>
        <v>315880</v>
      </c>
      <c r="L22" s="99">
        <f>'0. Database'!M21</f>
        <v>352828</v>
      </c>
      <c r="M22" s="99">
        <f>'0. Database'!N21</f>
        <v>387497</v>
      </c>
      <c r="N22" s="99">
        <f>'0. Database'!O21</f>
        <v>426305</v>
      </c>
      <c r="O22" s="99">
        <f>'0. Database'!P21</f>
        <v>461081.718871665</v>
      </c>
      <c r="P22" s="99">
        <f>'0. Database'!Q21</f>
        <v>516677.030980667</v>
      </c>
      <c r="Q22" s="99">
        <f>'0. Database'!R21</f>
        <v>556072.426496916</v>
      </c>
      <c r="R22" s="99">
        <f>'0. Database'!S21</f>
        <v>599450.605497709</v>
      </c>
      <c r="S22" s="99">
        <f>'0. Database'!T21</f>
        <v>645470.672783422</v>
      </c>
    </row>
    <row r="23" ht="15" customHeight="1" spans="1:19">
      <c r="A23" s="98" t="s">
        <v>42</v>
      </c>
      <c r="B23" s="99">
        <f>'0. Database'!C36</f>
        <v>55519</v>
      </c>
      <c r="C23" s="99">
        <f>'0. Database'!D36</f>
        <v>66001</v>
      </c>
      <c r="D23" s="99">
        <f>'0. Database'!E36</f>
        <v>74989</v>
      </c>
      <c r="E23" s="99">
        <f>'0. Database'!F36</f>
        <v>90272</v>
      </c>
      <c r="F23" s="99">
        <f>'0. Database'!G36</f>
        <v>110855</v>
      </c>
      <c r="G23" s="99">
        <f>'0. Database'!H36</f>
        <v>136819</v>
      </c>
      <c r="H23" s="99">
        <f>'0. Database'!I36</f>
        <v>161857</v>
      </c>
      <c r="I23" s="99">
        <f>'0. Database'!J36</f>
        <v>182527</v>
      </c>
      <c r="J23" s="99">
        <f>'0. Database'!K36</f>
        <v>257637</v>
      </c>
      <c r="K23" s="99">
        <f>'0. Database'!L36</f>
        <v>282836</v>
      </c>
      <c r="L23" s="99">
        <f>'0. Database'!M36</f>
        <v>307394</v>
      </c>
      <c r="M23" s="99">
        <f>'0. Database'!N36</f>
        <v>350018</v>
      </c>
      <c r="N23" s="99">
        <f>'0. Database'!O36</f>
        <v>402836</v>
      </c>
      <c r="O23" s="99">
        <f>'0. Database'!P36</f>
        <v>486455.791246222</v>
      </c>
      <c r="P23" s="99">
        <f>'0. Database'!Q36</f>
        <v>578508.878663099</v>
      </c>
      <c r="Q23" s="99">
        <f>'0. Database'!R36</f>
        <v>684008.76561542</v>
      </c>
      <c r="R23" s="99">
        <f>'0. Database'!S36</f>
        <v>805409.013758559</v>
      </c>
      <c r="S23" s="99">
        <f>'0. Database'!T36</f>
        <v>941245.15705466</v>
      </c>
    </row>
    <row r="24" ht="15" customHeight="1" spans="1:19">
      <c r="A24" s="98" t="s">
        <v>48</v>
      </c>
      <c r="B24" s="99">
        <f>'0. Database'!C53</f>
        <v>7872</v>
      </c>
      <c r="C24" s="99">
        <f>'0. Database'!D53</f>
        <v>12466</v>
      </c>
      <c r="D24" s="99">
        <f>'0. Database'!E53</f>
        <v>17928</v>
      </c>
      <c r="E24" s="99">
        <f>'0. Database'!F53</f>
        <v>27638</v>
      </c>
      <c r="F24" s="99">
        <f>'0. Database'!G53</f>
        <v>40653</v>
      </c>
      <c r="G24" s="99">
        <f>'0. Database'!H53</f>
        <v>55838</v>
      </c>
      <c r="H24" s="99">
        <f>'0. Database'!I53</f>
        <v>70196</v>
      </c>
      <c r="I24" s="99">
        <f>'0. Database'!J53</f>
        <v>84826</v>
      </c>
      <c r="J24" s="99">
        <f>'0. Database'!K53</f>
        <v>115655</v>
      </c>
      <c r="K24" s="99">
        <f>'0. Database'!L53</f>
        <v>114450</v>
      </c>
      <c r="L24" s="99">
        <f>'0. Database'!M53</f>
        <v>133006</v>
      </c>
      <c r="M24" s="99">
        <f>'0. Database'!N53</f>
        <v>162355</v>
      </c>
      <c r="N24" s="99">
        <f>'0. Database'!O53</f>
        <v>198759</v>
      </c>
      <c r="O24" s="99">
        <f>'0. Database'!P53</f>
        <v>249809.411372193</v>
      </c>
      <c r="P24" s="99">
        <f>'0. Database'!Q53</f>
        <v>297686.364278316</v>
      </c>
      <c r="Q24" s="99">
        <f>'0. Database'!R53</f>
        <v>348303.465454697</v>
      </c>
      <c r="R24" s="99">
        <f>'0. Database'!S53</f>
        <v>397616.697876779</v>
      </c>
      <c r="S24" s="99">
        <f>'0. Database'!T53</f>
        <v>448874.017826186</v>
      </c>
    </row>
    <row r="25" ht="15" customHeight="1" spans="1:19">
      <c r="A25" s="98" t="s">
        <v>55</v>
      </c>
      <c r="B25" s="99">
        <f>'0. Database'!C71</f>
        <v>37180</v>
      </c>
      <c r="C25" s="99">
        <f>'0. Database'!D71</f>
        <v>38275</v>
      </c>
      <c r="D25" s="99">
        <f>'0. Database'!E71</f>
        <v>38226</v>
      </c>
      <c r="E25" s="99">
        <f>'0. Database'!F71</f>
        <v>37047</v>
      </c>
      <c r="F25" s="99">
        <f>'0. Database'!G71</f>
        <v>37728</v>
      </c>
      <c r="G25" s="99">
        <f>'0. Database'!H71</f>
        <v>39383</v>
      </c>
      <c r="H25" s="99">
        <f>'0. Database'!I71</f>
        <v>39506</v>
      </c>
      <c r="I25" s="99">
        <f>'0. Database'!J71</f>
        <v>39068</v>
      </c>
      <c r="J25" s="99">
        <f>'0. Database'!K71</f>
        <v>40479</v>
      </c>
      <c r="K25" s="99">
        <f>'0. Database'!L71</f>
        <v>42440</v>
      </c>
      <c r="L25" s="99">
        <f>'0. Database'!M71</f>
        <v>49954</v>
      </c>
      <c r="M25" s="99">
        <f>'0. Database'!N71</f>
        <v>52961</v>
      </c>
      <c r="N25" s="99">
        <f>'0. Database'!O71</f>
        <v>57399</v>
      </c>
      <c r="O25" s="99">
        <f>'0. Database'!P71</f>
        <v>67004.1763376629</v>
      </c>
      <c r="P25" s="99">
        <f>'0. Database'!Q71</f>
        <v>87762.5174380165</v>
      </c>
      <c r="Q25" s="99">
        <f>'0. Database'!R71</f>
        <v>131114.655649142</v>
      </c>
      <c r="R25" s="99">
        <f>'0. Database'!S71</f>
        <v>184457.800035541</v>
      </c>
      <c r="S25" s="99">
        <f>'0. Database'!T71</f>
        <v>223941.182821562</v>
      </c>
    </row>
    <row r="27" ht="15" customHeight="1" spans="1:1">
      <c r="A27" s="12" t="s">
        <v>81</v>
      </c>
    </row>
    <row r="28" ht="15" customHeight="1" spans="1:19">
      <c r="A28" s="14" t="s">
        <v>69</v>
      </c>
      <c r="B28" s="15" t="s">
        <v>3</v>
      </c>
      <c r="C28" s="15" t="s">
        <v>4</v>
      </c>
      <c r="D28" s="15" t="s">
        <v>5</v>
      </c>
      <c r="E28" s="15" t="s">
        <v>6</v>
      </c>
      <c r="F28" s="15" t="s">
        <v>7</v>
      </c>
      <c r="G28" s="15" t="s">
        <v>8</v>
      </c>
      <c r="H28" s="15" t="s">
        <v>9</v>
      </c>
      <c r="I28" s="15" t="s">
        <v>10</v>
      </c>
      <c r="J28" s="15" t="s">
        <v>11</v>
      </c>
      <c r="K28" s="15" t="s">
        <v>12</v>
      </c>
      <c r="L28" s="15" t="s">
        <v>13</v>
      </c>
      <c r="M28" s="15" t="s">
        <v>14</v>
      </c>
      <c r="N28" s="15" t="s">
        <v>15</v>
      </c>
      <c r="O28" s="15" t="s">
        <v>16</v>
      </c>
      <c r="P28" s="15" t="s">
        <v>17</v>
      </c>
      <c r="Q28" s="15" t="s">
        <v>18</v>
      </c>
      <c r="R28" s="15" t="s">
        <v>19</v>
      </c>
      <c r="S28" s="15" t="s">
        <v>20</v>
      </c>
    </row>
    <row r="29" ht="15" customHeight="1" spans="1:19">
      <c r="A29" s="98" t="s">
        <v>22</v>
      </c>
      <c r="B29" s="101"/>
      <c r="C29" s="100">
        <f t="shared" ref="C29:S29" si="0">IFERROR(C5/B5-1,"")</f>
        <v>0.288466055907916</v>
      </c>
      <c r="D29" s="100">
        <f t="shared" si="0"/>
        <v>0.0836827711941659</v>
      </c>
      <c r="E29" s="100">
        <f t="shared" si="0"/>
        <v>0.403600269179004</v>
      </c>
      <c r="F29" s="100">
        <f t="shared" si="0"/>
        <v>-0.0256502457149707</v>
      </c>
      <c r="G29" s="100">
        <f t="shared" si="0"/>
        <v>0.430926313199655</v>
      </c>
      <c r="H29" s="100">
        <f t="shared" si="0"/>
        <v>0.197128610729023</v>
      </c>
      <c r="I29" s="100">
        <f t="shared" si="0"/>
        <v>0.10886894075404</v>
      </c>
      <c r="J29" s="100">
        <f t="shared" si="0"/>
        <v>0.335535263260152</v>
      </c>
      <c r="K29" s="100">
        <f t="shared" si="0"/>
        <v>0.158277567646203</v>
      </c>
      <c r="L29" s="100">
        <f t="shared" si="0"/>
        <v>0.1767143933685</v>
      </c>
      <c r="M29" s="100">
        <f t="shared" si="0"/>
        <v>0.58241719144697</v>
      </c>
      <c r="N29" s="100">
        <f t="shared" si="0"/>
        <v>0.451334397553792</v>
      </c>
      <c r="O29" s="100">
        <f t="shared" si="0"/>
        <v>0.815832055274124</v>
      </c>
      <c r="P29" s="100">
        <f t="shared" si="0"/>
        <v>0.501005961116772</v>
      </c>
      <c r="Q29" s="100">
        <f t="shared" si="0"/>
        <v>0.108824486045769</v>
      </c>
      <c r="R29" s="100">
        <f t="shared" si="0"/>
        <v>-0.0169131404259681</v>
      </c>
      <c r="S29" s="100">
        <f t="shared" si="0"/>
        <v>0.0261985395141968</v>
      </c>
    </row>
    <row r="30" ht="15" customHeight="1" spans="1:19">
      <c r="A30" s="98" t="s">
        <v>38</v>
      </c>
      <c r="B30" s="101"/>
      <c r="C30" s="100">
        <f t="shared" ref="C30:S30" si="1">IFERROR(C6/B6-1,"")</f>
        <v>0.420731707317073</v>
      </c>
      <c r="D30" s="100">
        <f t="shared" si="1"/>
        <v>0.100960555896178</v>
      </c>
      <c r="E30" s="100">
        <f t="shared" si="1"/>
        <v>0.448672730647856</v>
      </c>
      <c r="F30" s="100">
        <f t="shared" si="1"/>
        <v>0.531906714505382</v>
      </c>
      <c r="G30" s="100">
        <f t="shared" si="1"/>
        <v>0.123128398159766</v>
      </c>
      <c r="H30" s="100">
        <f t="shared" si="1"/>
        <v>0.255753332836821</v>
      </c>
      <c r="I30" s="100">
        <f t="shared" si="1"/>
        <v>1.3806417175731</v>
      </c>
      <c r="J30" s="100">
        <f t="shared" si="1"/>
        <v>0.521001494768311</v>
      </c>
      <c r="K30" s="100">
        <f t="shared" si="1"/>
        <v>0.0424549162203331</v>
      </c>
      <c r="L30" s="100">
        <f t="shared" si="1"/>
        <v>-0.171513865975332</v>
      </c>
      <c r="M30" s="100">
        <f t="shared" si="1"/>
        <v>0.574067401240304</v>
      </c>
      <c r="N30" s="100">
        <f t="shared" si="1"/>
        <v>0.588199857829612</v>
      </c>
      <c r="O30" s="100">
        <f t="shared" si="1"/>
        <v>0.51020493027336</v>
      </c>
      <c r="P30" s="100">
        <f t="shared" si="1"/>
        <v>0.137289743794868</v>
      </c>
      <c r="Q30" s="100">
        <f t="shared" si="1"/>
        <v>0.0224100720424829</v>
      </c>
      <c r="R30" s="100">
        <f t="shared" si="1"/>
        <v>-0.0378557330087217</v>
      </c>
      <c r="S30" s="100">
        <f t="shared" si="1"/>
        <v>0.00734170508556664</v>
      </c>
    </row>
    <row r="31" ht="15" customHeight="1" spans="1:19">
      <c r="A31" s="98" t="s">
        <v>42</v>
      </c>
      <c r="B31" s="101"/>
      <c r="C31" s="100">
        <f t="shared" ref="C31:S31" si="2">IFERROR(C7/B7-1,"")</f>
        <v>0.489399293286219</v>
      </c>
      <c r="D31" s="100">
        <f t="shared" si="2"/>
        <v>-0.0920704443836117</v>
      </c>
      <c r="E31" s="100">
        <f t="shared" si="2"/>
        <v>0.0263316582914572</v>
      </c>
      <c r="F31" s="100">
        <f t="shared" si="2"/>
        <v>0.291030160595378</v>
      </c>
      <c r="G31" s="100">
        <f t="shared" si="2"/>
        <v>0.906780946601942</v>
      </c>
      <c r="H31" s="100">
        <f t="shared" si="2"/>
        <v>-0.0632881180635666</v>
      </c>
      <c r="I31" s="100">
        <f t="shared" si="2"/>
        <v>-0.0538049940546967</v>
      </c>
      <c r="J31" s="100">
        <f t="shared" si="2"/>
        <v>0.105874960728872</v>
      </c>
      <c r="K31" s="100">
        <f t="shared" si="2"/>
        <v>0.277800324675325</v>
      </c>
      <c r="L31" s="100">
        <f t="shared" si="2"/>
        <v>0.0243290455772591</v>
      </c>
      <c r="M31" s="100">
        <f t="shared" si="2"/>
        <v>0.628941738240675</v>
      </c>
      <c r="N31" s="100">
        <f t="shared" si="2"/>
        <v>0.740687160940326</v>
      </c>
      <c r="O31" s="100">
        <f t="shared" si="2"/>
        <v>1.03892986482663</v>
      </c>
      <c r="P31" s="100">
        <f t="shared" si="2"/>
        <v>0.310638014100979</v>
      </c>
      <c r="Q31" s="100">
        <f t="shared" si="2"/>
        <v>0.0644258011067842</v>
      </c>
      <c r="R31" s="100">
        <f t="shared" si="2"/>
        <v>-0.016254977669485</v>
      </c>
      <c r="S31" s="100">
        <f t="shared" si="2"/>
        <v>0.0160254995296836</v>
      </c>
    </row>
    <row r="32" ht="15" customHeight="1" spans="1:19">
      <c r="A32" s="98" t="s">
        <v>48</v>
      </c>
      <c r="B32" s="101"/>
      <c r="C32" s="100">
        <f t="shared" ref="C32:S32" si="3">IFERROR(C8/B8-1,"")</f>
        <v>0.344346549192364</v>
      </c>
      <c r="D32" s="100">
        <f t="shared" si="3"/>
        <v>0.37793555434189</v>
      </c>
      <c r="E32" s="100">
        <f t="shared" si="3"/>
        <v>0.780023781212842</v>
      </c>
      <c r="F32" s="100">
        <f t="shared" si="3"/>
        <v>0.499220663549321</v>
      </c>
      <c r="G32" s="100">
        <f t="shared" si="3"/>
        <v>1.06668646962721</v>
      </c>
      <c r="H32" s="100">
        <f t="shared" si="3"/>
        <v>0.085303629177147</v>
      </c>
      <c r="I32" s="100">
        <f t="shared" si="3"/>
        <v>0.00403920010594616</v>
      </c>
      <c r="J32" s="100">
        <f t="shared" si="3"/>
        <v>0.232605684890853</v>
      </c>
      <c r="K32" s="100">
        <f t="shared" si="3"/>
        <v>0.681701444622793</v>
      </c>
      <c r="L32" s="100">
        <f t="shared" si="3"/>
        <v>-0.132512487671407</v>
      </c>
      <c r="M32" s="100">
        <f t="shared" si="3"/>
        <v>0.366390376292819</v>
      </c>
      <c r="N32" s="100">
        <f t="shared" si="3"/>
        <v>0.870598024479279</v>
      </c>
      <c r="O32" s="100">
        <f t="shared" si="3"/>
        <v>0.928388648940796</v>
      </c>
      <c r="P32" s="100">
        <f t="shared" si="3"/>
        <v>0.18566888407156</v>
      </c>
      <c r="Q32" s="100">
        <f t="shared" si="3"/>
        <v>0.0766974943535117</v>
      </c>
      <c r="R32" s="100">
        <f t="shared" si="3"/>
        <v>0.0170005922311185</v>
      </c>
      <c r="S32" s="100">
        <f t="shared" si="3"/>
        <v>0.0346441405291811</v>
      </c>
    </row>
    <row r="33" ht="15" customHeight="1" spans="1:19">
      <c r="A33" s="98" t="s">
        <v>55</v>
      </c>
      <c r="B33" s="101"/>
      <c r="C33" s="100">
        <f t="shared" ref="C33:S33" si="4">IFERROR(C9/B9-1,"")</f>
        <v>-0.107692307692308</v>
      </c>
      <c r="D33" s="100">
        <f t="shared" si="4"/>
        <v>1.39827586206897</v>
      </c>
      <c r="E33" s="100">
        <f t="shared" si="4"/>
        <v>-0.145219266714594</v>
      </c>
      <c r="F33" s="100">
        <f t="shared" si="4"/>
        <v>0.699747687132044</v>
      </c>
      <c r="G33" s="100">
        <f t="shared" si="4"/>
        <v>-0.141019297377536</v>
      </c>
      <c r="H33" s="100">
        <f t="shared" si="4"/>
        <v>-0.0437788018433179</v>
      </c>
      <c r="I33" s="100">
        <f t="shared" si="4"/>
        <v>-0.0578313253012048</v>
      </c>
      <c r="J33" s="100">
        <f t="shared" si="4"/>
        <v>0.365089514066496</v>
      </c>
      <c r="K33" s="100">
        <f t="shared" si="4"/>
        <v>1.11288056206089</v>
      </c>
      <c r="L33" s="100">
        <f t="shared" si="4"/>
        <v>0.927510529816005</v>
      </c>
      <c r="M33" s="100">
        <f t="shared" si="4"/>
        <v>-0.210350776308223</v>
      </c>
      <c r="N33" s="100">
        <f t="shared" si="4"/>
        <v>2.08986309350422</v>
      </c>
      <c r="O33" s="100">
        <f t="shared" si="4"/>
        <v>1.37310946223801</v>
      </c>
      <c r="P33" s="100">
        <f t="shared" si="4"/>
        <v>0.334153042424077</v>
      </c>
      <c r="Q33" s="100">
        <f t="shared" si="4"/>
        <v>0.204649055859863</v>
      </c>
      <c r="R33" s="100">
        <f t="shared" si="4"/>
        <v>0.0771041110420447</v>
      </c>
      <c r="S33" s="100">
        <f t="shared" si="4"/>
        <v>-0.115375159708128</v>
      </c>
    </row>
    <row r="35" ht="15" customHeight="1" spans="1:1">
      <c r="A35" s="12" t="s">
        <v>82</v>
      </c>
    </row>
    <row r="36" ht="15" customHeight="1" spans="1:19">
      <c r="A36" s="14" t="s">
        <v>69</v>
      </c>
      <c r="B36" s="15" t="s">
        <v>3</v>
      </c>
      <c r="C36" s="15" t="s">
        <v>4</v>
      </c>
      <c r="D36" s="15" t="s">
        <v>5</v>
      </c>
      <c r="E36" s="15" t="s">
        <v>6</v>
      </c>
      <c r="F36" s="15" t="s">
        <v>7</v>
      </c>
      <c r="G36" s="15" t="s">
        <v>8</v>
      </c>
      <c r="H36" s="15" t="s">
        <v>9</v>
      </c>
      <c r="I36" s="15" t="s">
        <v>10</v>
      </c>
      <c r="J36" s="15" t="s">
        <v>11</v>
      </c>
      <c r="K36" s="15" t="s">
        <v>12</v>
      </c>
      <c r="L36" s="15" t="s">
        <v>13</v>
      </c>
      <c r="M36" s="15" t="s">
        <v>14</v>
      </c>
      <c r="N36" s="15" t="s">
        <v>15</v>
      </c>
      <c r="O36" s="15" t="s">
        <v>16</v>
      </c>
      <c r="P36" s="15" t="s">
        <v>17</v>
      </c>
      <c r="Q36" s="15" t="s">
        <v>18</v>
      </c>
      <c r="R36" s="15" t="s">
        <v>19</v>
      </c>
      <c r="S36" s="15" t="s">
        <v>20</v>
      </c>
    </row>
    <row r="37" ht="15" customHeight="1" spans="1:19">
      <c r="A37" s="98" t="s">
        <v>22</v>
      </c>
      <c r="B37" s="100">
        <f t="shared" ref="B37:S37" si="5">IFERROR(B5/B21,"")</f>
        <v>0.0546827833369729</v>
      </c>
      <c r="C37" s="100">
        <f t="shared" si="5"/>
        <v>0.0631672290488639</v>
      </c>
      <c r="D37" s="100">
        <f t="shared" si="5"/>
        <v>0.0635178456935243</v>
      </c>
      <c r="E37" s="100">
        <f t="shared" si="5"/>
        <v>0.0915264278034974</v>
      </c>
      <c r="F37" s="100">
        <f t="shared" si="5"/>
        <v>0.0841764090669041</v>
      </c>
      <c r="G37" s="100">
        <f t="shared" si="5"/>
        <v>0.105400507430228</v>
      </c>
      <c r="H37" s="100">
        <f t="shared" si="5"/>
        <v>0.110653751102564</v>
      </c>
      <c r="I37" s="100">
        <f t="shared" si="5"/>
        <v>0.107967695696256</v>
      </c>
      <c r="J37" s="100">
        <f t="shared" si="5"/>
        <v>0.122685736043025</v>
      </c>
      <c r="K37" s="100">
        <f t="shared" si="5"/>
        <v>0.120472083522469</v>
      </c>
      <c r="L37" s="100">
        <f t="shared" si="5"/>
        <v>0.132633367151924</v>
      </c>
      <c r="M37" s="100">
        <f t="shared" si="5"/>
        <v>0.181448421602304</v>
      </c>
      <c r="N37" s="100">
        <f t="shared" si="5"/>
        <v>0.229128508753248</v>
      </c>
      <c r="O37" s="100">
        <f t="shared" si="5"/>
        <v>0.36673042752235</v>
      </c>
      <c r="P37" s="100">
        <f t="shared" si="5"/>
        <v>0.471550358132387</v>
      </c>
      <c r="Q37" s="100">
        <f t="shared" si="5"/>
        <v>0.437990078510863</v>
      </c>
      <c r="R37" s="100">
        <f t="shared" si="5"/>
        <v>0.359148855458015</v>
      </c>
      <c r="S37" s="100">
        <f t="shared" si="5"/>
        <v>0.313120317088513</v>
      </c>
    </row>
    <row r="38" ht="15" customHeight="1" spans="1:19">
      <c r="A38" s="98" t="s">
        <v>38</v>
      </c>
      <c r="B38" s="100">
        <f t="shared" ref="B38:S38" si="6">IFERROR(B6/B22,"")</f>
        <v>0.0831683168316832</v>
      </c>
      <c r="C38" s="100">
        <f t="shared" si="6"/>
        <v>0.0962544753511429</v>
      </c>
      <c r="D38" s="100">
        <f t="shared" si="6"/>
        <v>0.0845576693664846</v>
      </c>
      <c r="E38" s="100">
        <f t="shared" si="6"/>
        <v>0.097812872093752</v>
      </c>
      <c r="F38" s="100">
        <f t="shared" si="6"/>
        <v>0.11266610121572</v>
      </c>
      <c r="G38" s="100">
        <f t="shared" si="6"/>
        <v>0.0949804054723201</v>
      </c>
      <c r="H38" s="100">
        <f t="shared" si="6"/>
        <v>0.098733406334725</v>
      </c>
      <c r="I38" s="100">
        <f t="shared" si="6"/>
        <v>0.169881751466468</v>
      </c>
      <c r="J38" s="100">
        <f t="shared" si="6"/>
        <v>0.218176555302627</v>
      </c>
      <c r="K38" s="100">
        <f t="shared" si="6"/>
        <v>0.201484741040902</v>
      </c>
      <c r="L38" s="100">
        <f t="shared" si="6"/>
        <v>0.1494467559264</v>
      </c>
      <c r="M38" s="100">
        <f t="shared" si="6"/>
        <v>0.214192626007427</v>
      </c>
      <c r="N38" s="100">
        <f t="shared" si="6"/>
        <v>0.309212887486659</v>
      </c>
      <c r="O38" s="100">
        <f t="shared" si="6"/>
        <v>0.431753625346211</v>
      </c>
      <c r="P38" s="100">
        <f t="shared" si="6"/>
        <v>0.43819343207837</v>
      </c>
      <c r="Q38" s="100">
        <f t="shared" si="6"/>
        <v>0.416273512571848</v>
      </c>
      <c r="R38" s="100">
        <f t="shared" si="6"/>
        <v>0.371532604024195</v>
      </c>
      <c r="S38" s="100">
        <f t="shared" si="6"/>
        <v>0.347576683210259</v>
      </c>
    </row>
    <row r="39" ht="15" customHeight="1" spans="1:19">
      <c r="A39" s="98" t="s">
        <v>42</v>
      </c>
      <c r="B39" s="100">
        <f t="shared" ref="B39:S39" si="7">IFERROR(B7/B23,"")</f>
        <v>0.132531205533241</v>
      </c>
      <c r="C39" s="100">
        <f t="shared" si="7"/>
        <v>0.166042938743352</v>
      </c>
      <c r="D39" s="100">
        <f t="shared" si="7"/>
        <v>0.13268612729867</v>
      </c>
      <c r="E39" s="100">
        <f t="shared" si="7"/>
        <v>0.113124778447359</v>
      </c>
      <c r="F39" s="100">
        <f t="shared" si="7"/>
        <v>0.118930133958775</v>
      </c>
      <c r="G39" s="100">
        <f t="shared" si="7"/>
        <v>0.183739100563518</v>
      </c>
      <c r="H39" s="100">
        <f t="shared" si="7"/>
        <v>0.145486447913899</v>
      </c>
      <c r="I39" s="100">
        <f t="shared" si="7"/>
        <v>0.122069611619103</v>
      </c>
      <c r="J39" s="100">
        <f t="shared" si="7"/>
        <v>0.0956384370257378</v>
      </c>
      <c r="K39" s="100">
        <f t="shared" si="7"/>
        <v>0.111318926869281</v>
      </c>
      <c r="L39" s="100">
        <f t="shared" si="7"/>
        <v>0.104917467484726</v>
      </c>
      <c r="M39" s="100">
        <f t="shared" si="7"/>
        <v>0.150092280968407</v>
      </c>
      <c r="N39" s="100">
        <f t="shared" si="7"/>
        <v>0.227008013186508</v>
      </c>
      <c r="O39" s="100">
        <f t="shared" si="7"/>
        <v>0.383290779355583</v>
      </c>
      <c r="P39" s="100">
        <f t="shared" si="7"/>
        <v>0.422420008842719</v>
      </c>
      <c r="Q39" s="100">
        <f t="shared" si="7"/>
        <v>0.380284159736257</v>
      </c>
      <c r="R39" s="100">
        <f t="shared" si="7"/>
        <v>0.317713716794151</v>
      </c>
      <c r="S39" s="100">
        <f t="shared" si="7"/>
        <v>0.276219480413365</v>
      </c>
    </row>
    <row r="40" ht="15" customHeight="1" spans="1:19">
      <c r="A40" s="98" t="s">
        <v>48</v>
      </c>
      <c r="B40" s="100">
        <f t="shared" ref="B40:S40" si="8">IFERROR(B8/B24,"")</f>
        <v>0.173018292682927</v>
      </c>
      <c r="C40" s="100">
        <f t="shared" si="8"/>
        <v>0.146879512273384</v>
      </c>
      <c r="D40" s="100">
        <f t="shared" si="8"/>
        <v>0.140729585006693</v>
      </c>
      <c r="E40" s="100">
        <f t="shared" si="8"/>
        <v>0.162493668138071</v>
      </c>
      <c r="F40" s="100">
        <f t="shared" si="8"/>
        <v>0.165621233365311</v>
      </c>
      <c r="G40" s="100">
        <f t="shared" si="8"/>
        <v>0.249203051685232</v>
      </c>
      <c r="H40" s="100">
        <f t="shared" si="8"/>
        <v>0.215140463844094</v>
      </c>
      <c r="I40" s="100">
        <f t="shared" si="8"/>
        <v>0.178754155565511</v>
      </c>
      <c r="J40" s="100">
        <f t="shared" si="8"/>
        <v>0.161601314253599</v>
      </c>
      <c r="K40" s="100">
        <f t="shared" si="8"/>
        <v>0.274626474442988</v>
      </c>
      <c r="L40" s="100">
        <f t="shared" si="8"/>
        <v>0.204998270754703</v>
      </c>
      <c r="M40" s="100">
        <f t="shared" si="8"/>
        <v>0.22947245234209</v>
      </c>
      <c r="N40" s="100">
        <f t="shared" si="8"/>
        <v>0.350630663265563</v>
      </c>
      <c r="O40" s="100">
        <f t="shared" si="8"/>
        <v>0.537975461353225</v>
      </c>
      <c r="P40" s="100">
        <f t="shared" si="8"/>
        <v>0.535273500378562</v>
      </c>
      <c r="Q40" s="100">
        <f t="shared" si="8"/>
        <v>0.492572988224242</v>
      </c>
      <c r="R40" s="100">
        <f t="shared" si="8"/>
        <v>0.438818551295863</v>
      </c>
      <c r="S40" s="100">
        <f t="shared" si="8"/>
        <v>0.402175979577394</v>
      </c>
    </row>
    <row r="41" ht="15" customHeight="1" spans="1:19">
      <c r="A41" s="98" t="s">
        <v>55</v>
      </c>
      <c r="B41" s="100">
        <f t="shared" ref="B41:S41" si="9">IFERROR(B9/B25,"")</f>
        <v>0.0174825174825175</v>
      </c>
      <c r="C41" s="100">
        <f t="shared" si="9"/>
        <v>0.0151534944480732</v>
      </c>
      <c r="D41" s="100">
        <f t="shared" si="9"/>
        <v>0.0363888452885471</v>
      </c>
      <c r="E41" s="100">
        <f t="shared" si="9"/>
        <v>0.0320943666153805</v>
      </c>
      <c r="F41" s="100">
        <f t="shared" si="9"/>
        <v>0.0535676420695505</v>
      </c>
      <c r="G41" s="100">
        <f t="shared" si="9"/>
        <v>0.0440799329660006</v>
      </c>
      <c r="H41" s="100">
        <f t="shared" si="9"/>
        <v>0.0420189338328355</v>
      </c>
      <c r="I41" s="100">
        <f t="shared" si="9"/>
        <v>0.0400327633869151</v>
      </c>
      <c r="J41" s="100">
        <f t="shared" si="9"/>
        <v>0.0527433978112107</v>
      </c>
      <c r="K41" s="100">
        <f t="shared" si="9"/>
        <v>0.10629123468426</v>
      </c>
      <c r="L41" s="100">
        <f t="shared" si="9"/>
        <v>0.174060135324499</v>
      </c>
      <c r="M41" s="100">
        <f t="shared" si="9"/>
        <v>0.12964256717207</v>
      </c>
      <c r="N41" s="100">
        <f t="shared" si="9"/>
        <v>0.369605742260318</v>
      </c>
      <c r="O41" s="100">
        <f t="shared" si="9"/>
        <v>0.751378794474938</v>
      </c>
      <c r="P41" s="100">
        <f t="shared" si="9"/>
        <v>0.765345240323567</v>
      </c>
      <c r="Q41" s="100">
        <f t="shared" si="9"/>
        <v>0.61712872820396</v>
      </c>
      <c r="R41" s="100">
        <f t="shared" si="9"/>
        <v>0.472484603911804</v>
      </c>
      <c r="S41" s="100">
        <f t="shared" si="9"/>
        <v>0.344278457533344</v>
      </c>
    </row>
    <row r="43" ht="15" customHeight="1" spans="1:1">
      <c r="A43" s="12" t="s">
        <v>83</v>
      </c>
    </row>
    <row r="44" ht="15" customHeight="1" spans="1:19">
      <c r="A44" s="14" t="s">
        <v>69</v>
      </c>
      <c r="B44" s="15" t="s">
        <v>3</v>
      </c>
      <c r="C44" s="15" t="s">
        <v>4</v>
      </c>
      <c r="D44" s="15" t="s">
        <v>5</v>
      </c>
      <c r="E44" s="15" t="s">
        <v>6</v>
      </c>
      <c r="F44" s="15" t="s">
        <v>7</v>
      </c>
      <c r="G44" s="15" t="s">
        <v>8</v>
      </c>
      <c r="H44" s="15" t="s">
        <v>9</v>
      </c>
      <c r="I44" s="15" t="s">
        <v>10</v>
      </c>
      <c r="J44" s="15" t="s">
        <v>11</v>
      </c>
      <c r="K44" s="15" t="s">
        <v>12</v>
      </c>
      <c r="L44" s="15" t="s">
        <v>13</v>
      </c>
      <c r="M44" s="15" t="s">
        <v>14</v>
      </c>
      <c r="N44" s="15" t="s">
        <v>15</v>
      </c>
      <c r="O44" s="15" t="s">
        <v>16</v>
      </c>
      <c r="P44" s="15" t="s">
        <v>17</v>
      </c>
      <c r="Q44" s="15" t="s">
        <v>18</v>
      </c>
      <c r="R44" s="15" t="s">
        <v>19</v>
      </c>
      <c r="S44" s="15" t="s">
        <v>20</v>
      </c>
    </row>
    <row r="45" ht="15" customHeight="1" spans="1:19">
      <c r="A45" s="98" t="s">
        <v>22</v>
      </c>
      <c r="B45" s="100">
        <f t="shared" ref="B45:S45" si="10">IFERROR(B13/B21,"")</f>
        <v>0.0482344024971419</v>
      </c>
      <c r="C45" s="100">
        <f t="shared" si="10"/>
        <v>0.0600232630451556</v>
      </c>
      <c r="D45" s="100">
        <f t="shared" si="10"/>
        <v>0.0636567642658688</v>
      </c>
      <c r="E45" s="100">
        <f t="shared" si="10"/>
        <v>0.072646290892336</v>
      </c>
      <c r="F45" s="100">
        <f t="shared" si="10"/>
        <v>0.0908968530925433</v>
      </c>
      <c r="G45" s="100">
        <f t="shared" si="10"/>
        <v>0.0929775280898876</v>
      </c>
      <c r="H45" s="100">
        <f t="shared" si="10"/>
        <v>0.0928299547849304</v>
      </c>
      <c r="I45" s="100">
        <f t="shared" si="10"/>
        <v>0.0894731321889312</v>
      </c>
      <c r="J45" s="100">
        <f t="shared" si="10"/>
        <v>0.0695231069439817</v>
      </c>
      <c r="K45" s="100">
        <f t="shared" si="10"/>
        <v>0.0729308518686639</v>
      </c>
      <c r="L45" s="100">
        <f t="shared" si="10"/>
        <v>0.0654083004978411</v>
      </c>
      <c r="M45" s="100">
        <f t="shared" si="10"/>
        <v>0.0909220714582942</v>
      </c>
      <c r="N45" s="100">
        <f t="shared" si="10"/>
        <v>0.121228578324885</v>
      </c>
      <c r="O45" s="100">
        <f t="shared" si="10"/>
        <v>0.13142270677035</v>
      </c>
      <c r="P45" s="100">
        <f t="shared" si="10"/>
        <v>0.148524034389786</v>
      </c>
      <c r="Q45" s="100">
        <f t="shared" si="10"/>
        <v>0.166018473785789</v>
      </c>
      <c r="R45" s="100">
        <f t="shared" si="10"/>
        <v>0.181835394584762</v>
      </c>
      <c r="S45" s="100">
        <f t="shared" si="10"/>
        <v>0.203343215574064</v>
      </c>
    </row>
    <row r="46" ht="15" customHeight="1" spans="1:19">
      <c r="A46" s="98" t="s">
        <v>38</v>
      </c>
      <c r="B46" s="100">
        <f t="shared" ref="B46:S46" si="11">IFERROR(B14/B22,"")</f>
        <v>0.0785559043709249</v>
      </c>
      <c r="C46" s="100">
        <f t="shared" si="11"/>
        <v>0.0933627099972459</v>
      </c>
      <c r="D46" s="100">
        <f t="shared" si="11"/>
        <v>0.0985904439002951</v>
      </c>
      <c r="E46" s="100">
        <f t="shared" si="11"/>
        <v>0.101723381588018</v>
      </c>
      <c r="F46" s="100">
        <f t="shared" si="11"/>
        <v>0.108170766186033</v>
      </c>
      <c r="G46" s="100">
        <f t="shared" si="11"/>
        <v>0.108519728930577</v>
      </c>
      <c r="H46" s="100">
        <f t="shared" si="11"/>
        <v>0.127590427058141</v>
      </c>
      <c r="I46" s="100">
        <f t="shared" si="11"/>
        <v>0.10656757603203</v>
      </c>
      <c r="J46" s="100">
        <f t="shared" si="11"/>
        <v>0.123048389575211</v>
      </c>
      <c r="K46" s="100">
        <f t="shared" si="11"/>
        <v>0.132711789287071</v>
      </c>
      <c r="L46" s="100">
        <f t="shared" si="11"/>
        <v>0.137922727221196</v>
      </c>
      <c r="M46" s="100">
        <f t="shared" si="11"/>
        <v>0.136246216099738</v>
      </c>
      <c r="N46" s="100">
        <f t="shared" si="11"/>
        <v>0.15424637290203</v>
      </c>
      <c r="O46" s="100">
        <f t="shared" si="11"/>
        <v>0.18302955220553</v>
      </c>
      <c r="P46" s="100">
        <f t="shared" si="11"/>
        <v>0.207444515499328</v>
      </c>
      <c r="Q46" s="100">
        <f t="shared" si="11"/>
        <v>0.237039588515012</v>
      </c>
      <c r="R46" s="100">
        <f t="shared" si="11"/>
        <v>0.243474798799525</v>
      </c>
      <c r="S46" s="100">
        <f t="shared" si="11"/>
        <v>0.254504505380772</v>
      </c>
    </row>
    <row r="47" ht="15" customHeight="1" spans="1:19">
      <c r="A47" s="98" t="s">
        <v>42</v>
      </c>
      <c r="B47" s="100">
        <f t="shared" ref="B47:S47" si="12">IFERROR(B15/B23,"")</f>
        <v>0.0500909598515823</v>
      </c>
      <c r="C47" s="100">
        <f t="shared" si="12"/>
        <v>0.0533779791215285</v>
      </c>
      <c r="D47" s="100">
        <f t="shared" si="12"/>
        <v>0.0551014148741815</v>
      </c>
      <c r="E47" s="100">
        <f t="shared" si="12"/>
        <v>0.0583458879829848</v>
      </c>
      <c r="F47" s="100">
        <f t="shared" si="12"/>
        <v>0.055053899237743</v>
      </c>
      <c r="G47" s="100">
        <f t="shared" si="12"/>
        <v>0.059670075062674</v>
      </c>
      <c r="H47" s="100">
        <f t="shared" si="12"/>
        <v>0.0670715508133723</v>
      </c>
      <c r="I47" s="100">
        <f t="shared" si="12"/>
        <v>0.0707018687646211</v>
      </c>
      <c r="J47" s="100">
        <f t="shared" si="12"/>
        <v>0.0448499245061851</v>
      </c>
      <c r="K47" s="100">
        <f t="shared" si="12"/>
        <v>0.0540489895204288</v>
      </c>
      <c r="L47" s="100">
        <f t="shared" si="12"/>
        <v>0.0433515293076638</v>
      </c>
      <c r="M47" s="100">
        <f t="shared" si="12"/>
        <v>0.0437434646218194</v>
      </c>
      <c r="N47" s="100">
        <f t="shared" si="12"/>
        <v>0.0524680018667646</v>
      </c>
      <c r="O47" s="100">
        <f t="shared" si="12"/>
        <v>0.0881368888427906</v>
      </c>
      <c r="P47" s="100">
        <f t="shared" si="12"/>
        <v>0.120279433153734</v>
      </c>
      <c r="Q47" s="100">
        <f t="shared" si="12"/>
        <v>0.143770321293355</v>
      </c>
      <c r="R47" s="100">
        <f t="shared" si="12"/>
        <v>0.158521853889102</v>
      </c>
      <c r="S47" s="100">
        <f t="shared" si="12"/>
        <v>0.165902760645951</v>
      </c>
    </row>
    <row r="48" ht="15" customHeight="1" spans="1:19">
      <c r="A48" s="98" t="s">
        <v>48</v>
      </c>
      <c r="B48" s="100">
        <f t="shared" ref="B48:S48" si="13">IFERROR(B16/B24,"")</f>
        <v>0.12842987804878</v>
      </c>
      <c r="C48" s="100">
        <f t="shared" si="13"/>
        <v>0.0997112145034494</v>
      </c>
      <c r="D48" s="100">
        <f t="shared" si="13"/>
        <v>0.108489513609996</v>
      </c>
      <c r="E48" s="100">
        <f t="shared" si="13"/>
        <v>0.0847384036471525</v>
      </c>
      <c r="F48" s="100">
        <f t="shared" si="13"/>
        <v>0.0744102526258825</v>
      </c>
      <c r="G48" s="100">
        <f t="shared" si="13"/>
        <v>0.0772771231061284</v>
      </c>
      <c r="H48" s="100">
        <f t="shared" si="13"/>
        <v>0.0817852869109351</v>
      </c>
      <c r="I48" s="100">
        <f t="shared" si="13"/>
        <v>0.080895008605852</v>
      </c>
      <c r="J48" s="100">
        <f t="shared" si="13"/>
        <v>0.0688859106826337</v>
      </c>
      <c r="K48" s="100">
        <f t="shared" si="13"/>
        <v>0.0758934032328528</v>
      </c>
      <c r="L48" s="100">
        <f t="shared" si="13"/>
        <v>0.0840413214441454</v>
      </c>
      <c r="M48" s="100">
        <f t="shared" si="13"/>
        <v>0.095457485140587</v>
      </c>
      <c r="N48" s="100">
        <f t="shared" si="13"/>
        <v>0.0936611675446143</v>
      </c>
      <c r="O48" s="100">
        <f t="shared" si="13"/>
        <v>0.118476511432558</v>
      </c>
      <c r="P48" s="100">
        <f t="shared" si="13"/>
        <v>0.144801648857924</v>
      </c>
      <c r="Q48" s="100">
        <f t="shared" si="13"/>
        <v>0.164274471967291</v>
      </c>
      <c r="R48" s="100">
        <f t="shared" si="13"/>
        <v>0.187022769452232</v>
      </c>
      <c r="S48" s="100">
        <f t="shared" si="13"/>
        <v>0.195432040103241</v>
      </c>
    </row>
    <row r="49" ht="15" customHeight="1" spans="1:19">
      <c r="A49" s="98" t="s">
        <v>55</v>
      </c>
      <c r="B49" s="100">
        <f t="shared" ref="B49:S49" si="14">IFERROR(B17/B25,"")</f>
        <v>0.0788327057557827</v>
      </c>
      <c r="C49" s="100">
        <f t="shared" si="14"/>
        <v>0.0759764859568909</v>
      </c>
      <c r="D49" s="100">
        <f t="shared" si="14"/>
        <v>0.0748443467796788</v>
      </c>
      <c r="E49" s="100">
        <f t="shared" si="14"/>
        <v>0.067724782033633</v>
      </c>
      <c r="F49" s="100">
        <f t="shared" si="14"/>
        <v>0.0649650127226463</v>
      </c>
      <c r="G49" s="100">
        <f t="shared" si="14"/>
        <v>0.0707157910773684</v>
      </c>
      <c r="H49" s="100">
        <f t="shared" si="14"/>
        <v>0.0738875107578596</v>
      </c>
      <c r="I49" s="100">
        <f t="shared" si="14"/>
        <v>0.07597010340944</v>
      </c>
      <c r="J49" s="100">
        <f t="shared" si="14"/>
        <v>0.0720373527014007</v>
      </c>
      <c r="K49" s="100">
        <f t="shared" si="14"/>
        <v>0.0735626767200754</v>
      </c>
      <c r="L49" s="100">
        <f t="shared" si="14"/>
        <v>0.122272490691436</v>
      </c>
      <c r="M49" s="100">
        <f t="shared" si="14"/>
        <v>0.115915484979513</v>
      </c>
      <c r="N49" s="100">
        <f t="shared" si="14"/>
        <v>0.107562849526995</v>
      </c>
      <c r="O49" s="100">
        <f t="shared" si="14"/>
        <v>0.136443988163948</v>
      </c>
      <c r="P49" s="100">
        <f t="shared" si="14"/>
        <v>0.153822327986214</v>
      </c>
      <c r="Q49" s="100">
        <f t="shared" si="14"/>
        <v>0.16486007030286</v>
      </c>
      <c r="R49" s="100">
        <f t="shared" si="14"/>
        <v>0.16483320697869</v>
      </c>
      <c r="S49" s="100">
        <f t="shared" si="14"/>
        <v>0.169563188081719</v>
      </c>
    </row>
    <row r="51" ht="15" customHeight="1" spans="1:1">
      <c r="A51" s="12" t="s">
        <v>84</v>
      </c>
    </row>
    <row r="52" ht="15" customHeight="1" spans="1:19">
      <c r="A52" s="14" t="s">
        <v>69</v>
      </c>
      <c r="B52" s="15" t="s">
        <v>3</v>
      </c>
      <c r="C52" s="15" t="s">
        <v>4</v>
      </c>
      <c r="D52" s="15" t="s">
        <v>5</v>
      </c>
      <c r="E52" s="15" t="s">
        <v>6</v>
      </c>
      <c r="F52" s="15" t="s">
        <v>7</v>
      </c>
      <c r="G52" s="15" t="s">
        <v>8</v>
      </c>
      <c r="H52" s="15" t="s">
        <v>9</v>
      </c>
      <c r="I52" s="15" t="s">
        <v>10</v>
      </c>
      <c r="J52" s="15" t="s">
        <v>11</v>
      </c>
      <c r="K52" s="15" t="s">
        <v>12</v>
      </c>
      <c r="L52" s="15" t="s">
        <v>13</v>
      </c>
      <c r="M52" s="15" t="s">
        <v>14</v>
      </c>
      <c r="N52" s="15" t="s">
        <v>15</v>
      </c>
      <c r="O52" s="15" t="s">
        <v>16</v>
      </c>
      <c r="P52" s="15" t="s">
        <v>17</v>
      </c>
      <c r="Q52" s="15" t="s">
        <v>18</v>
      </c>
      <c r="R52" s="15" t="s">
        <v>19</v>
      </c>
      <c r="S52" s="15" t="s">
        <v>20</v>
      </c>
    </row>
    <row r="53" ht="15" customHeight="1" spans="1:19">
      <c r="A53" s="98" t="s">
        <v>22</v>
      </c>
      <c r="B53" s="101"/>
      <c r="C53" s="100">
        <f t="shared" ref="C53:S53" si="15">IFERROR(C13/B13-1,"")</f>
        <v>0.388015978695073</v>
      </c>
      <c r="D53" s="100">
        <f t="shared" si="15"/>
        <v>0.142939370683039</v>
      </c>
      <c r="E53" s="100">
        <f t="shared" si="15"/>
        <v>0.111633372502938</v>
      </c>
      <c r="F53" s="100">
        <f t="shared" si="15"/>
        <v>0.325581395348837</v>
      </c>
      <c r="G53" s="100">
        <f t="shared" si="15"/>
        <v>0.168945089997722</v>
      </c>
      <c r="H53" s="100">
        <f t="shared" si="15"/>
        <v>0.138485527726342</v>
      </c>
      <c r="I53" s="100">
        <f t="shared" si="15"/>
        <v>0.0953603834959766</v>
      </c>
      <c r="J53" s="100">
        <f t="shared" si="15"/>
        <v>-0.0867458580806502</v>
      </c>
      <c r="K53" s="100">
        <f t="shared" si="15"/>
        <v>0.237378059216156</v>
      </c>
      <c r="L53" s="100">
        <f t="shared" si="15"/>
        <v>-0.0414246196403872</v>
      </c>
      <c r="M53" s="100">
        <f t="shared" si="15"/>
        <v>0.607892648438064</v>
      </c>
      <c r="N53" s="100">
        <f t="shared" si="15"/>
        <v>0.532418001525553</v>
      </c>
      <c r="O53" s="100">
        <f t="shared" si="15"/>
        <v>0.229909788271868</v>
      </c>
      <c r="P53" s="100">
        <f t="shared" si="15"/>
        <v>0.319251548591392</v>
      </c>
      <c r="Q53" s="100">
        <f t="shared" si="15"/>
        <v>0.334400799644355</v>
      </c>
      <c r="R53" s="100">
        <f t="shared" si="15"/>
        <v>0.313117784957331</v>
      </c>
      <c r="S53" s="100">
        <f t="shared" si="15"/>
        <v>0.316272762464166</v>
      </c>
    </row>
    <row r="54" ht="15" customHeight="1" spans="1:19">
      <c r="A54" s="98" t="s">
        <v>38</v>
      </c>
      <c r="B54" s="101"/>
      <c r="C54" s="100">
        <f t="shared" ref="C54:S54" si="16">IFERROR(C14/B14-1,"")</f>
        <v>0.458960959114663</v>
      </c>
      <c r="D54" s="100">
        <f t="shared" si="16"/>
        <v>0.323430257058576</v>
      </c>
      <c r="E54" s="100">
        <f t="shared" si="16"/>
        <v>0.292150931380353</v>
      </c>
      <c r="F54" s="100">
        <f t="shared" si="16"/>
        <v>0.414243469689502</v>
      </c>
      <c r="G54" s="100">
        <f t="shared" si="16"/>
        <v>0.336556891444503</v>
      </c>
      <c r="H54" s="100">
        <f t="shared" si="16"/>
        <v>0.420311583338765</v>
      </c>
      <c r="I54" s="100">
        <f t="shared" si="16"/>
        <v>0.155628987103584</v>
      </c>
      <c r="J54" s="100">
        <f t="shared" si="16"/>
        <v>0.367474185861795</v>
      </c>
      <c r="K54" s="100">
        <f t="shared" si="16"/>
        <v>0.217465803153951</v>
      </c>
      <c r="L54" s="100">
        <f t="shared" si="16"/>
        <v>0.160826316166122</v>
      </c>
      <c r="M54" s="100">
        <f t="shared" si="16"/>
        <v>0.0849105069560034</v>
      </c>
      <c r="N54" s="100">
        <f t="shared" si="16"/>
        <v>0.245496732645137</v>
      </c>
      <c r="O54" s="100">
        <f t="shared" si="16"/>
        <v>0.283405020610087</v>
      </c>
      <c r="P54" s="100">
        <f t="shared" si="16"/>
        <v>0.270053430468259</v>
      </c>
      <c r="Q54" s="100">
        <f t="shared" si="16"/>
        <v>0.229790496523282</v>
      </c>
      <c r="R54" s="100">
        <f t="shared" si="16"/>
        <v>0.107274181844044</v>
      </c>
      <c r="S54" s="100">
        <f t="shared" si="16"/>
        <v>0.125549425778249</v>
      </c>
    </row>
    <row r="55" ht="15" customHeight="1" spans="1:19">
      <c r="A55" s="98" t="s">
        <v>42</v>
      </c>
      <c r="B55" s="101"/>
      <c r="C55" s="100">
        <f t="shared" ref="C55:S55" si="17">IFERROR(C15/B15-1,"")</f>
        <v>0.266810499820209</v>
      </c>
      <c r="D55" s="100">
        <f t="shared" si="17"/>
        <v>0.172864036332671</v>
      </c>
      <c r="E55" s="100">
        <f t="shared" si="17"/>
        <v>0.274685382381413</v>
      </c>
      <c r="F55" s="100">
        <f t="shared" si="17"/>
        <v>0.15872413138409</v>
      </c>
      <c r="G55" s="100">
        <f t="shared" si="17"/>
        <v>0.337702769129936</v>
      </c>
      <c r="H55" s="100">
        <f t="shared" si="17"/>
        <v>0.329740323370897</v>
      </c>
      <c r="I55" s="100">
        <f t="shared" si="17"/>
        <v>0.188743551952837</v>
      </c>
      <c r="J55" s="100">
        <f t="shared" si="17"/>
        <v>-0.104610616040294</v>
      </c>
      <c r="K55" s="100">
        <f t="shared" si="17"/>
        <v>0.322977066205106</v>
      </c>
      <c r="L55" s="100">
        <f t="shared" si="17"/>
        <v>-0.128278929809642</v>
      </c>
      <c r="M55" s="100">
        <f t="shared" si="17"/>
        <v>0.14895692630947</v>
      </c>
      <c r="N55" s="100">
        <f t="shared" si="17"/>
        <v>0.380445431389197</v>
      </c>
      <c r="O55" s="100">
        <f t="shared" si="17"/>
        <v>1.02851532929599</v>
      </c>
      <c r="P55" s="100">
        <f t="shared" si="17"/>
        <v>0.622931938882371</v>
      </c>
      <c r="Q55" s="100">
        <f t="shared" si="17"/>
        <v>0.413284217690829</v>
      </c>
      <c r="R55" s="100">
        <f t="shared" si="17"/>
        <v>0.298298985887353</v>
      </c>
      <c r="S55" s="100">
        <f t="shared" si="17"/>
        <v>0.223068381553058</v>
      </c>
    </row>
    <row r="56" ht="15" customHeight="1" spans="1:19">
      <c r="A56" s="98" t="s">
        <v>48</v>
      </c>
      <c r="B56" s="101"/>
      <c r="C56" s="100">
        <f t="shared" ref="C56:S56" si="18">IFERROR(C16/B16-1,"")</f>
        <v>0.229475766567755</v>
      </c>
      <c r="D56" s="100">
        <f t="shared" si="18"/>
        <v>0.564762670957361</v>
      </c>
      <c r="E56" s="100">
        <f t="shared" si="18"/>
        <v>0.204113110539846</v>
      </c>
      <c r="F56" s="100">
        <f t="shared" si="18"/>
        <v>0.291631084543126</v>
      </c>
      <c r="G56" s="100">
        <f t="shared" si="18"/>
        <v>0.426446280991736</v>
      </c>
      <c r="H56" s="100">
        <f t="shared" si="18"/>
        <v>0.330475086906141</v>
      </c>
      <c r="I56" s="100">
        <f t="shared" si="18"/>
        <v>0.195262149451315</v>
      </c>
      <c r="J56" s="100">
        <f t="shared" si="18"/>
        <v>0.161031769163509</v>
      </c>
      <c r="K56" s="100">
        <f t="shared" si="18"/>
        <v>0.0902472699887034</v>
      </c>
      <c r="L56" s="100">
        <f t="shared" si="18"/>
        <v>0.286898457287589</v>
      </c>
      <c r="M56" s="100">
        <f t="shared" si="18"/>
        <v>0.386473429951691</v>
      </c>
      <c r="N56" s="100">
        <f t="shared" si="18"/>
        <v>0.201187249967738</v>
      </c>
      <c r="O56" s="100">
        <f t="shared" si="18"/>
        <v>0.589844627331231</v>
      </c>
      <c r="P56" s="100">
        <f t="shared" si="18"/>
        <v>0.456435966729329</v>
      </c>
      <c r="Q56" s="100">
        <f t="shared" si="18"/>
        <v>0.327380478393094</v>
      </c>
      <c r="R56" s="100">
        <f t="shared" si="18"/>
        <v>0.299664398820151</v>
      </c>
      <c r="S56" s="100">
        <f t="shared" si="18"/>
        <v>0.17967163073155</v>
      </c>
    </row>
    <row r="57" ht="15" customHeight="1" spans="1:19">
      <c r="A57" s="98" t="s">
        <v>55</v>
      </c>
      <c r="B57" s="101"/>
      <c r="C57" s="100">
        <f t="shared" ref="C57:S57" si="19">IFERROR(C17/B17-1,"")</f>
        <v>-0.00784715114295464</v>
      </c>
      <c r="D57" s="100">
        <f t="shared" si="19"/>
        <v>-0.0161623108665749</v>
      </c>
      <c r="E57" s="100">
        <f t="shared" si="19"/>
        <v>-0.123033904229291</v>
      </c>
      <c r="F57" s="100">
        <f t="shared" si="19"/>
        <v>-0.0231167795934635</v>
      </c>
      <c r="G57" s="100">
        <f t="shared" si="19"/>
        <v>0.136270909832721</v>
      </c>
      <c r="H57" s="100">
        <f t="shared" si="19"/>
        <v>0.0481149012567326</v>
      </c>
      <c r="I57" s="100">
        <f t="shared" si="19"/>
        <v>0.0167865707434052</v>
      </c>
      <c r="J57" s="100">
        <f t="shared" si="19"/>
        <v>-0.0175202156334232</v>
      </c>
      <c r="K57" s="100">
        <f t="shared" si="19"/>
        <v>0.0706447187928669</v>
      </c>
      <c r="L57" s="100">
        <f t="shared" si="19"/>
        <v>0.956438180653427</v>
      </c>
      <c r="M57" s="100">
        <f t="shared" si="19"/>
        <v>0.00507531106745263</v>
      </c>
      <c r="N57" s="100">
        <f t="shared" si="19"/>
        <v>0.0057012542759407</v>
      </c>
      <c r="O57" s="100">
        <f t="shared" si="19"/>
        <v>0.480776974919205</v>
      </c>
      <c r="P57" s="100">
        <f t="shared" si="19"/>
        <v>0.476631654593471</v>
      </c>
      <c r="Q57" s="100">
        <f t="shared" si="19"/>
        <v>0.601173033652701</v>
      </c>
      <c r="R57" s="100">
        <f t="shared" si="19"/>
        <v>0.406614252407034</v>
      </c>
      <c r="S57" s="100">
        <f t="shared" si="19"/>
        <v>0.24888890748765</v>
      </c>
    </row>
  </sheetData>
  <mergeCells count="8">
    <mergeCell ref="A1:S1"/>
    <mergeCell ref="A3:S3"/>
    <mergeCell ref="A11:S11"/>
    <mergeCell ref="A19:S19"/>
    <mergeCell ref="A27:S27"/>
    <mergeCell ref="A35:S35"/>
    <mergeCell ref="A43:S43"/>
    <mergeCell ref="A51:S51"/>
  </mergeCells>
  <conditionalFormatting sqref="B37:S41">
    <cfRule type="colorScale" priority="2">
      <colorScale>
        <cfvo type="num" val="0.05"/>
        <cfvo type="num" val="0.25"/>
        <cfvo type="num" val="0.6"/>
        <color rgb="FF63BE7B"/>
        <color rgb="FFFFEB84"/>
        <color rgb="FFF8696B"/>
      </colorScale>
    </cfRule>
  </conditionalFormatting>
  <conditionalFormatting sqref="B45:S49">
    <cfRule type="colorScale" priority="3">
      <colorScale>
        <cfvo type="num" val="0.05"/>
        <cfvo type="num" val="0.25"/>
        <cfvo type="num" val="0.6"/>
        <color rgb="FF63BE7B"/>
        <color rgb="FFFFEB84"/>
        <color rgb="FFF8696B"/>
      </colorScale>
    </cfRule>
  </conditionalFormatting>
  <pageMargins left="0.75" right="0.75" top="1" bottom="1" header="0.511805555555556" footer="0.511805555555556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73"/>
  <sheetViews>
    <sheetView showGridLines="0" topLeftCell="A10" workbookViewId="0">
      <pane xSplit="1" topLeftCell="E1" activePane="topRight" state="frozen"/>
      <selection/>
      <selection pane="topRight" activeCell="M18" sqref="M18:P18"/>
    </sheetView>
  </sheetViews>
  <sheetFormatPr defaultColWidth="8.6796875" defaultRowHeight="14"/>
  <cols>
    <col min="1" max="1" width="28" customWidth="1"/>
    <col min="2" max="20" width="10" customWidth="1"/>
  </cols>
  <sheetData>
    <row r="1" ht="25.5" customHeight="1" spans="1:1">
      <c r="A1" s="102" t="s">
        <v>85</v>
      </c>
    </row>
    <row r="3" ht="15" customHeight="1" spans="1:1">
      <c r="A3" s="12" t="s">
        <v>86</v>
      </c>
    </row>
    <row r="4" ht="15" customHeight="1" spans="1:19">
      <c r="A4" s="14" t="s">
        <v>69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  <c r="K4" s="15" t="s">
        <v>12</v>
      </c>
      <c r="L4" s="15" t="s">
        <v>13</v>
      </c>
      <c r="M4" s="15" t="s">
        <v>14</v>
      </c>
      <c r="N4" s="15" t="s">
        <v>15</v>
      </c>
      <c r="O4" s="15" t="s">
        <v>16</v>
      </c>
      <c r="P4" s="15" t="s">
        <v>17</v>
      </c>
      <c r="Q4" s="15" t="s">
        <v>18</v>
      </c>
      <c r="R4" s="15" t="s">
        <v>19</v>
      </c>
      <c r="S4" s="15" t="s">
        <v>20</v>
      </c>
    </row>
    <row r="5" ht="15" customHeight="1" spans="1:19">
      <c r="A5" s="98" t="s">
        <v>22</v>
      </c>
      <c r="B5" s="99">
        <f>'0. Database'!C13</f>
        <v>28833</v>
      </c>
      <c r="C5" s="99">
        <f>'0. Database'!D13</f>
        <v>32502</v>
      </c>
      <c r="D5" s="99">
        <f>'0. Database'!E13</f>
        <v>29668</v>
      </c>
      <c r="E5" s="99">
        <f>'0. Database'!F13</f>
        <v>33325</v>
      </c>
      <c r="F5" s="99">
        <f>'0. Database'!G13</f>
        <v>39507</v>
      </c>
      <c r="G5" s="99">
        <f>'0. Database'!H13</f>
        <v>43884</v>
      </c>
      <c r="H5" s="99">
        <f>'0. Database'!I13</f>
        <v>52185</v>
      </c>
      <c r="I5" s="99">
        <f>'0. Database'!J13</f>
        <v>60675</v>
      </c>
      <c r="J5" s="99">
        <f>'0. Database'!K13</f>
        <v>76740</v>
      </c>
      <c r="K5" s="99">
        <f>'0. Database'!L13</f>
        <v>89035</v>
      </c>
      <c r="L5" s="99">
        <f>'0. Database'!M13</f>
        <v>87582</v>
      </c>
      <c r="M5" s="99">
        <f>'0. Database'!N13</f>
        <v>118548</v>
      </c>
      <c r="N5" s="99">
        <f>'0. Database'!O13</f>
        <v>136162</v>
      </c>
      <c r="O5" s="99">
        <f>'0. Database'!P13</f>
        <v>173163.835881866</v>
      </c>
      <c r="P5" s="99">
        <f>'0. Database'!Q13</f>
        <v>210868.567677402</v>
      </c>
      <c r="Q5" s="99">
        <f>'0. Database'!R13</f>
        <v>255947.119540324</v>
      </c>
      <c r="R5" s="99">
        <f>'0. Database'!S13</f>
        <v>307337.047024182</v>
      </c>
      <c r="S5" s="99">
        <f>'0. Database'!T13</f>
        <v>359926.179966215</v>
      </c>
    </row>
    <row r="6" ht="15" customHeight="1" spans="1:19">
      <c r="A6" s="98" t="s">
        <v>38</v>
      </c>
      <c r="B6" s="99">
        <f>'0. Database'!C29</f>
        <v>5475</v>
      </c>
      <c r="C6" s="99">
        <f>'0. Database'!D29</f>
        <v>6842</v>
      </c>
      <c r="D6" s="99">
        <f>'0. Database'!E29</f>
        <v>12039</v>
      </c>
      <c r="E6" s="99">
        <f>'0. Database'!F29</f>
        <v>17203</v>
      </c>
      <c r="F6" s="99">
        <f>'0. Database'!G29</f>
        <v>18365</v>
      </c>
      <c r="G6" s="99">
        <f>'0. Database'!H29</f>
        <v>30723</v>
      </c>
      <c r="H6" s="99">
        <f>'0. Database'!I29</f>
        <v>38514</v>
      </c>
      <c r="I6" s="99">
        <f>'0. Database'!J29</f>
        <v>66064</v>
      </c>
      <c r="J6" s="99">
        <f>'0. Database'!K29</f>
        <v>46327</v>
      </c>
      <c r="K6" s="99">
        <f>'0. Database'!L29</f>
        <v>46752</v>
      </c>
      <c r="L6" s="99">
        <f>'0. Database'!M29</f>
        <v>84946</v>
      </c>
      <c r="M6" s="99">
        <f>'0. Database'!N29</f>
        <v>115877</v>
      </c>
      <c r="N6" s="99">
        <f>'0. Database'!O29</f>
        <v>139514</v>
      </c>
      <c r="O6" s="99">
        <f>'0. Database'!P29</f>
        <v>183450.989247653</v>
      </c>
      <c r="P6" s="99">
        <f>'0. Database'!Q29</f>
        <v>235811.646243303</v>
      </c>
      <c r="Q6" s="99">
        <f>'0. Database'!R29</f>
        <v>295261.245548782</v>
      </c>
      <c r="R6" s="99">
        <f>'0. Database'!S29</f>
        <v>339695.167423287</v>
      </c>
      <c r="S6" s="99">
        <f>'0. Database'!T29</f>
        <v>400510.429406655</v>
      </c>
    </row>
    <row r="7" ht="15" customHeight="1" spans="1:19">
      <c r="A7" s="98" t="s">
        <v>42</v>
      </c>
      <c r="B7" s="99">
        <f>'0. Database'!C44</f>
        <v>18659</v>
      </c>
      <c r="C7" s="99">
        <f>'0. Database'!D44</f>
        <v>22376</v>
      </c>
      <c r="D7" s="99">
        <f>'0. Database'!E44</f>
        <v>26572</v>
      </c>
      <c r="E7" s="99">
        <f>'0. Database'!F44</f>
        <v>36036</v>
      </c>
      <c r="F7" s="99">
        <f>'0. Database'!G44</f>
        <v>37091</v>
      </c>
      <c r="G7" s="99">
        <f>'0. Database'!H44</f>
        <v>47971</v>
      </c>
      <c r="H7" s="99">
        <f>'0. Database'!I44</f>
        <v>54520</v>
      </c>
      <c r="I7" s="99">
        <f>'0. Database'!J44</f>
        <v>65124</v>
      </c>
      <c r="J7" s="99">
        <f>'0. Database'!K44</f>
        <v>91652</v>
      </c>
      <c r="K7" s="99">
        <f>'0. Database'!L44</f>
        <v>91495</v>
      </c>
      <c r="L7" s="99">
        <f>'0. Database'!M44</f>
        <v>101746</v>
      </c>
      <c r="M7" s="99">
        <f>'0. Database'!N44</f>
        <v>125299</v>
      </c>
      <c r="N7" s="99">
        <f>'0. Database'!O44</f>
        <v>164713</v>
      </c>
      <c r="O7" s="99">
        <f>'0. Database'!P44</f>
        <v>211732.281952773</v>
      </c>
      <c r="P7" s="99">
        <f>'0. Database'!Q44</f>
        <v>259409.951887163</v>
      </c>
      <c r="Q7" s="99">
        <f>'0. Database'!R44</f>
        <v>321961.128094811</v>
      </c>
      <c r="R7" s="99">
        <f>'0. Database'!S44</f>
        <v>388350.3504258</v>
      </c>
      <c r="S7" s="99">
        <f>'0. Database'!T44</f>
        <v>469096.486605456</v>
      </c>
    </row>
    <row r="8" ht="15" customHeight="1" spans="1:19">
      <c r="A8" s="98" t="s">
        <v>48</v>
      </c>
      <c r="B8" s="99">
        <f>'0. Database'!C61</f>
        <v>4222</v>
      </c>
      <c r="C8" s="99">
        <f>'0. Database'!D61</f>
        <v>5457</v>
      </c>
      <c r="D8" s="99">
        <f>'0. Database'!E61</f>
        <v>8599</v>
      </c>
      <c r="E8" s="99">
        <f>'0. Database'!F61</f>
        <v>16108</v>
      </c>
      <c r="F8" s="99">
        <f>'0. Database'!G61</f>
        <v>24216</v>
      </c>
      <c r="G8" s="99">
        <f>'0. Database'!H61</f>
        <v>29274</v>
      </c>
      <c r="H8" s="99">
        <f>'0. Database'!I61</f>
        <v>36314</v>
      </c>
      <c r="I8" s="99">
        <f>'0. Database'!J61</f>
        <v>38747</v>
      </c>
      <c r="J8" s="99">
        <f>'0. Database'!K61</f>
        <v>57683</v>
      </c>
      <c r="K8" s="99">
        <f>'0. Database'!L61</f>
        <v>50475</v>
      </c>
      <c r="L8" s="99">
        <f>'0. Database'!M61</f>
        <v>71113</v>
      </c>
      <c r="M8" s="99">
        <f>'0. Database'!N61</f>
        <v>91328</v>
      </c>
      <c r="N8" s="99">
        <f>'0. Database'!O61</f>
        <v>115800</v>
      </c>
      <c r="O8" s="99">
        <f>'0. Database'!P61</f>
        <v>139861.260560282</v>
      </c>
      <c r="P8" s="99">
        <f>'0. Database'!Q61</f>
        <v>175575.987849327</v>
      </c>
      <c r="Q8" s="99">
        <f>'0. Database'!R61</f>
        <v>206809.144037651</v>
      </c>
      <c r="R8" s="99">
        <f>'0. Database'!S61</f>
        <v>243218.684499603</v>
      </c>
      <c r="S8" s="99">
        <f>'0. Database'!T61</f>
        <v>283498.223377252</v>
      </c>
    </row>
    <row r="9" ht="15" customHeight="1" spans="1:19">
      <c r="A9" s="98" t="s">
        <v>55</v>
      </c>
      <c r="B9" s="99">
        <f>'0. Database'!C79</f>
        <v>14224</v>
      </c>
      <c r="C9" s="99">
        <f>'0. Database'!D79</f>
        <v>14921</v>
      </c>
      <c r="D9" s="99">
        <f>'0. Database'!E79</f>
        <v>14580</v>
      </c>
      <c r="E9" s="99">
        <f>'0. Database'!F79</f>
        <v>13685</v>
      </c>
      <c r="F9" s="99">
        <f>'0. Database'!G79</f>
        <v>14126</v>
      </c>
      <c r="G9" s="99">
        <f>'0. Database'!H79</f>
        <v>15386</v>
      </c>
      <c r="H9" s="99">
        <f>'0. Database'!I79</f>
        <v>14551</v>
      </c>
      <c r="I9" s="99">
        <f>'0. Database'!J79</f>
        <v>13139</v>
      </c>
      <c r="J9" s="99">
        <f>'0. Database'!K79</f>
        <v>15887</v>
      </c>
      <c r="K9" s="99">
        <f>'0. Database'!L79</f>
        <v>9539</v>
      </c>
      <c r="L9" s="99">
        <f>'0. Database'!M79</f>
        <v>17165</v>
      </c>
      <c r="M9" s="99">
        <f>'0. Database'!N79</f>
        <v>18673</v>
      </c>
      <c r="N9" s="99">
        <f>'0. Database'!O79</f>
        <v>20821</v>
      </c>
      <c r="O9" s="99">
        <f>'0. Database'!P79</f>
        <v>26027.1907150627</v>
      </c>
      <c r="P9" s="99">
        <f>'0. Database'!Q79</f>
        <v>37558.3227656968</v>
      </c>
      <c r="Q9" s="99">
        <f>'0. Database'!R79</f>
        <v>55206.9121223441</v>
      </c>
      <c r="R9" s="99">
        <f>'0. Database'!S79</f>
        <v>80650.5190896361</v>
      </c>
      <c r="S9" s="99">
        <f>'0. Database'!T79</f>
        <v>102585.671321506</v>
      </c>
    </row>
    <row r="11" ht="15" customHeight="1" spans="1:1">
      <c r="A11" s="12" t="s">
        <v>87</v>
      </c>
    </row>
    <row r="12" ht="15" customHeight="1" spans="1:19">
      <c r="A12" s="14" t="s">
        <v>69</v>
      </c>
      <c r="B12" s="15" t="s">
        <v>3</v>
      </c>
      <c r="C12" s="15" t="s">
        <v>4</v>
      </c>
      <c r="D12" s="15" t="s">
        <v>5</v>
      </c>
      <c r="E12" s="15" t="s">
        <v>6</v>
      </c>
      <c r="F12" s="15" t="s">
        <v>7</v>
      </c>
      <c r="G12" s="15" t="s">
        <v>8</v>
      </c>
      <c r="H12" s="15" t="s">
        <v>9</v>
      </c>
      <c r="I12" s="15" t="s">
        <v>10</v>
      </c>
      <c r="J12" s="15" t="s">
        <v>11</v>
      </c>
      <c r="K12" s="15" t="s">
        <v>12</v>
      </c>
      <c r="L12" s="15" t="s">
        <v>13</v>
      </c>
      <c r="M12" s="15" t="s">
        <v>14</v>
      </c>
      <c r="N12" s="15" t="s">
        <v>15</v>
      </c>
      <c r="O12" s="15" t="s">
        <v>16</v>
      </c>
      <c r="P12" s="15" t="s">
        <v>17</v>
      </c>
      <c r="Q12" s="15" t="s">
        <v>18</v>
      </c>
      <c r="R12" s="15" t="s">
        <v>19</v>
      </c>
      <c r="S12" s="15" t="s">
        <v>20</v>
      </c>
    </row>
    <row r="13" ht="15" customHeight="1" spans="1:19">
      <c r="A13" s="98" t="s">
        <v>22</v>
      </c>
      <c r="B13" s="99">
        <f>'0. Database'!C14</f>
        <v>24576</v>
      </c>
      <c r="C13" s="99">
        <f>'0. Database'!D14</f>
        <v>27017</v>
      </c>
      <c r="D13" s="99">
        <f>'0. Database'!E14</f>
        <v>23724</v>
      </c>
      <c r="E13" s="99">
        <f>'0. Database'!F14</f>
        <v>24982</v>
      </c>
      <c r="F13" s="99">
        <f>'0. Database'!G14</f>
        <v>31378</v>
      </c>
      <c r="G13" s="99">
        <f>'0. Database'!H14</f>
        <v>32252</v>
      </c>
      <c r="H13" s="99">
        <f>'0. Database'!I14</f>
        <v>38260</v>
      </c>
      <c r="I13" s="99">
        <f>'0. Database'!J14</f>
        <v>45129</v>
      </c>
      <c r="J13" s="99">
        <f>'0. Database'!K14</f>
        <v>56118</v>
      </c>
      <c r="K13" s="99">
        <f>'0. Database'!L14</f>
        <v>65149</v>
      </c>
      <c r="L13" s="99">
        <f>'0. Database'!M14</f>
        <v>64291</v>
      </c>
      <c r="M13" s="99">
        <f>'0. Database'!N14</f>
        <v>74071</v>
      </c>
      <c r="N13" s="99">
        <f>'0. Database'!O14</f>
        <v>71611</v>
      </c>
      <c r="O13" s="99">
        <f>'0. Database'!P14</f>
        <v>63833.6826850388</v>
      </c>
      <c r="P13" s="99">
        <f>'0. Database'!Q14</f>
        <v>40769.7527243072</v>
      </c>
      <c r="Q13" s="99">
        <f>'0. Database'!R14</f>
        <v>61522.4859423514</v>
      </c>
      <c r="R13" s="99">
        <f>'0. Database'!S14</f>
        <v>94794.224348823</v>
      </c>
      <c r="S13" s="99">
        <f>'0. Database'!T14</f>
        <v>137549.858245257</v>
      </c>
    </row>
    <row r="14" ht="15" customHeight="1" spans="1:19">
      <c r="A14" s="98" t="s">
        <v>38</v>
      </c>
      <c r="B14" s="99">
        <f>'0. Database'!C30</f>
        <v>2031</v>
      </c>
      <c r="C14" s="99">
        <f>'0. Database'!D30</f>
        <v>1949</v>
      </c>
      <c r="D14" s="99">
        <f>'0. Database'!E30</f>
        <v>6652</v>
      </c>
      <c r="E14" s="99">
        <f>'0. Database'!F30</f>
        <v>9399</v>
      </c>
      <c r="F14" s="99">
        <f>'0. Database'!G30</f>
        <v>6410</v>
      </c>
      <c r="G14" s="99">
        <f>'0. Database'!H30</f>
        <v>17296</v>
      </c>
      <c r="H14" s="99">
        <f>'0. Database'!I30</f>
        <v>21653</v>
      </c>
      <c r="I14" s="99">
        <f>'0. Database'!J30</f>
        <v>25924</v>
      </c>
      <c r="J14" s="99">
        <f>'0. Database'!K30</f>
        <v>-14726</v>
      </c>
      <c r="K14" s="99">
        <f>'0. Database'!L30</f>
        <v>-16893</v>
      </c>
      <c r="L14" s="99">
        <f>'0. Database'!M30</f>
        <v>32217</v>
      </c>
      <c r="M14" s="99">
        <f>'0. Database'!N30</f>
        <v>32878</v>
      </c>
      <c r="N14" s="99">
        <f>'0. Database'!O30</f>
        <v>7695</v>
      </c>
      <c r="O14" s="99">
        <f>'0. Database'!P30</f>
        <v>-16137.6353577563</v>
      </c>
      <c r="P14" s="99">
        <f>'0. Database'!Q30</f>
        <v>-1113.99821459178</v>
      </c>
      <c r="Q14" s="99">
        <f>'0. Database'!R30</f>
        <v>58782.8155877281</v>
      </c>
      <c r="R14" s="99">
        <f>'0. Database'!S30</f>
        <v>115563.169325736</v>
      </c>
      <c r="S14" s="99">
        <f>'0. Database'!T30</f>
        <v>183593.769275073</v>
      </c>
    </row>
    <row r="15" ht="15" customHeight="1" spans="1:19">
      <c r="A15" s="98" t="s">
        <v>42</v>
      </c>
      <c r="B15" s="99">
        <f>'0. Database'!C45</f>
        <v>11301</v>
      </c>
      <c r="C15" s="99">
        <f>'0. Database'!D45</f>
        <v>11417</v>
      </c>
      <c r="D15" s="99">
        <f>'0. Database'!E45</f>
        <v>20579</v>
      </c>
      <c r="E15" s="99">
        <f>'0. Database'!F45</f>
        <v>25853</v>
      </c>
      <c r="F15" s="99">
        <f>'0. Database'!G45</f>
        <v>23907</v>
      </c>
      <c r="G15" s="99">
        <f>'0. Database'!H45</f>
        <v>22832</v>
      </c>
      <c r="H15" s="99">
        <f>'0. Database'!I45</f>
        <v>30972</v>
      </c>
      <c r="I15" s="99">
        <f>'0. Database'!J45</f>
        <v>42843</v>
      </c>
      <c r="J15" s="99">
        <f>'0. Database'!K45</f>
        <v>67552</v>
      </c>
      <c r="K15" s="99">
        <f>'0. Database'!L45</f>
        <v>60010</v>
      </c>
      <c r="L15" s="99">
        <f>'0. Database'!M45</f>
        <v>69495</v>
      </c>
      <c r="M15" s="99">
        <f>'0. Database'!N45</f>
        <v>72764</v>
      </c>
      <c r="N15" s="99">
        <f>'0. Database'!O45</f>
        <v>73266</v>
      </c>
      <c r="O15" s="99">
        <f>'0. Database'!P45</f>
        <v>20997.9335798816</v>
      </c>
      <c r="P15" s="99">
        <f>'0. Database'!Q45</f>
        <v>15121.6248690842</v>
      </c>
      <c r="Q15" s="99">
        <f>'0. Database'!R45</f>
        <v>53331.293484717</v>
      </c>
      <c r="R15" s="99">
        <f>'0. Database'!S45</f>
        <v>109926.210976645</v>
      </c>
      <c r="S15" s="99">
        <f>'0. Database'!T45</f>
        <v>168272.550115726</v>
      </c>
    </row>
    <row r="16" ht="15" customHeight="1" spans="1:19">
      <c r="A16" s="98" t="s">
        <v>48</v>
      </c>
      <c r="B16" s="99">
        <f>'0. Database'!C62</f>
        <v>2849</v>
      </c>
      <c r="C16" s="99">
        <f>'0. Database'!D62</f>
        <v>3626</v>
      </c>
      <c r="D16" s="99">
        <f>'0. Database'!E62</f>
        <v>6076</v>
      </c>
      <c r="E16" s="99">
        <f>'0. Database'!F62</f>
        <v>11617</v>
      </c>
      <c r="F16" s="99">
        <f>'0. Database'!G62</f>
        <v>17483</v>
      </c>
      <c r="G16" s="99">
        <f>'0. Database'!H62</f>
        <v>15359</v>
      </c>
      <c r="H16" s="99">
        <f>'0. Database'!I62</f>
        <v>21212</v>
      </c>
      <c r="I16" s="99">
        <f>'0. Database'!J62</f>
        <v>23584</v>
      </c>
      <c r="J16" s="99">
        <f>'0. Database'!K62</f>
        <v>38993</v>
      </c>
      <c r="K16" s="99">
        <f>'0. Database'!L62</f>
        <v>19044</v>
      </c>
      <c r="L16" s="99">
        <f>'0. Database'!M62</f>
        <v>43847</v>
      </c>
      <c r="M16" s="99">
        <f>'0. Database'!N62</f>
        <v>54072</v>
      </c>
      <c r="N16" s="99">
        <f>'0. Database'!O62</f>
        <v>46109</v>
      </c>
      <c r="O16" s="99">
        <f>'0. Database'!P62</f>
        <v>2449.05867389061</v>
      </c>
      <c r="P16" s="99">
        <f>'0. Database'!Q62</f>
        <v>4328.2402292081</v>
      </c>
      <c r="Q16" s="99">
        <f>'0. Database'!R62</f>
        <v>28847.7751879652</v>
      </c>
      <c r="R16" s="99">
        <f>'0. Database'!S62</f>
        <v>69327.7866780687</v>
      </c>
      <c r="S16" s="99">
        <f>'0. Database'!T62</f>
        <v>98032.8517349574</v>
      </c>
    </row>
    <row r="17" ht="15" customHeight="1" spans="1:19">
      <c r="A17" s="98" t="s">
        <v>55</v>
      </c>
      <c r="B17" s="99">
        <f>'0. Database'!C80</f>
        <v>13574</v>
      </c>
      <c r="C17" s="99">
        <f>'0. Database'!D80</f>
        <v>14341</v>
      </c>
      <c r="D17" s="99">
        <f>'0. Database'!E80</f>
        <v>13189</v>
      </c>
      <c r="E17" s="99">
        <f>'0. Database'!F80</f>
        <v>12496</v>
      </c>
      <c r="F17" s="99">
        <f>'0. Database'!G80</f>
        <v>12105</v>
      </c>
      <c r="G17" s="99">
        <f>'0. Database'!H80</f>
        <v>13650</v>
      </c>
      <c r="H17" s="99">
        <f>'0. Database'!I80</f>
        <v>12891</v>
      </c>
      <c r="I17" s="99">
        <f>'0. Database'!J80</f>
        <v>11575</v>
      </c>
      <c r="J17" s="99">
        <f>'0. Database'!K80</f>
        <v>13752</v>
      </c>
      <c r="K17" s="99">
        <f>'0. Database'!L80</f>
        <v>5028</v>
      </c>
      <c r="L17" s="99">
        <f>'0. Database'!M80</f>
        <v>8470</v>
      </c>
      <c r="M17" s="99">
        <f>'0. Database'!N80</f>
        <v>11807</v>
      </c>
      <c r="N17" s="99">
        <f>'0. Database'!O80</f>
        <v>-394</v>
      </c>
      <c r="O17" s="99">
        <f>'0. Database'!P80</f>
        <v>-23532.4290712205</v>
      </c>
      <c r="P17" s="99">
        <f>'0. Database'!Q80</f>
        <v>-27416.5322095216</v>
      </c>
      <c r="Q17" s="99">
        <f>'0. Database'!R80</f>
        <v>-26754.5356784166</v>
      </c>
      <c r="R17" s="99">
        <f>'0. Database'!S80</f>
        <v>-3817.75340906375</v>
      </c>
      <c r="S17" s="99">
        <f>'0. Database'!T80</f>
        <v>27298.0671129361</v>
      </c>
    </row>
    <row r="19" ht="15" customHeight="1" spans="1:1">
      <c r="A19" s="12" t="s">
        <v>88</v>
      </c>
    </row>
    <row r="20" ht="15" customHeight="1" spans="1:19">
      <c r="A20" s="14" t="s">
        <v>69</v>
      </c>
      <c r="B20" s="15" t="s">
        <v>3</v>
      </c>
      <c r="C20" s="15" t="s">
        <v>4</v>
      </c>
      <c r="D20" s="15" t="s">
        <v>5</v>
      </c>
      <c r="E20" s="15" t="s">
        <v>6</v>
      </c>
      <c r="F20" s="15" t="s">
        <v>7</v>
      </c>
      <c r="G20" s="15" t="s">
        <v>8</v>
      </c>
      <c r="H20" s="15" t="s">
        <v>9</v>
      </c>
      <c r="I20" s="15" t="s">
        <v>10</v>
      </c>
      <c r="J20" s="15" t="s">
        <v>11</v>
      </c>
      <c r="K20" s="15" t="s">
        <v>12</v>
      </c>
      <c r="L20" s="15" t="s">
        <v>13</v>
      </c>
      <c r="M20" s="15" t="s">
        <v>14</v>
      </c>
      <c r="N20" s="15" t="s">
        <v>15</v>
      </c>
      <c r="O20" s="15" t="s">
        <v>16</v>
      </c>
      <c r="P20" s="15" t="s">
        <v>17</v>
      </c>
      <c r="Q20" s="15" t="s">
        <v>18</v>
      </c>
      <c r="R20" s="15" t="s">
        <v>19</v>
      </c>
      <c r="S20" s="15" t="s">
        <v>20</v>
      </c>
    </row>
    <row r="21" ht="15" customHeight="1" spans="1:19">
      <c r="A21" s="98" t="s">
        <v>22</v>
      </c>
      <c r="B21" s="99">
        <f>'0. Database'!C15</f>
        <v>5360</v>
      </c>
      <c r="C21" s="99">
        <f>'0. Database'!D15</f>
        <v>7316</v>
      </c>
      <c r="D21" s="99">
        <f>'0. Database'!E15</f>
        <v>14443</v>
      </c>
      <c r="E21" s="99">
        <f>'0. Database'!F15</f>
        <v>15969</v>
      </c>
      <c r="F21" s="99">
        <f>'0. Database'!G15</f>
        <v>11788</v>
      </c>
      <c r="G21" s="99">
        <f>'0. Database'!H15</f>
        <v>10721</v>
      </c>
      <c r="H21" s="99">
        <f>'0. Database'!I15</f>
        <v>19543</v>
      </c>
      <c r="I21" s="99">
        <f>'0. Database'!J15</f>
        <v>22968</v>
      </c>
      <c r="J21" s="99">
        <f>'0. Database'!K15</f>
        <v>27385</v>
      </c>
      <c r="K21" s="99">
        <f>'0. Database'!L15</f>
        <v>32696</v>
      </c>
      <c r="L21" s="99">
        <f>'0. Database'!M15</f>
        <v>22245</v>
      </c>
      <c r="M21" s="99">
        <f>'0. Database'!N15</f>
        <v>17254</v>
      </c>
      <c r="N21" s="99">
        <f>'0. Database'!O15</f>
        <v>18420</v>
      </c>
      <c r="O21" s="99">
        <f>'0. Database'!P15</f>
        <v>21283.7471906578</v>
      </c>
      <c r="P21" s="99">
        <f>'0. Database'!Q15</f>
        <v>20273.4166640745</v>
      </c>
      <c r="Q21" s="99">
        <f>'0. Database'!R15</f>
        <v>21048.1151792151</v>
      </c>
      <c r="R21" s="99">
        <f>'0. Database'!S15</f>
        <v>22626.7675895225</v>
      </c>
      <c r="S21" s="99">
        <f>'0. Database'!T15</f>
        <v>24405.7260547797</v>
      </c>
    </row>
    <row r="22" ht="15" customHeight="1" spans="1:19">
      <c r="A22" s="98" t="s">
        <v>38</v>
      </c>
      <c r="B22" s="99">
        <f>'0. Database'!C31</f>
        <v>0</v>
      </c>
      <c r="C22" s="99">
        <f>'0. Database'!D31</f>
        <v>0</v>
      </c>
      <c r="D22" s="99">
        <f>'0. Database'!E31</f>
        <v>0</v>
      </c>
      <c r="E22" s="99">
        <f>'0. Database'!F31</f>
        <v>0</v>
      </c>
      <c r="F22" s="99">
        <f>'0. Database'!G31</f>
        <v>0</v>
      </c>
      <c r="G22" s="99">
        <f>'0. Database'!H31</f>
        <v>0</v>
      </c>
      <c r="H22" s="99">
        <f>'0. Database'!I31</f>
        <v>0</v>
      </c>
      <c r="I22" s="99">
        <f>'0. Database'!J31</f>
        <v>0</v>
      </c>
      <c r="J22" s="99">
        <f>'0. Database'!K31</f>
        <v>0</v>
      </c>
      <c r="K22" s="99">
        <f>'0. Database'!L31</f>
        <v>6000</v>
      </c>
      <c r="L22" s="99">
        <f>'0. Database'!M31</f>
        <v>0</v>
      </c>
      <c r="M22" s="99">
        <f>'0. Database'!N31</f>
        <v>0</v>
      </c>
      <c r="N22" s="99">
        <f>'0. Database'!O31</f>
        <v>0</v>
      </c>
      <c r="O22" s="99">
        <f>'0. Database'!P31</f>
        <v>0</v>
      </c>
      <c r="P22" s="99">
        <f>'0. Database'!Q31</f>
        <v>0</v>
      </c>
      <c r="Q22" s="99">
        <f>'0. Database'!R31</f>
        <v>0</v>
      </c>
      <c r="R22" s="99">
        <f>'0. Database'!S31</f>
        <v>0</v>
      </c>
      <c r="S22" s="99">
        <f>'0. Database'!T31</f>
        <v>0</v>
      </c>
    </row>
    <row r="23" ht="15" customHeight="1" spans="1:19">
      <c r="A23" s="98" t="s">
        <v>42</v>
      </c>
      <c r="B23" s="99">
        <f>'0. Database'!C46</f>
        <v>0</v>
      </c>
      <c r="C23" s="99">
        <f>'0. Database'!D46</f>
        <v>0</v>
      </c>
      <c r="D23" s="99">
        <f>'0. Database'!E46</f>
        <v>1780</v>
      </c>
      <c r="E23" s="99">
        <f>'0. Database'!F46</f>
        <v>3693</v>
      </c>
      <c r="F23" s="99">
        <f>'0. Database'!G46</f>
        <v>4846</v>
      </c>
      <c r="G23" s="99">
        <f>'0. Database'!H46</f>
        <v>9075</v>
      </c>
      <c r="H23" s="99">
        <f>'0. Database'!I46</f>
        <v>18396</v>
      </c>
      <c r="I23" s="99">
        <f>'0. Database'!J46</f>
        <v>31149</v>
      </c>
      <c r="J23" s="99">
        <f>'0. Database'!K46</f>
        <v>50274</v>
      </c>
      <c r="K23" s="99">
        <f>'0. Database'!L46</f>
        <v>59296</v>
      </c>
      <c r="L23" s="99">
        <f>'0. Database'!M46</f>
        <v>61504</v>
      </c>
      <c r="M23" s="99">
        <f>'0. Database'!N46</f>
        <v>62222</v>
      </c>
      <c r="N23" s="99">
        <f>'0. Database'!O46</f>
        <v>45709</v>
      </c>
      <c r="O23" s="99">
        <f>'0. Database'!P46</f>
        <v>27809.9757699993</v>
      </c>
      <c r="P23" s="99">
        <f>'0. Database'!Q46</f>
        <v>30646.1753163076</v>
      </c>
      <c r="Q23" s="99">
        <f>'0. Database'!R46</f>
        <v>24783.9108771215</v>
      </c>
      <c r="R23" s="99">
        <f>'0. Database'!S46</f>
        <v>35079.2997523937</v>
      </c>
      <c r="S23" s="99">
        <f>'0. Database'!T46</f>
        <v>56980.3267604194</v>
      </c>
    </row>
    <row r="24" ht="15" customHeight="1" spans="1:19">
      <c r="A24" s="98" t="s">
        <v>48</v>
      </c>
      <c r="B24" s="99">
        <f>'0. Database'!C63</f>
        <v>0</v>
      </c>
      <c r="C24" s="99">
        <f>'0. Database'!D63</f>
        <v>0</v>
      </c>
      <c r="D24" s="99">
        <f>'0. Database'!E63</f>
        <v>0</v>
      </c>
      <c r="E24" s="99">
        <f>'0. Database'!F63</f>
        <v>0</v>
      </c>
      <c r="F24" s="99">
        <f>'0. Database'!G63</f>
        <v>5222</v>
      </c>
      <c r="G24" s="99">
        <f>'0. Database'!H63</f>
        <v>16087</v>
      </c>
      <c r="H24" s="99">
        <f>'0. Database'!I63</f>
        <v>6539</v>
      </c>
      <c r="I24" s="99">
        <f>'0. Database'!J63</f>
        <v>9836</v>
      </c>
      <c r="J24" s="99">
        <f>'0. Database'!K63</f>
        <v>50052</v>
      </c>
      <c r="K24" s="99">
        <f>'0. Database'!L63</f>
        <v>31551</v>
      </c>
      <c r="L24" s="99">
        <f>'0. Database'!M63</f>
        <v>26786</v>
      </c>
      <c r="M24" s="99">
        <f>'0. Database'!N63</f>
        <v>43895</v>
      </c>
      <c r="N24" s="99">
        <f>'0. Database'!O63</f>
        <v>44648</v>
      </c>
      <c r="O24" s="99">
        <f>'0. Database'!P63</f>
        <v>0</v>
      </c>
      <c r="P24" s="99">
        <f>'0. Database'!Q63</f>
        <v>6000</v>
      </c>
      <c r="Q24" s="99">
        <f>'0. Database'!R63</f>
        <v>6000</v>
      </c>
      <c r="R24" s="99">
        <f>'0. Database'!S63</f>
        <v>6000</v>
      </c>
      <c r="S24" s="99">
        <f>'0. Database'!T63</f>
        <v>6000</v>
      </c>
    </row>
    <row r="25" ht="15" customHeight="1" spans="1:19">
      <c r="A25" s="98" t="s">
        <v>55</v>
      </c>
      <c r="B25" s="99">
        <f>'0. Database'!C81</f>
        <v>11021</v>
      </c>
      <c r="C25" s="99">
        <f>'0. Database'!D81</f>
        <v>9813</v>
      </c>
      <c r="D25" s="99">
        <f>'0. Database'!E81</f>
        <v>8087</v>
      </c>
      <c r="E25" s="99">
        <f>'0. Database'!F81</f>
        <v>10440</v>
      </c>
      <c r="F25" s="99">
        <f>'0. Database'!G81</f>
        <v>3561</v>
      </c>
      <c r="G25" s="99">
        <f>'0. Database'!H81</f>
        <v>11347</v>
      </c>
      <c r="H25" s="99">
        <f>'0. Database'!I81</f>
        <v>36140</v>
      </c>
      <c r="I25" s="99">
        <f>'0. Database'!J81</f>
        <v>19240</v>
      </c>
      <c r="J25" s="99">
        <f>'0. Database'!K81</f>
        <v>20934</v>
      </c>
      <c r="K25" s="99">
        <f>'0. Database'!L81</f>
        <v>16248</v>
      </c>
      <c r="L25" s="99">
        <f>'0. Database'!M81</f>
        <v>1300</v>
      </c>
      <c r="M25" s="99">
        <f>'0. Database'!N81</f>
        <v>1202</v>
      </c>
      <c r="N25" s="99">
        <f>'0. Database'!O81</f>
        <v>600</v>
      </c>
      <c r="O25" s="99">
        <f>'0. Database'!P81</f>
        <v>95</v>
      </c>
      <c r="P25" s="99">
        <f>'0. Database'!Q81</f>
        <v>0</v>
      </c>
      <c r="Q25" s="99">
        <f>'0. Database'!R81</f>
        <v>0</v>
      </c>
      <c r="R25" s="99">
        <f>'0. Database'!S81</f>
        <v>0</v>
      </c>
      <c r="S25" s="99">
        <f>'0. Database'!T81</f>
        <v>0</v>
      </c>
    </row>
    <row r="27" ht="15" customHeight="1" spans="1:1">
      <c r="A27" s="12" t="s">
        <v>89</v>
      </c>
    </row>
    <row r="28" ht="15" customHeight="1" spans="1:19">
      <c r="A28" s="14" t="s">
        <v>69</v>
      </c>
      <c r="B28" s="15" t="s">
        <v>3</v>
      </c>
      <c r="C28" s="15" t="s">
        <v>4</v>
      </c>
      <c r="D28" s="15" t="s">
        <v>5</v>
      </c>
      <c r="E28" s="15" t="s">
        <v>6</v>
      </c>
      <c r="F28" s="15" t="s">
        <v>7</v>
      </c>
      <c r="G28" s="15" t="s">
        <v>8</v>
      </c>
      <c r="H28" s="15" t="s">
        <v>9</v>
      </c>
      <c r="I28" s="15" t="s">
        <v>10</v>
      </c>
      <c r="J28" s="15" t="s">
        <v>11</v>
      </c>
      <c r="K28" s="15" t="s">
        <v>12</v>
      </c>
      <c r="L28" s="15" t="s">
        <v>13</v>
      </c>
      <c r="M28" s="15" t="s">
        <v>14</v>
      </c>
      <c r="N28" s="15" t="s">
        <v>15</v>
      </c>
      <c r="O28" s="15" t="s">
        <v>16</v>
      </c>
      <c r="P28" s="15" t="s">
        <v>17</v>
      </c>
      <c r="Q28" s="15" t="s">
        <v>18</v>
      </c>
      <c r="R28" s="15" t="s">
        <v>19</v>
      </c>
      <c r="S28" s="15" t="s">
        <v>20</v>
      </c>
    </row>
    <row r="29" ht="15" customHeight="1" spans="1:19">
      <c r="A29" s="98" t="s">
        <v>22</v>
      </c>
      <c r="B29" s="99">
        <f>'0. Database'!C5</f>
        <v>77849</v>
      </c>
      <c r="C29" s="99">
        <f>'0. Database'!D5</f>
        <v>86833</v>
      </c>
      <c r="D29" s="99">
        <f>'0. Database'!E5</f>
        <v>93580</v>
      </c>
      <c r="E29" s="99">
        <f>'0. Database'!F5</f>
        <v>91154</v>
      </c>
      <c r="F29" s="99">
        <f>'0. Database'!G5</f>
        <v>96571</v>
      </c>
      <c r="G29" s="99">
        <f>'0. Database'!H5</f>
        <v>110360</v>
      </c>
      <c r="H29" s="99">
        <f>'0. Database'!I5</f>
        <v>125843</v>
      </c>
      <c r="I29" s="99">
        <f>'0. Database'!J5</f>
        <v>143015</v>
      </c>
      <c r="J29" s="99">
        <f>'0. Database'!K5</f>
        <v>168088</v>
      </c>
      <c r="K29" s="99">
        <f>'0. Database'!L5</f>
        <v>198270</v>
      </c>
      <c r="L29" s="99">
        <f>'0. Database'!M5</f>
        <v>211915</v>
      </c>
      <c r="M29" s="99">
        <f>'0. Database'!N5</f>
        <v>245122</v>
      </c>
      <c r="N29" s="99">
        <f>'0. Database'!O5</f>
        <v>281724</v>
      </c>
      <c r="O29" s="99">
        <f>'0. Database'!P5</f>
        <v>319618.352346443</v>
      </c>
      <c r="P29" s="99">
        <f>'0. Database'!Q5</f>
        <v>373106.65121074</v>
      </c>
      <c r="Q29" s="99">
        <f>'0. Database'!R5</f>
        <v>445409.632709663</v>
      </c>
      <c r="R29" s="99">
        <f>'0. Database'!S5</f>
        <v>534000.031144246</v>
      </c>
      <c r="S29" s="99">
        <f>'0. Database'!T5</f>
        <v>628544.330275335</v>
      </c>
    </row>
    <row r="30" ht="15" customHeight="1" spans="1:19">
      <c r="A30" s="98" t="s">
        <v>38</v>
      </c>
      <c r="B30" s="99">
        <f>'0. Database'!C21</f>
        <v>41410</v>
      </c>
      <c r="C30" s="99">
        <f>'0. Database'!D21</f>
        <v>50834</v>
      </c>
      <c r="D30" s="99">
        <f>'0. Database'!E21</f>
        <v>63708</v>
      </c>
      <c r="E30" s="99">
        <f>'0. Database'!F21</f>
        <v>79785</v>
      </c>
      <c r="F30" s="99">
        <f>'0. Database'!G21</f>
        <v>106110</v>
      </c>
      <c r="G30" s="99">
        <f>'0. Database'!H21</f>
        <v>141366</v>
      </c>
      <c r="H30" s="99">
        <f>'0. Database'!I21</f>
        <v>170773</v>
      </c>
      <c r="I30" s="99">
        <f>'0. Database'!J21</f>
        <v>236282</v>
      </c>
      <c r="J30" s="99">
        <f>'0. Database'!K21</f>
        <v>279833</v>
      </c>
      <c r="K30" s="99">
        <f>'0. Database'!L21</f>
        <v>315880</v>
      </c>
      <c r="L30" s="99">
        <f>'0. Database'!M21</f>
        <v>352828</v>
      </c>
      <c r="M30" s="99">
        <f>'0. Database'!N21</f>
        <v>387497</v>
      </c>
      <c r="N30" s="99">
        <f>'0. Database'!O21</f>
        <v>426305</v>
      </c>
      <c r="O30" s="99">
        <f>'0. Database'!P21</f>
        <v>461081.718871665</v>
      </c>
      <c r="P30" s="99">
        <f>'0. Database'!Q21</f>
        <v>516677.030980667</v>
      </c>
      <c r="Q30" s="99">
        <f>'0. Database'!R21</f>
        <v>556072.426496916</v>
      </c>
      <c r="R30" s="99">
        <f>'0. Database'!S21</f>
        <v>599450.605497709</v>
      </c>
      <c r="S30" s="99">
        <f>'0. Database'!T21</f>
        <v>645470.672783422</v>
      </c>
    </row>
    <row r="31" ht="15" customHeight="1" spans="1:19">
      <c r="A31" s="98" t="s">
        <v>42</v>
      </c>
      <c r="B31" s="99">
        <f>'0. Database'!C36</f>
        <v>55519</v>
      </c>
      <c r="C31" s="99">
        <f>'0. Database'!D36</f>
        <v>66001</v>
      </c>
      <c r="D31" s="99">
        <f>'0. Database'!E36</f>
        <v>74989</v>
      </c>
      <c r="E31" s="99">
        <f>'0. Database'!F36</f>
        <v>90272</v>
      </c>
      <c r="F31" s="99">
        <f>'0. Database'!G36</f>
        <v>110855</v>
      </c>
      <c r="G31" s="99">
        <f>'0. Database'!H36</f>
        <v>136819</v>
      </c>
      <c r="H31" s="99">
        <f>'0. Database'!I36</f>
        <v>161857</v>
      </c>
      <c r="I31" s="99">
        <f>'0. Database'!J36</f>
        <v>182527</v>
      </c>
      <c r="J31" s="99">
        <f>'0. Database'!K36</f>
        <v>257637</v>
      </c>
      <c r="K31" s="99">
        <f>'0. Database'!L36</f>
        <v>282836</v>
      </c>
      <c r="L31" s="99">
        <f>'0. Database'!M36</f>
        <v>307394</v>
      </c>
      <c r="M31" s="99">
        <f>'0. Database'!N36</f>
        <v>350018</v>
      </c>
      <c r="N31" s="99">
        <f>'0. Database'!O36</f>
        <v>402836</v>
      </c>
      <c r="O31" s="99">
        <f>'0. Database'!P36</f>
        <v>486455.791246222</v>
      </c>
      <c r="P31" s="99">
        <f>'0. Database'!Q36</f>
        <v>578508.878663099</v>
      </c>
      <c r="Q31" s="99">
        <f>'0. Database'!R36</f>
        <v>684008.76561542</v>
      </c>
      <c r="R31" s="99">
        <f>'0. Database'!S36</f>
        <v>805409.013758559</v>
      </c>
      <c r="S31" s="99">
        <f>'0. Database'!T36</f>
        <v>941245.15705466</v>
      </c>
    </row>
    <row r="32" ht="15" customHeight="1" spans="1:19">
      <c r="A32" s="98" t="s">
        <v>48</v>
      </c>
      <c r="B32" s="99">
        <f>'0. Database'!C53</f>
        <v>7872</v>
      </c>
      <c r="C32" s="99">
        <f>'0. Database'!D53</f>
        <v>12466</v>
      </c>
      <c r="D32" s="99">
        <f>'0. Database'!E53</f>
        <v>17928</v>
      </c>
      <c r="E32" s="99">
        <f>'0. Database'!F53</f>
        <v>27638</v>
      </c>
      <c r="F32" s="99">
        <f>'0. Database'!G53</f>
        <v>40653</v>
      </c>
      <c r="G32" s="99">
        <f>'0. Database'!H53</f>
        <v>55838</v>
      </c>
      <c r="H32" s="99">
        <f>'0. Database'!I53</f>
        <v>70196</v>
      </c>
      <c r="I32" s="99">
        <f>'0. Database'!J53</f>
        <v>84826</v>
      </c>
      <c r="J32" s="99">
        <f>'0. Database'!K53</f>
        <v>115655</v>
      </c>
      <c r="K32" s="99">
        <f>'0. Database'!L53</f>
        <v>114450</v>
      </c>
      <c r="L32" s="99">
        <f>'0. Database'!M53</f>
        <v>133006</v>
      </c>
      <c r="M32" s="99">
        <f>'0. Database'!N53</f>
        <v>162355</v>
      </c>
      <c r="N32" s="99">
        <f>'0. Database'!O53</f>
        <v>198759</v>
      </c>
      <c r="O32" s="99">
        <f>'0. Database'!P53</f>
        <v>249809.411372193</v>
      </c>
      <c r="P32" s="99">
        <f>'0. Database'!Q53</f>
        <v>297686.364278316</v>
      </c>
      <c r="Q32" s="99">
        <f>'0. Database'!R53</f>
        <v>348303.465454697</v>
      </c>
      <c r="R32" s="99">
        <f>'0. Database'!S53</f>
        <v>397616.697876779</v>
      </c>
      <c r="S32" s="99">
        <f>'0. Database'!T53</f>
        <v>448874.017826186</v>
      </c>
    </row>
    <row r="33" ht="15" customHeight="1" spans="1:19">
      <c r="A33" s="98" t="s">
        <v>55</v>
      </c>
      <c r="B33" s="99">
        <f>'0. Database'!C71</f>
        <v>37180</v>
      </c>
      <c r="C33" s="99">
        <f>'0. Database'!D71</f>
        <v>38275</v>
      </c>
      <c r="D33" s="99">
        <f>'0. Database'!E71</f>
        <v>38226</v>
      </c>
      <c r="E33" s="99">
        <f>'0. Database'!F71</f>
        <v>37047</v>
      </c>
      <c r="F33" s="99">
        <f>'0. Database'!G71</f>
        <v>37728</v>
      </c>
      <c r="G33" s="99">
        <f>'0. Database'!H71</f>
        <v>39383</v>
      </c>
      <c r="H33" s="99">
        <f>'0. Database'!I71</f>
        <v>39506</v>
      </c>
      <c r="I33" s="99">
        <f>'0. Database'!J71</f>
        <v>39068</v>
      </c>
      <c r="J33" s="99">
        <f>'0. Database'!K71</f>
        <v>40479</v>
      </c>
      <c r="K33" s="99">
        <f>'0. Database'!L71</f>
        <v>42440</v>
      </c>
      <c r="L33" s="99">
        <f>'0. Database'!M71</f>
        <v>49954</v>
      </c>
      <c r="M33" s="99">
        <f>'0. Database'!N71</f>
        <v>52961</v>
      </c>
      <c r="N33" s="99">
        <f>'0. Database'!O71</f>
        <v>57399</v>
      </c>
      <c r="O33" s="99">
        <f>'0. Database'!P71</f>
        <v>67004.1763376629</v>
      </c>
      <c r="P33" s="99">
        <f>'0. Database'!Q71</f>
        <v>87762.5174380165</v>
      </c>
      <c r="Q33" s="99">
        <f>'0. Database'!R71</f>
        <v>131114.655649142</v>
      </c>
      <c r="R33" s="99">
        <f>'0. Database'!S71</f>
        <v>184457.800035541</v>
      </c>
      <c r="S33" s="99">
        <f>'0. Database'!T71</f>
        <v>223941.182821562</v>
      </c>
    </row>
    <row r="35" ht="15" customHeight="1" spans="1:1">
      <c r="A35" s="12" t="s">
        <v>90</v>
      </c>
    </row>
    <row r="36" ht="15" customHeight="1" spans="1:19">
      <c r="A36" s="14" t="s">
        <v>69</v>
      </c>
      <c r="B36" s="15" t="s">
        <v>3</v>
      </c>
      <c r="C36" s="15" t="s">
        <v>4</v>
      </c>
      <c r="D36" s="15" t="s">
        <v>5</v>
      </c>
      <c r="E36" s="15" t="s">
        <v>6</v>
      </c>
      <c r="F36" s="15" t="s">
        <v>7</v>
      </c>
      <c r="G36" s="15" t="s">
        <v>8</v>
      </c>
      <c r="H36" s="15" t="s">
        <v>9</v>
      </c>
      <c r="I36" s="15" t="s">
        <v>10</v>
      </c>
      <c r="J36" s="15" t="s">
        <v>11</v>
      </c>
      <c r="K36" s="15" t="s">
        <v>12</v>
      </c>
      <c r="L36" s="15" t="s">
        <v>13</v>
      </c>
      <c r="M36" s="15" t="s">
        <v>14</v>
      </c>
      <c r="N36" s="15" t="s">
        <v>15</v>
      </c>
      <c r="O36" s="15" t="s">
        <v>16</v>
      </c>
      <c r="P36" s="15" t="s">
        <v>17</v>
      </c>
      <c r="Q36" s="15" t="s">
        <v>18</v>
      </c>
      <c r="R36" s="15" t="s">
        <v>19</v>
      </c>
      <c r="S36" s="15" t="s">
        <v>20</v>
      </c>
    </row>
    <row r="37" ht="15" customHeight="1" spans="1:19">
      <c r="A37" s="98" t="s">
        <v>22</v>
      </c>
      <c r="B37" s="99">
        <f>'0. Database'!C7</f>
        <v>21863</v>
      </c>
      <c r="C37" s="99">
        <f>'0. Database'!D7</f>
        <v>22074</v>
      </c>
      <c r="D37" s="99">
        <f>'0. Database'!E7</f>
        <v>12193</v>
      </c>
      <c r="E37" s="99">
        <f>'0. Database'!F7</f>
        <v>16798</v>
      </c>
      <c r="F37" s="99">
        <f>'0. Database'!G7</f>
        <v>21204</v>
      </c>
      <c r="G37" s="99">
        <f>'0. Database'!H7</f>
        <v>16571</v>
      </c>
      <c r="H37" s="99">
        <f>'0. Database'!I7</f>
        <v>39240</v>
      </c>
      <c r="I37" s="99">
        <f>'0. Database'!J7</f>
        <v>44281</v>
      </c>
      <c r="J37" s="99">
        <f>'0. Database'!K7</f>
        <v>61271</v>
      </c>
      <c r="K37" s="99">
        <f>'0. Database'!L7</f>
        <v>72738</v>
      </c>
      <c r="L37" s="99">
        <f>'0. Database'!M7</f>
        <v>72361</v>
      </c>
      <c r="M37" s="99">
        <f>'0. Database'!N7</f>
        <v>88136</v>
      </c>
      <c r="N37" s="99">
        <f>'0. Database'!O7</f>
        <v>101832</v>
      </c>
      <c r="O37" s="99">
        <f>'0. Database'!P7</f>
        <v>128773.529411765</v>
      </c>
      <c r="P37" s="99">
        <f>'0. Database'!Q7</f>
        <v>144093.728813559</v>
      </c>
      <c r="Q37" s="99">
        <f>'0. Database'!R7</f>
        <v>170374.875</v>
      </c>
      <c r="R37" s="99">
        <f>'0. Database'!S7</f>
        <v>198374.4375</v>
      </c>
      <c r="S37" s="99">
        <f>'0. Database'!T7</f>
        <v>231003.5</v>
      </c>
    </row>
    <row r="38" ht="15" customHeight="1" spans="1:19">
      <c r="A38" s="98" t="s">
        <v>38</v>
      </c>
      <c r="B38" s="99">
        <f>'0. Database'!C23</f>
        <v>274</v>
      </c>
      <c r="C38" s="99">
        <f>'0. Database'!D23</f>
        <v>-241</v>
      </c>
      <c r="D38" s="99">
        <f>'0. Database'!E23</f>
        <v>596</v>
      </c>
      <c r="E38" s="99">
        <f>'0. Database'!F23</f>
        <v>2371</v>
      </c>
      <c r="F38" s="99">
        <f>'0. Database'!G23</f>
        <v>2244</v>
      </c>
      <c r="G38" s="99">
        <f>'0. Database'!H23</f>
        <v>10073</v>
      </c>
      <c r="H38" s="99">
        <f>'0. Database'!I23</f>
        <v>11588</v>
      </c>
      <c r="I38" s="99">
        <f>'0. Database'!J23</f>
        <v>21331</v>
      </c>
      <c r="J38" s="99">
        <f>'0. Database'!K23</f>
        <v>24042</v>
      </c>
      <c r="K38" s="99">
        <f>'0. Database'!L23</f>
        <v>7311</v>
      </c>
      <c r="L38" s="99">
        <f>'0. Database'!M23</f>
        <v>29793</v>
      </c>
      <c r="M38" s="99">
        <f>'0. Database'!N23</f>
        <v>59248</v>
      </c>
      <c r="N38" s="99">
        <f>'0. Database'!O23</f>
        <v>77670</v>
      </c>
      <c r="O38" s="99">
        <f>'0. Database'!P23</f>
        <v>95381.3695652174</v>
      </c>
      <c r="P38" s="99">
        <f>'0. Database'!Q23</f>
        <v>109556.177777778</v>
      </c>
      <c r="Q38" s="99">
        <f>'0. Database'!R23</f>
        <v>138562.233333333</v>
      </c>
      <c r="R38" s="99">
        <f>'0. Database'!S23</f>
        <v>162769.352941176</v>
      </c>
      <c r="S38" s="99">
        <f>'0. Database'!T23</f>
        <v>199614.8125</v>
      </c>
    </row>
    <row r="39" ht="15" customHeight="1" spans="1:19">
      <c r="A39" s="98" t="s">
        <v>42</v>
      </c>
      <c r="B39" s="99">
        <f>'0. Database'!C38</f>
        <v>12214</v>
      </c>
      <c r="C39" s="99">
        <f>'0. Database'!D38</f>
        <v>13928</v>
      </c>
      <c r="D39" s="99">
        <f>'0. Database'!E38</f>
        <v>15826</v>
      </c>
      <c r="E39" s="99">
        <f>'0. Database'!F38</f>
        <v>19478</v>
      </c>
      <c r="F39" s="99">
        <f>'0. Database'!G38</f>
        <v>22519</v>
      </c>
      <c r="G39" s="99">
        <f>'0. Database'!H38</f>
        <v>30736</v>
      </c>
      <c r="H39" s="99">
        <f>'0. Database'!I38</f>
        <v>32508</v>
      </c>
      <c r="I39" s="99">
        <f>'0. Database'!J38</f>
        <v>40269</v>
      </c>
      <c r="J39" s="99">
        <f>'0. Database'!K38</f>
        <v>76033</v>
      </c>
      <c r="K39" s="99">
        <f>'0. Database'!L38</f>
        <v>59972</v>
      </c>
      <c r="L39" s="99">
        <f>'0. Database'!M38</f>
        <v>73795</v>
      </c>
      <c r="M39" s="99">
        <f>'0. Database'!N38</f>
        <v>100118</v>
      </c>
      <c r="N39" s="99">
        <f>'0. Database'!O38</f>
        <v>132170</v>
      </c>
      <c r="O39" s="99">
        <f>'0. Database'!P38</f>
        <v>174612.843137255</v>
      </c>
      <c r="P39" s="99">
        <f>'0. Database'!Q38</f>
        <v>180090.274509804</v>
      </c>
      <c r="Q39" s="99">
        <f>'0. Database'!R38</f>
        <v>212391.875</v>
      </c>
      <c r="R39" s="99">
        <f>'0. Database'!S38</f>
        <v>263167.333333333</v>
      </c>
      <c r="S39" s="99">
        <f>'0. Database'!T38</f>
        <v>322005.857142857</v>
      </c>
    </row>
    <row r="40" ht="15" customHeight="1" spans="1:19">
      <c r="A40" s="98" t="s">
        <v>48</v>
      </c>
      <c r="B40" s="99">
        <f>'0. Database'!C55</f>
        <v>1491</v>
      </c>
      <c r="C40" s="99">
        <f>'0. Database'!D55</f>
        <v>2925</v>
      </c>
      <c r="D40" s="99">
        <f>'0. Database'!E55</f>
        <v>3669</v>
      </c>
      <c r="E40" s="99">
        <f>'0. Database'!F55</f>
        <v>10188</v>
      </c>
      <c r="F40" s="99">
        <f>'0. Database'!G55</f>
        <v>18190</v>
      </c>
      <c r="G40" s="99">
        <f>'0. Database'!H55</f>
        <v>22112</v>
      </c>
      <c r="H40" s="99">
        <f>'0. Database'!I55</f>
        <v>18485</v>
      </c>
      <c r="I40" s="99">
        <f>'0. Database'!J55</f>
        <v>29146</v>
      </c>
      <c r="J40" s="99">
        <f>'0. Database'!K55</f>
        <v>39370</v>
      </c>
      <c r="K40" s="99">
        <f>'0. Database'!L55</f>
        <v>23200</v>
      </c>
      <c r="L40" s="99">
        <f>'0. Database'!M55</f>
        <v>39098</v>
      </c>
      <c r="M40" s="99">
        <f>'0. Database'!N55</f>
        <v>62360</v>
      </c>
      <c r="N40" s="99">
        <f>'0. Database'!O55</f>
        <v>60458</v>
      </c>
      <c r="O40" s="99">
        <f>'0. Database'!P55</f>
        <v>83760.9672131148</v>
      </c>
      <c r="P40" s="99">
        <f>'0. Database'!Q55</f>
        <v>89664.3103448276</v>
      </c>
      <c r="Q40" s="99">
        <f>'0. Database'!R55</f>
        <v>105343.361111111</v>
      </c>
      <c r="R40" s="99">
        <f>'0. Database'!S55</f>
        <v>126034.55</v>
      </c>
      <c r="S40" s="99">
        <f>'0. Database'!T55</f>
        <v>146055.1</v>
      </c>
    </row>
    <row r="41" ht="15" customHeight="1" spans="1:19">
      <c r="A41" s="98" t="s">
        <v>55</v>
      </c>
      <c r="B41" s="99">
        <f>'0. Database'!C73</f>
        <v>10926</v>
      </c>
      <c r="C41" s="99">
        <f>'0. Database'!D73</f>
        <v>10955</v>
      </c>
      <c r="D41" s="99">
        <f>'0. Database'!E73</f>
        <v>9938</v>
      </c>
      <c r="E41" s="99">
        <f>'0. Database'!F73</f>
        <v>8901</v>
      </c>
      <c r="F41" s="99">
        <f>'0. Database'!G73</f>
        <v>9335</v>
      </c>
      <c r="G41" s="99">
        <f>'0. Database'!H73</f>
        <v>3825</v>
      </c>
      <c r="H41" s="99">
        <f>'0. Database'!I73</f>
        <v>11083</v>
      </c>
      <c r="I41" s="99">
        <f>'0. Database'!J73</f>
        <v>10135</v>
      </c>
      <c r="J41" s="99">
        <f>'0. Database'!K73</f>
        <v>13746</v>
      </c>
      <c r="K41" s="99">
        <f>'0. Database'!L73</f>
        <v>6717</v>
      </c>
      <c r="L41" s="99">
        <f>'0. Database'!M73</f>
        <v>8503</v>
      </c>
      <c r="M41" s="99">
        <f>'0. Database'!N73</f>
        <v>10467</v>
      </c>
      <c r="N41" s="99">
        <f>'0. Database'!O73</f>
        <v>12443</v>
      </c>
      <c r="O41" s="99">
        <f>'0. Database'!P73</f>
        <v>17201.0588235294</v>
      </c>
      <c r="P41" s="99">
        <f>'0. Database'!Q73</f>
        <v>18923.5882352941</v>
      </c>
      <c r="Q41" s="99">
        <f>'0. Database'!R73</f>
        <v>26746.3448275862</v>
      </c>
      <c r="R41" s="99">
        <f>'0. Database'!S73</f>
        <v>39545.8125</v>
      </c>
      <c r="S41" s="99">
        <f>'0. Database'!T73</f>
        <v>51960.2666666667</v>
      </c>
    </row>
    <row r="43" ht="15" customHeight="1" spans="1:1">
      <c r="A43" s="12" t="s">
        <v>91</v>
      </c>
    </row>
    <row r="44" ht="15" customHeight="1" spans="1:19">
      <c r="A44" s="14" t="s">
        <v>69</v>
      </c>
      <c r="B44" s="15" t="s">
        <v>3</v>
      </c>
      <c r="C44" s="15" t="s">
        <v>4</v>
      </c>
      <c r="D44" s="15" t="s">
        <v>5</v>
      </c>
      <c r="E44" s="15" t="s">
        <v>6</v>
      </c>
      <c r="F44" s="15" t="s">
        <v>7</v>
      </c>
      <c r="G44" s="15" t="s">
        <v>8</v>
      </c>
      <c r="H44" s="15" t="s">
        <v>9</v>
      </c>
      <c r="I44" s="15" t="s">
        <v>10</v>
      </c>
      <c r="J44" s="15" t="s">
        <v>11</v>
      </c>
      <c r="K44" s="15" t="s">
        <v>12</v>
      </c>
      <c r="L44" s="15" t="s">
        <v>13</v>
      </c>
      <c r="M44" s="15" t="s">
        <v>14</v>
      </c>
      <c r="N44" s="15" t="s">
        <v>15</v>
      </c>
      <c r="O44" s="15" t="s">
        <v>16</v>
      </c>
      <c r="P44" s="15" t="s">
        <v>17</v>
      </c>
      <c r="Q44" s="15" t="s">
        <v>18</v>
      </c>
      <c r="R44" s="15" t="s">
        <v>19</v>
      </c>
      <c r="S44" s="15" t="s">
        <v>20</v>
      </c>
    </row>
    <row r="45" ht="15" customHeight="1" spans="1:19">
      <c r="A45" s="98" t="s">
        <v>22</v>
      </c>
      <c r="B45" s="99">
        <f>'0. Database'!C12</f>
        <v>4257</v>
      </c>
      <c r="C45" s="99">
        <f>'0. Database'!D12</f>
        <v>5485</v>
      </c>
      <c r="D45" s="99">
        <f>'0. Database'!E12</f>
        <v>5944</v>
      </c>
      <c r="E45" s="99">
        <f>'0. Database'!F12</f>
        <v>8343</v>
      </c>
      <c r="F45" s="99">
        <f>'0. Database'!G12</f>
        <v>8129</v>
      </c>
      <c r="G45" s="99">
        <f>'0. Database'!H12</f>
        <v>11632</v>
      </c>
      <c r="H45" s="99">
        <f>'0. Database'!I12</f>
        <v>13925</v>
      </c>
      <c r="I45" s="99">
        <f>'0. Database'!J12</f>
        <v>15441</v>
      </c>
      <c r="J45" s="99">
        <f>'0. Database'!K12</f>
        <v>20622</v>
      </c>
      <c r="K45" s="99">
        <f>'0. Database'!L12</f>
        <v>23886</v>
      </c>
      <c r="L45" s="99">
        <f>'0. Database'!M12</f>
        <v>28107</v>
      </c>
      <c r="M45" s="99">
        <f>'0. Database'!N12</f>
        <v>44477</v>
      </c>
      <c r="N45" s="99">
        <f>'0. Database'!O12</f>
        <v>64551</v>
      </c>
      <c r="O45" s="99">
        <f>'0. Database'!P12</f>
        <v>117213.775</v>
      </c>
      <c r="P45" s="99">
        <f>'0. Database'!Q12</f>
        <v>175938.575</v>
      </c>
      <c r="Q45" s="99">
        <f>'0. Database'!R12</f>
        <v>195085</v>
      </c>
      <c r="R45" s="99">
        <f>'0. Database'!S12</f>
        <v>191785.5</v>
      </c>
      <c r="S45" s="99">
        <f>'0. Database'!T12</f>
        <v>196810</v>
      </c>
    </row>
    <row r="46" ht="15" customHeight="1" spans="1:19">
      <c r="A46" s="98" t="s">
        <v>38</v>
      </c>
      <c r="B46" s="99">
        <f>'0. Database'!C28</f>
        <v>3444</v>
      </c>
      <c r="C46" s="99">
        <f>'0. Database'!D28</f>
        <v>4893</v>
      </c>
      <c r="D46" s="99">
        <f>'0. Database'!E28</f>
        <v>5387</v>
      </c>
      <c r="E46" s="99">
        <f>'0. Database'!F28</f>
        <v>7804</v>
      </c>
      <c r="F46" s="99">
        <f>'0. Database'!G28</f>
        <v>11955</v>
      </c>
      <c r="G46" s="99">
        <f>'0. Database'!H28</f>
        <v>13427</v>
      </c>
      <c r="H46" s="99">
        <f>'0. Database'!I28</f>
        <v>16861</v>
      </c>
      <c r="I46" s="99">
        <f>'0. Database'!J28</f>
        <v>40140</v>
      </c>
      <c r="J46" s="99">
        <f>'0. Database'!K28</f>
        <v>61053</v>
      </c>
      <c r="K46" s="99">
        <f>'0. Database'!L28</f>
        <v>63645</v>
      </c>
      <c r="L46" s="99">
        <f>'0. Database'!M28</f>
        <v>52729</v>
      </c>
      <c r="M46" s="99">
        <f>'0. Database'!N28</f>
        <v>82999</v>
      </c>
      <c r="N46" s="99">
        <f>'0. Database'!O28</f>
        <v>131819</v>
      </c>
      <c r="O46" s="99">
        <f>'0. Database'!P28</f>
        <v>199073.703703704</v>
      </c>
      <c r="P46" s="99">
        <f>'0. Database'!Q28</f>
        <v>226404.481481481</v>
      </c>
      <c r="Q46" s="99">
        <f>'0. Database'!R28</f>
        <v>231478.222222222</v>
      </c>
      <c r="R46" s="99">
        <f>'0. Database'!S28</f>
        <v>222715.444444444</v>
      </c>
      <c r="S46" s="99">
        <f>'0. Database'!T28</f>
        <v>224350.555555556</v>
      </c>
    </row>
    <row r="47" ht="15" customHeight="1" spans="1:19">
      <c r="A47" s="98" t="s">
        <v>42</v>
      </c>
      <c r="B47" s="99">
        <f>'0. Database'!C43</f>
        <v>7358</v>
      </c>
      <c r="C47" s="99">
        <f>'0. Database'!D43</f>
        <v>10959</v>
      </c>
      <c r="D47" s="99">
        <f>'0. Database'!E43</f>
        <v>9950</v>
      </c>
      <c r="E47" s="99">
        <f>'0. Database'!F43</f>
        <v>10212</v>
      </c>
      <c r="F47" s="99">
        <f>'0. Database'!G43</f>
        <v>13184</v>
      </c>
      <c r="G47" s="99">
        <f>'0. Database'!H43</f>
        <v>25139</v>
      </c>
      <c r="H47" s="99">
        <f>'0. Database'!I43</f>
        <v>23548</v>
      </c>
      <c r="I47" s="99">
        <f>'0. Database'!J43</f>
        <v>22281</v>
      </c>
      <c r="J47" s="99">
        <f>'0. Database'!K43</f>
        <v>24640</v>
      </c>
      <c r="K47" s="99">
        <f>'0. Database'!L43</f>
        <v>31485</v>
      </c>
      <c r="L47" s="99">
        <f>'0. Database'!M43</f>
        <v>32251</v>
      </c>
      <c r="M47" s="99">
        <f>'0. Database'!N43</f>
        <v>52535</v>
      </c>
      <c r="N47" s="99">
        <f>'0. Database'!O43</f>
        <v>91447</v>
      </c>
      <c r="O47" s="99">
        <f>'0. Database'!P43</f>
        <v>186454.019348801</v>
      </c>
      <c r="P47" s="99">
        <f>'0. Database'!Q43</f>
        <v>244373.725640458</v>
      </c>
      <c r="Q47" s="99">
        <f>'0. Database'!R43</f>
        <v>260117.698684294</v>
      </c>
      <c r="R47" s="99">
        <f>'0. Database'!S43</f>
        <v>255889.491300743</v>
      </c>
      <c r="S47" s="99">
        <f>'0. Database'!T43</f>
        <v>259990.248223234</v>
      </c>
    </row>
    <row r="48" ht="15" customHeight="1" spans="1:19">
      <c r="A48" s="98" t="s">
        <v>48</v>
      </c>
      <c r="B48" s="99">
        <f>'0. Database'!C60</f>
        <v>1362</v>
      </c>
      <c r="C48" s="99">
        <f>'0. Database'!D60</f>
        <v>1831</v>
      </c>
      <c r="D48" s="99">
        <f>'0. Database'!E60</f>
        <v>2523</v>
      </c>
      <c r="E48" s="99">
        <f>'0. Database'!F60</f>
        <v>4491</v>
      </c>
      <c r="F48" s="99">
        <f>'0. Database'!G60</f>
        <v>6733</v>
      </c>
      <c r="G48" s="99">
        <f>'0. Database'!H60</f>
        <v>13915</v>
      </c>
      <c r="H48" s="99">
        <f>'0. Database'!I60</f>
        <v>15102</v>
      </c>
      <c r="I48" s="99">
        <f>'0. Database'!J60</f>
        <v>15163</v>
      </c>
      <c r="J48" s="99">
        <f>'0. Database'!K60</f>
        <v>18690</v>
      </c>
      <c r="K48" s="99">
        <f>'0. Database'!L60</f>
        <v>31431</v>
      </c>
      <c r="L48" s="99">
        <f>'0. Database'!M60</f>
        <v>27266</v>
      </c>
      <c r="M48" s="99">
        <f>'0. Database'!N60</f>
        <v>37256</v>
      </c>
      <c r="N48" s="99">
        <f>'0. Database'!O60</f>
        <v>69691</v>
      </c>
      <c r="O48" s="99">
        <f>'0. Database'!P60</f>
        <v>134391.333333333</v>
      </c>
      <c r="P48" s="99">
        <f>'0. Database'!Q60</f>
        <v>159343.622222222</v>
      </c>
      <c r="Q48" s="99">
        <f>'0. Database'!R60</f>
        <v>171564.878787879</v>
      </c>
      <c r="R48" s="99">
        <f>'0. Database'!S60</f>
        <v>174481.583333333</v>
      </c>
      <c r="S48" s="99">
        <f>'0. Database'!T60</f>
        <v>180526.347826087</v>
      </c>
    </row>
    <row r="49" ht="15" customHeight="1" spans="1:19">
      <c r="A49" s="98" t="s">
        <v>55</v>
      </c>
      <c r="B49" s="99">
        <f>'0. Database'!C78</f>
        <v>650</v>
      </c>
      <c r="C49" s="99">
        <f>'0. Database'!D78</f>
        <v>580</v>
      </c>
      <c r="D49" s="99">
        <f>'0. Database'!E78</f>
        <v>1391</v>
      </c>
      <c r="E49" s="99">
        <f>'0. Database'!F78</f>
        <v>1189</v>
      </c>
      <c r="F49" s="99">
        <f>'0. Database'!G78</f>
        <v>2021</v>
      </c>
      <c r="G49" s="99">
        <f>'0. Database'!H78</f>
        <v>1736</v>
      </c>
      <c r="H49" s="99">
        <f>'0. Database'!I78</f>
        <v>1660</v>
      </c>
      <c r="I49" s="99">
        <f>'0. Database'!J78</f>
        <v>1564</v>
      </c>
      <c r="J49" s="99">
        <f>'0. Database'!K78</f>
        <v>2135</v>
      </c>
      <c r="K49" s="99">
        <f>'0. Database'!L78</f>
        <v>4511</v>
      </c>
      <c r="L49" s="99">
        <f>'0. Database'!M78</f>
        <v>8695</v>
      </c>
      <c r="M49" s="99">
        <f>'0. Database'!N78</f>
        <v>6866</v>
      </c>
      <c r="N49" s="99">
        <f>'0. Database'!O78</f>
        <v>21215</v>
      </c>
      <c r="O49" s="99">
        <f>'0. Database'!P78</f>
        <v>50345.5172413793</v>
      </c>
      <c r="P49" s="99">
        <f>'0. Database'!Q78</f>
        <v>67168.625</v>
      </c>
      <c r="Q49" s="99">
        <f>'0. Database'!R78</f>
        <v>80914.6206896552</v>
      </c>
      <c r="R49" s="99">
        <f>'0. Database'!S78</f>
        <v>87153.4705882353</v>
      </c>
      <c r="S49" s="99">
        <f>'0. Database'!T78</f>
        <v>77098.125</v>
      </c>
    </row>
    <row r="51" ht="15" customHeight="1" spans="1:1">
      <c r="A51" s="12" t="s">
        <v>92</v>
      </c>
    </row>
    <row r="52" ht="15" customHeight="1" spans="1:19">
      <c r="A52" s="14" t="s">
        <v>69</v>
      </c>
      <c r="B52" s="15" t="s">
        <v>3</v>
      </c>
      <c r="C52" s="15" t="s">
        <v>4</v>
      </c>
      <c r="D52" s="15" t="s">
        <v>5</v>
      </c>
      <c r="E52" s="15" t="s">
        <v>6</v>
      </c>
      <c r="F52" s="15" t="s">
        <v>7</v>
      </c>
      <c r="G52" s="15" t="s">
        <v>8</v>
      </c>
      <c r="H52" s="15" t="s">
        <v>9</v>
      </c>
      <c r="I52" s="15" t="s">
        <v>10</v>
      </c>
      <c r="J52" s="15" t="s">
        <v>11</v>
      </c>
      <c r="K52" s="15" t="s">
        <v>12</v>
      </c>
      <c r="L52" s="15" t="s">
        <v>13</v>
      </c>
      <c r="M52" s="15" t="s">
        <v>14</v>
      </c>
      <c r="N52" s="15" t="s">
        <v>15</v>
      </c>
      <c r="O52" s="15" t="s">
        <v>16</v>
      </c>
      <c r="P52" s="15" t="s">
        <v>17</v>
      </c>
      <c r="Q52" s="15" t="s">
        <v>18</v>
      </c>
      <c r="R52" s="15" t="s">
        <v>19</v>
      </c>
      <c r="S52" s="15" t="s">
        <v>20</v>
      </c>
    </row>
    <row r="53" ht="15" customHeight="1" spans="1:19">
      <c r="A53" s="98" t="s">
        <v>22</v>
      </c>
      <c r="B53" s="100">
        <f t="shared" ref="B53:S53" si="0">IFERROR(B13/B29,"")</f>
        <v>0.315688062788218</v>
      </c>
      <c r="C53" s="100">
        <f t="shared" si="0"/>
        <v>0.311137470777239</v>
      </c>
      <c r="D53" s="100">
        <f t="shared" si="0"/>
        <v>0.253515708484719</v>
      </c>
      <c r="E53" s="100">
        <f t="shared" si="0"/>
        <v>0.274063672466376</v>
      </c>
      <c r="F53" s="100">
        <f t="shared" si="0"/>
        <v>0.324921560302782</v>
      </c>
      <c r="G53" s="100">
        <f t="shared" si="0"/>
        <v>0.292243566509605</v>
      </c>
      <c r="H53" s="100">
        <f t="shared" si="0"/>
        <v>0.304029624214299</v>
      </c>
      <c r="I53" s="100">
        <f t="shared" si="0"/>
        <v>0.315554312484704</v>
      </c>
      <c r="J53" s="100">
        <f t="shared" si="0"/>
        <v>0.333860834800819</v>
      </c>
      <c r="K53" s="100">
        <f t="shared" si="0"/>
        <v>0.328587279971756</v>
      </c>
      <c r="L53" s="100">
        <f t="shared" si="0"/>
        <v>0.303381072599863</v>
      </c>
      <c r="M53" s="100">
        <f t="shared" si="0"/>
        <v>0.302180138869624</v>
      </c>
      <c r="N53" s="100">
        <f t="shared" si="0"/>
        <v>0.254188496542716</v>
      </c>
      <c r="O53" s="100">
        <f t="shared" si="0"/>
        <v>0.199718452386763</v>
      </c>
      <c r="P53" s="100">
        <f t="shared" si="0"/>
        <v>0.10927104245397</v>
      </c>
      <c r="Q53" s="100">
        <f t="shared" si="0"/>
        <v>0.138125629587482</v>
      </c>
      <c r="R53" s="100">
        <f t="shared" si="0"/>
        <v>0.177517263708206</v>
      </c>
      <c r="S53" s="100">
        <f t="shared" si="0"/>
        <v>0.218838754276891</v>
      </c>
    </row>
    <row r="54" ht="15" customHeight="1" spans="1:19">
      <c r="A54" s="98" t="s">
        <v>38</v>
      </c>
      <c r="B54" s="100">
        <f t="shared" ref="B54:S54" si="1">IFERROR(B14/B30,"")</f>
        <v>0.0490461241246076</v>
      </c>
      <c r="C54" s="100">
        <f t="shared" si="1"/>
        <v>0.0383404807805799</v>
      </c>
      <c r="D54" s="100">
        <f t="shared" si="1"/>
        <v>0.104413888365668</v>
      </c>
      <c r="E54" s="100">
        <f t="shared" si="1"/>
        <v>0.117804098514758</v>
      </c>
      <c r="F54" s="100">
        <f t="shared" si="1"/>
        <v>0.0604090095184243</v>
      </c>
      <c r="G54" s="100">
        <f t="shared" si="1"/>
        <v>0.122349079693844</v>
      </c>
      <c r="H54" s="100">
        <f t="shared" si="1"/>
        <v>0.126794048239476</v>
      </c>
      <c r="I54" s="100">
        <f t="shared" si="1"/>
        <v>0.109716355879838</v>
      </c>
      <c r="J54" s="100">
        <f t="shared" si="1"/>
        <v>-0.0526242437453767</v>
      </c>
      <c r="K54" s="100">
        <f t="shared" si="1"/>
        <v>-0.0534791693047993</v>
      </c>
      <c r="L54" s="100">
        <f t="shared" si="1"/>
        <v>0.0913107803235571</v>
      </c>
      <c r="M54" s="100">
        <f t="shared" si="1"/>
        <v>0.0848471084937432</v>
      </c>
      <c r="N54" s="100">
        <f t="shared" si="1"/>
        <v>0.0180504568325495</v>
      </c>
      <c r="O54" s="100">
        <f t="shared" si="1"/>
        <v>-0.0349995124448817</v>
      </c>
      <c r="P54" s="100">
        <f t="shared" si="1"/>
        <v>-0.00215608232569848</v>
      </c>
      <c r="Q54" s="100">
        <f t="shared" si="1"/>
        <v>0.105710718220721</v>
      </c>
      <c r="R54" s="100">
        <f t="shared" si="1"/>
        <v>0.192781804315281</v>
      </c>
      <c r="S54" s="100">
        <f t="shared" si="1"/>
        <v>0.284433944122315</v>
      </c>
    </row>
    <row r="55" ht="15" customHeight="1" spans="1:19">
      <c r="A55" s="98" t="s">
        <v>42</v>
      </c>
      <c r="B55" s="100">
        <f t="shared" ref="B55:S55" si="2">IFERROR(B15/B31,"")</f>
        <v>0.203551937174661</v>
      </c>
      <c r="C55" s="100">
        <f t="shared" si="2"/>
        <v>0.172982227542007</v>
      </c>
      <c r="D55" s="100">
        <f t="shared" si="2"/>
        <v>0.274426915947672</v>
      </c>
      <c r="E55" s="100">
        <f t="shared" si="2"/>
        <v>0.286390021269054</v>
      </c>
      <c r="F55" s="100">
        <f t="shared" si="2"/>
        <v>0.215660096522484</v>
      </c>
      <c r="G55" s="100">
        <f t="shared" si="2"/>
        <v>0.16687740737763</v>
      </c>
      <c r="H55" s="100">
        <f t="shared" si="2"/>
        <v>0.191354096517296</v>
      </c>
      <c r="I55" s="100">
        <f t="shared" si="2"/>
        <v>0.234721438472116</v>
      </c>
      <c r="J55" s="100">
        <f t="shared" si="2"/>
        <v>0.262198364365367</v>
      </c>
      <c r="K55" s="100">
        <f t="shared" si="2"/>
        <v>0.212172425009546</v>
      </c>
      <c r="L55" s="100">
        <f t="shared" si="2"/>
        <v>0.226077932555613</v>
      </c>
      <c r="M55" s="100">
        <f t="shared" si="2"/>
        <v>0.20788645155392</v>
      </c>
      <c r="N55" s="100">
        <f t="shared" si="2"/>
        <v>0.181875502685957</v>
      </c>
      <c r="O55" s="100">
        <f t="shared" si="2"/>
        <v>0.0431651425632908</v>
      </c>
      <c r="P55" s="100">
        <f t="shared" si="2"/>
        <v>0.0261389676577297</v>
      </c>
      <c r="Q55" s="100">
        <f t="shared" si="2"/>
        <v>0.0779687281298705</v>
      </c>
      <c r="R55" s="100">
        <f t="shared" si="2"/>
        <v>0.136484952488498</v>
      </c>
      <c r="S55" s="100">
        <f t="shared" si="2"/>
        <v>0.178776537498778</v>
      </c>
    </row>
    <row r="56" ht="15" customHeight="1" spans="1:19">
      <c r="A56" s="98" t="s">
        <v>48</v>
      </c>
      <c r="B56" s="100">
        <f t="shared" ref="B56:S56" si="3">IFERROR(B16/B32,"")</f>
        <v>0.361915650406504</v>
      </c>
      <c r="C56" s="100">
        <f t="shared" si="3"/>
        <v>0.290871169581261</v>
      </c>
      <c r="D56" s="100">
        <f t="shared" si="3"/>
        <v>0.338911200356983</v>
      </c>
      <c r="E56" s="100">
        <f t="shared" si="3"/>
        <v>0.42032708589623</v>
      </c>
      <c r="F56" s="100">
        <f t="shared" si="3"/>
        <v>0.43005436253167</v>
      </c>
      <c r="G56" s="100">
        <f t="shared" si="3"/>
        <v>0.275063576775673</v>
      </c>
      <c r="H56" s="100">
        <f t="shared" si="3"/>
        <v>0.302182460539062</v>
      </c>
      <c r="I56" s="100">
        <f t="shared" si="3"/>
        <v>0.278027963124514</v>
      </c>
      <c r="J56" s="100">
        <f t="shared" si="3"/>
        <v>0.337149280186762</v>
      </c>
      <c r="K56" s="100">
        <f t="shared" si="3"/>
        <v>0.166395806028834</v>
      </c>
      <c r="L56" s="100">
        <f t="shared" si="3"/>
        <v>0.329661819767529</v>
      </c>
      <c r="M56" s="100">
        <f t="shared" si="3"/>
        <v>0.333047950478889</v>
      </c>
      <c r="N56" s="100">
        <f t="shared" si="3"/>
        <v>0.231984463596617</v>
      </c>
      <c r="O56" s="100">
        <f t="shared" si="3"/>
        <v>0.00980370859703816</v>
      </c>
      <c r="P56" s="100">
        <f t="shared" si="3"/>
        <v>0.0145395985459431</v>
      </c>
      <c r="Q56" s="100">
        <f t="shared" si="3"/>
        <v>0.0828236812123173</v>
      </c>
      <c r="R56" s="100">
        <f t="shared" si="3"/>
        <v>0.174358338189191</v>
      </c>
      <c r="S56" s="100">
        <f t="shared" si="3"/>
        <v>0.218397251437524</v>
      </c>
    </row>
    <row r="57" ht="15" customHeight="1" spans="1:19">
      <c r="A57" s="98" t="s">
        <v>55</v>
      </c>
      <c r="B57" s="100">
        <f t="shared" ref="B57:S57" si="4">IFERROR(B17/B33,"")</f>
        <v>0.36508875739645</v>
      </c>
      <c r="C57" s="100">
        <f t="shared" si="4"/>
        <v>0.374683213585892</v>
      </c>
      <c r="D57" s="100">
        <f t="shared" si="4"/>
        <v>0.345026945011249</v>
      </c>
      <c r="E57" s="100">
        <f t="shared" si="4"/>
        <v>0.337301265959457</v>
      </c>
      <c r="F57" s="100">
        <f t="shared" si="4"/>
        <v>0.320849236641221</v>
      </c>
      <c r="G57" s="100">
        <f t="shared" si="4"/>
        <v>0.346596247111698</v>
      </c>
      <c r="H57" s="100">
        <f t="shared" si="4"/>
        <v>0.326304865083785</v>
      </c>
      <c r="I57" s="100">
        <f t="shared" si="4"/>
        <v>0.29627828401761</v>
      </c>
      <c r="J57" s="100">
        <f t="shared" si="4"/>
        <v>0.339731712739939</v>
      </c>
      <c r="K57" s="100">
        <f t="shared" si="4"/>
        <v>0.118473138548539</v>
      </c>
      <c r="L57" s="100">
        <f t="shared" si="4"/>
        <v>0.169555991512191</v>
      </c>
      <c r="M57" s="100">
        <f t="shared" si="4"/>
        <v>0.222937633352845</v>
      </c>
      <c r="N57" s="100">
        <f t="shared" si="4"/>
        <v>-0.00686423108416523</v>
      </c>
      <c r="O57" s="100">
        <f t="shared" si="4"/>
        <v>-0.351208392632579</v>
      </c>
      <c r="P57" s="100">
        <f t="shared" si="4"/>
        <v>-0.312394550770321</v>
      </c>
      <c r="Q57" s="100">
        <f t="shared" si="4"/>
        <v>-0.204054501351937</v>
      </c>
      <c r="R57" s="100">
        <f t="shared" si="4"/>
        <v>-0.0206971643830088</v>
      </c>
      <c r="S57" s="100">
        <f t="shared" si="4"/>
        <v>0.121898378712626</v>
      </c>
    </row>
    <row r="59" ht="15" customHeight="1" spans="1:1">
      <c r="A59" s="12" t="s">
        <v>93</v>
      </c>
    </row>
    <row r="60" ht="15" customHeight="1" spans="1:19">
      <c r="A60" s="14" t="s">
        <v>69</v>
      </c>
      <c r="B60" s="15" t="s">
        <v>3</v>
      </c>
      <c r="C60" s="15" t="s">
        <v>4</v>
      </c>
      <c r="D60" s="15" t="s">
        <v>5</v>
      </c>
      <c r="E60" s="15" t="s">
        <v>6</v>
      </c>
      <c r="F60" s="15" t="s">
        <v>7</v>
      </c>
      <c r="G60" s="15" t="s">
        <v>8</v>
      </c>
      <c r="H60" s="15" t="s">
        <v>9</v>
      </c>
      <c r="I60" s="15" t="s">
        <v>10</v>
      </c>
      <c r="J60" s="15" t="s">
        <v>11</v>
      </c>
      <c r="K60" s="15" t="s">
        <v>12</v>
      </c>
      <c r="L60" s="15" t="s">
        <v>13</v>
      </c>
      <c r="M60" s="15" t="s">
        <v>14</v>
      </c>
      <c r="N60" s="15" t="s">
        <v>15</v>
      </c>
      <c r="O60" s="15" t="s">
        <v>16</v>
      </c>
      <c r="P60" s="15" t="s">
        <v>17</v>
      </c>
      <c r="Q60" s="15" t="s">
        <v>18</v>
      </c>
      <c r="R60" s="15" t="s">
        <v>19</v>
      </c>
      <c r="S60" s="15" t="s">
        <v>20</v>
      </c>
    </row>
    <row r="61" ht="15" customHeight="1" spans="1:19">
      <c r="A61" s="98" t="s">
        <v>22</v>
      </c>
      <c r="B61" s="100">
        <f t="shared" ref="B61:S61" si="5">IFERROR(B13/B37,"")</f>
        <v>1.12409092988153</v>
      </c>
      <c r="C61" s="100">
        <f t="shared" si="5"/>
        <v>1.22392860378726</v>
      </c>
      <c r="D61" s="100">
        <f t="shared" si="5"/>
        <v>1.94570655294021</v>
      </c>
      <c r="E61" s="100">
        <f t="shared" si="5"/>
        <v>1.48720085724491</v>
      </c>
      <c r="F61" s="100">
        <f t="shared" si="5"/>
        <v>1.4798151292209</v>
      </c>
      <c r="G61" s="100">
        <f t="shared" si="5"/>
        <v>1.94629171444089</v>
      </c>
      <c r="H61" s="100">
        <f t="shared" si="5"/>
        <v>0.975025484199796</v>
      </c>
      <c r="I61" s="100">
        <f t="shared" si="5"/>
        <v>1.01915042569048</v>
      </c>
      <c r="J61" s="100">
        <f t="shared" si="5"/>
        <v>0.915898222650193</v>
      </c>
      <c r="K61" s="100">
        <f t="shared" si="5"/>
        <v>0.895666639170722</v>
      </c>
      <c r="L61" s="100">
        <f t="shared" si="5"/>
        <v>0.888475836431227</v>
      </c>
      <c r="M61" s="100">
        <f t="shared" si="5"/>
        <v>0.840417082690388</v>
      </c>
      <c r="N61" s="100">
        <f t="shared" si="5"/>
        <v>0.703226883494383</v>
      </c>
      <c r="O61" s="100">
        <f t="shared" si="5"/>
        <v>0.495705002236329</v>
      </c>
      <c r="P61" s="100">
        <f t="shared" si="5"/>
        <v>0.282939119280191</v>
      </c>
      <c r="Q61" s="100">
        <f t="shared" si="5"/>
        <v>0.361100695993769</v>
      </c>
      <c r="R61" s="100">
        <f t="shared" si="5"/>
        <v>0.4778550378943</v>
      </c>
      <c r="S61" s="100">
        <f t="shared" si="5"/>
        <v>0.595444909905075</v>
      </c>
    </row>
    <row r="62" ht="15" customHeight="1" spans="1:19">
      <c r="A62" s="98" t="s">
        <v>38</v>
      </c>
      <c r="B62" s="100">
        <f t="shared" ref="B62:S62" si="6">IFERROR(B14/B38,"")</f>
        <v>7.41240875912409</v>
      </c>
      <c r="C62" s="100">
        <f t="shared" si="6"/>
        <v>-8.08713692946058</v>
      </c>
      <c r="D62" s="100">
        <f t="shared" si="6"/>
        <v>11.1610738255034</v>
      </c>
      <c r="E62" s="100">
        <f t="shared" si="6"/>
        <v>3.96415014761704</v>
      </c>
      <c r="F62" s="100">
        <f t="shared" si="6"/>
        <v>2.85650623885918</v>
      </c>
      <c r="G62" s="100">
        <f t="shared" si="6"/>
        <v>1.71706542241636</v>
      </c>
      <c r="H62" s="100">
        <f t="shared" si="6"/>
        <v>1.86857093545047</v>
      </c>
      <c r="I62" s="100">
        <f t="shared" si="6"/>
        <v>1.21532042567156</v>
      </c>
      <c r="J62" s="100">
        <f t="shared" si="6"/>
        <v>-0.61251143831628</v>
      </c>
      <c r="K62" s="100">
        <f t="shared" si="6"/>
        <v>-2.31062782109151</v>
      </c>
      <c r="L62" s="100">
        <f t="shared" si="6"/>
        <v>1.08136139361595</v>
      </c>
      <c r="M62" s="100">
        <f t="shared" si="6"/>
        <v>0.554921685120173</v>
      </c>
      <c r="N62" s="100">
        <f t="shared" si="6"/>
        <v>0.0990730011587485</v>
      </c>
      <c r="O62" s="100">
        <f t="shared" si="6"/>
        <v>-0.169190644161616</v>
      </c>
      <c r="P62" s="100">
        <f t="shared" si="6"/>
        <v>-0.0101682829502449</v>
      </c>
      <c r="Q62" s="100">
        <f t="shared" si="6"/>
        <v>0.42423403674735</v>
      </c>
      <c r="R62" s="100">
        <f t="shared" si="6"/>
        <v>0.709981131199188</v>
      </c>
      <c r="S62" s="100">
        <f t="shared" si="6"/>
        <v>0.919740208533237</v>
      </c>
    </row>
    <row r="63" ht="15" customHeight="1" spans="1:19">
      <c r="A63" s="98" t="s">
        <v>42</v>
      </c>
      <c r="B63" s="100">
        <f t="shared" ref="B63:S63" si="7">IFERROR(B15/B39,"")</f>
        <v>0.925249713443589</v>
      </c>
      <c r="C63" s="100">
        <f t="shared" si="7"/>
        <v>0.819715680643308</v>
      </c>
      <c r="D63" s="100">
        <f t="shared" si="7"/>
        <v>1.30032857323392</v>
      </c>
      <c r="E63" s="100">
        <f t="shared" si="7"/>
        <v>1.32729232980799</v>
      </c>
      <c r="F63" s="100">
        <f t="shared" si="7"/>
        <v>1.06163684000178</v>
      </c>
      <c r="G63" s="100">
        <f t="shared" si="7"/>
        <v>0.742842269651223</v>
      </c>
      <c r="H63" s="100">
        <f t="shared" si="7"/>
        <v>0.952750092284976</v>
      </c>
      <c r="I63" s="100">
        <f t="shared" si="7"/>
        <v>1.06392013707815</v>
      </c>
      <c r="J63" s="100">
        <f t="shared" si="7"/>
        <v>0.888456328173293</v>
      </c>
      <c r="K63" s="100">
        <f t="shared" si="7"/>
        <v>1.00063362902688</v>
      </c>
      <c r="L63" s="100">
        <f t="shared" si="7"/>
        <v>0.941730469544007</v>
      </c>
      <c r="M63" s="100">
        <f t="shared" si="7"/>
        <v>0.726782396771809</v>
      </c>
      <c r="N63" s="100">
        <f t="shared" si="7"/>
        <v>0.554331542710146</v>
      </c>
      <c r="O63" s="100">
        <f t="shared" si="7"/>
        <v>0.120254233323354</v>
      </c>
      <c r="P63" s="100">
        <f t="shared" si="7"/>
        <v>0.0839669155385789</v>
      </c>
      <c r="Q63" s="100">
        <f t="shared" si="7"/>
        <v>0.251098557723628</v>
      </c>
      <c r="R63" s="100">
        <f t="shared" si="7"/>
        <v>0.417704620038879</v>
      </c>
      <c r="S63" s="100">
        <f t="shared" si="7"/>
        <v>0.52257605376747</v>
      </c>
    </row>
    <row r="64" ht="15" customHeight="1" spans="1:19">
      <c r="A64" s="98" t="s">
        <v>48</v>
      </c>
      <c r="B64" s="100">
        <f t="shared" ref="B64:S64" si="8">IFERROR(B16/B40,"")</f>
        <v>1.91079812206573</v>
      </c>
      <c r="C64" s="100">
        <f t="shared" si="8"/>
        <v>1.23965811965812</v>
      </c>
      <c r="D64" s="100">
        <f t="shared" si="8"/>
        <v>1.6560370673208</v>
      </c>
      <c r="E64" s="100">
        <f t="shared" si="8"/>
        <v>1.14026305457401</v>
      </c>
      <c r="F64" s="100">
        <f t="shared" si="8"/>
        <v>0.961132490379329</v>
      </c>
      <c r="G64" s="100">
        <f t="shared" si="8"/>
        <v>0.6946002170767</v>
      </c>
      <c r="H64" s="100">
        <f t="shared" si="8"/>
        <v>1.14752502028672</v>
      </c>
      <c r="I64" s="100">
        <f t="shared" si="8"/>
        <v>0.809167638784053</v>
      </c>
      <c r="J64" s="100">
        <f t="shared" si="8"/>
        <v>0.990424180848362</v>
      </c>
      <c r="K64" s="100">
        <f t="shared" si="8"/>
        <v>0.820862068965517</v>
      </c>
      <c r="L64" s="100">
        <f t="shared" si="8"/>
        <v>1.12146401350453</v>
      </c>
      <c r="M64" s="100">
        <f t="shared" si="8"/>
        <v>0.867094291212316</v>
      </c>
      <c r="N64" s="100">
        <f t="shared" si="8"/>
        <v>0.762661682490324</v>
      </c>
      <c r="O64" s="100">
        <f t="shared" si="8"/>
        <v>0.0292386627730721</v>
      </c>
      <c r="P64" s="100">
        <f t="shared" si="8"/>
        <v>0.0482716056428998</v>
      </c>
      <c r="Q64" s="100">
        <f t="shared" si="8"/>
        <v>0.273845213250202</v>
      </c>
      <c r="R64" s="100">
        <f t="shared" si="8"/>
        <v>0.550069696587711</v>
      </c>
      <c r="S64" s="100">
        <f t="shared" si="8"/>
        <v>0.671204577826843</v>
      </c>
    </row>
    <row r="65" ht="15" customHeight="1" spans="1:19">
      <c r="A65" s="98" t="s">
        <v>55</v>
      </c>
      <c r="B65" s="100">
        <f t="shared" ref="B65:S65" si="9">IFERROR(B17/B41,"")</f>
        <v>1.24235767893099</v>
      </c>
      <c r="C65" s="100">
        <f t="shared" si="9"/>
        <v>1.30908261068005</v>
      </c>
      <c r="D65" s="100">
        <f t="shared" si="9"/>
        <v>1.32712819480781</v>
      </c>
      <c r="E65" s="100">
        <f t="shared" si="9"/>
        <v>1.40388720368498</v>
      </c>
      <c r="F65" s="100">
        <f t="shared" si="9"/>
        <v>1.29673272629888</v>
      </c>
      <c r="G65" s="100">
        <f t="shared" si="9"/>
        <v>3.56862745098039</v>
      </c>
      <c r="H65" s="100">
        <f t="shared" si="9"/>
        <v>1.16313272579626</v>
      </c>
      <c r="I65" s="100">
        <f t="shared" si="9"/>
        <v>1.14208189442526</v>
      </c>
      <c r="J65" s="100">
        <f t="shared" si="9"/>
        <v>1.00043649061545</v>
      </c>
      <c r="K65" s="100">
        <f t="shared" si="9"/>
        <v>0.748548459133542</v>
      </c>
      <c r="L65" s="100">
        <f t="shared" si="9"/>
        <v>0.996119016817594</v>
      </c>
      <c r="M65" s="100">
        <f t="shared" si="9"/>
        <v>1.12802140059234</v>
      </c>
      <c r="N65" s="100">
        <f t="shared" si="9"/>
        <v>-0.0316643896166519</v>
      </c>
      <c r="O65" s="100">
        <f t="shared" si="9"/>
        <v>-1.3680802625377</v>
      </c>
      <c r="P65" s="100">
        <f t="shared" si="9"/>
        <v>-1.44880198557626</v>
      </c>
      <c r="Q65" s="100">
        <f t="shared" si="9"/>
        <v>-1.00030624187653</v>
      </c>
      <c r="R65" s="100">
        <f t="shared" si="9"/>
        <v>-0.0965400169503092</v>
      </c>
      <c r="S65" s="100">
        <f t="shared" si="9"/>
        <v>0.525364261274052</v>
      </c>
    </row>
    <row r="67" ht="15" customHeight="1" spans="1:1">
      <c r="A67" s="12" t="s">
        <v>94</v>
      </c>
    </row>
    <row r="68" ht="15" customHeight="1" spans="1:19">
      <c r="A68" s="14" t="s">
        <v>69</v>
      </c>
      <c r="B68" s="15" t="s">
        <v>3</v>
      </c>
      <c r="C68" s="15" t="s">
        <v>4</v>
      </c>
      <c r="D68" s="15" t="s">
        <v>5</v>
      </c>
      <c r="E68" s="15" t="s">
        <v>6</v>
      </c>
      <c r="F68" s="15" t="s">
        <v>7</v>
      </c>
      <c r="G68" s="15" t="s">
        <v>8</v>
      </c>
      <c r="H68" s="15" t="s">
        <v>9</v>
      </c>
      <c r="I68" s="15" t="s">
        <v>10</v>
      </c>
      <c r="J68" s="15" t="s">
        <v>11</v>
      </c>
      <c r="K68" s="15" t="s">
        <v>12</v>
      </c>
      <c r="L68" s="15" t="s">
        <v>13</v>
      </c>
      <c r="M68" s="15" t="s">
        <v>14</v>
      </c>
      <c r="N68" s="15" t="s">
        <v>15</v>
      </c>
      <c r="O68" s="15" t="s">
        <v>16</v>
      </c>
      <c r="P68" s="15" t="s">
        <v>17</v>
      </c>
      <c r="Q68" s="15" t="s">
        <v>18</v>
      </c>
      <c r="R68" s="15" t="s">
        <v>19</v>
      </c>
      <c r="S68" s="15" t="s">
        <v>20</v>
      </c>
    </row>
    <row r="69" ht="15" customHeight="1" spans="1:19">
      <c r="A69" s="98" t="s">
        <v>22</v>
      </c>
      <c r="B69" s="103">
        <f t="shared" ref="B69:S69" si="10">IFERROR(B45/B5,"")</f>
        <v>0.147643325356363</v>
      </c>
      <c r="C69" s="103">
        <f t="shared" si="10"/>
        <v>0.168758845609501</v>
      </c>
      <c r="D69" s="103">
        <f t="shared" si="10"/>
        <v>0.200350546042874</v>
      </c>
      <c r="E69" s="103">
        <f t="shared" si="10"/>
        <v>0.250352588147037</v>
      </c>
      <c r="F69" s="103">
        <f t="shared" si="10"/>
        <v>0.205761004378971</v>
      </c>
      <c r="G69" s="103">
        <f t="shared" si="10"/>
        <v>0.265062437334792</v>
      </c>
      <c r="H69" s="103">
        <f t="shared" si="10"/>
        <v>0.266839130018204</v>
      </c>
      <c r="I69" s="103">
        <f t="shared" si="10"/>
        <v>0.254487021013597</v>
      </c>
      <c r="J69" s="103">
        <f t="shared" si="10"/>
        <v>0.268725566849101</v>
      </c>
      <c r="K69" s="103">
        <f t="shared" si="10"/>
        <v>0.268276520469478</v>
      </c>
      <c r="L69" s="103">
        <f t="shared" si="10"/>
        <v>0.320922107282318</v>
      </c>
      <c r="M69" s="103">
        <f t="shared" si="10"/>
        <v>0.375181361136417</v>
      </c>
      <c r="N69" s="103">
        <f t="shared" si="10"/>
        <v>0.474074998898371</v>
      </c>
      <c r="O69" s="103">
        <f t="shared" si="10"/>
        <v>0.676895232789625</v>
      </c>
      <c r="P69" s="103">
        <f t="shared" si="10"/>
        <v>0.834351828429736</v>
      </c>
      <c r="Q69" s="103">
        <f t="shared" si="10"/>
        <v>0.762208226255363</v>
      </c>
      <c r="R69" s="103">
        <f t="shared" si="10"/>
        <v>0.62402337061861</v>
      </c>
      <c r="S69" s="103">
        <f t="shared" si="10"/>
        <v>0.546806570220799</v>
      </c>
    </row>
    <row r="70" ht="15" customHeight="1" spans="1:19">
      <c r="A70" s="98" t="s">
        <v>38</v>
      </c>
      <c r="B70" s="103">
        <f t="shared" ref="B70:S70" si="11">IFERROR(B46/B6,"")</f>
        <v>0.629041095890411</v>
      </c>
      <c r="C70" s="103">
        <f t="shared" si="11"/>
        <v>0.715141771411868</v>
      </c>
      <c r="D70" s="103">
        <f t="shared" si="11"/>
        <v>0.447462413821746</v>
      </c>
      <c r="E70" s="103">
        <f t="shared" si="11"/>
        <v>0.453641806661629</v>
      </c>
      <c r="F70" s="103">
        <f t="shared" si="11"/>
        <v>0.650966512387694</v>
      </c>
      <c r="G70" s="103">
        <f t="shared" si="11"/>
        <v>0.437034143801061</v>
      </c>
      <c r="H70" s="103">
        <f t="shared" si="11"/>
        <v>0.437788856000415</v>
      </c>
      <c r="I70" s="103">
        <f t="shared" si="11"/>
        <v>0.60759263744248</v>
      </c>
      <c r="J70" s="103">
        <f t="shared" si="11"/>
        <v>1.31787078809334</v>
      </c>
      <c r="K70" s="103">
        <f t="shared" si="11"/>
        <v>1.36133213552361</v>
      </c>
      <c r="L70" s="103">
        <f t="shared" si="11"/>
        <v>0.620735526098933</v>
      </c>
      <c r="M70" s="103">
        <f t="shared" si="11"/>
        <v>0.716268111877249</v>
      </c>
      <c r="N70" s="103">
        <f t="shared" si="11"/>
        <v>0.944844245022005</v>
      </c>
      <c r="O70" s="103">
        <f t="shared" si="11"/>
        <v>1.08516015378342</v>
      </c>
      <c r="P70" s="103">
        <f t="shared" si="11"/>
        <v>0.960107293631647</v>
      </c>
      <c r="Q70" s="103">
        <f t="shared" si="11"/>
        <v>0.78397766625955</v>
      </c>
      <c r="R70" s="103">
        <f t="shared" si="11"/>
        <v>0.655633243574887</v>
      </c>
      <c r="S70" s="103">
        <f t="shared" si="11"/>
        <v>0.560161581529662</v>
      </c>
    </row>
    <row r="71" ht="15" customHeight="1" spans="1:19">
      <c r="A71" s="98" t="s">
        <v>42</v>
      </c>
      <c r="B71" s="103">
        <f t="shared" ref="B71:S71" si="12">IFERROR(B47/B7,"")</f>
        <v>0.394340532718795</v>
      </c>
      <c r="C71" s="103">
        <f t="shared" si="12"/>
        <v>0.489765820521988</v>
      </c>
      <c r="D71" s="103">
        <f t="shared" si="12"/>
        <v>0.374454312810477</v>
      </c>
      <c r="E71" s="103">
        <f t="shared" si="12"/>
        <v>0.283383283383283</v>
      </c>
      <c r="F71" s="103">
        <f t="shared" si="12"/>
        <v>0.355450109190909</v>
      </c>
      <c r="G71" s="103">
        <f t="shared" si="12"/>
        <v>0.524045777657335</v>
      </c>
      <c r="H71" s="103">
        <f t="shared" si="12"/>
        <v>0.431914893617021</v>
      </c>
      <c r="I71" s="103">
        <f t="shared" si="12"/>
        <v>0.342131932927953</v>
      </c>
      <c r="J71" s="103">
        <f t="shared" si="12"/>
        <v>0.268843014882381</v>
      </c>
      <c r="K71" s="103">
        <f t="shared" si="12"/>
        <v>0.344117164872397</v>
      </c>
      <c r="L71" s="103">
        <f t="shared" si="12"/>
        <v>0.316975605920626</v>
      </c>
      <c r="M71" s="103">
        <f t="shared" si="12"/>
        <v>0.419277089202627</v>
      </c>
      <c r="N71" s="103">
        <f t="shared" si="12"/>
        <v>0.55518993643489</v>
      </c>
      <c r="O71" s="103">
        <f t="shared" si="12"/>
        <v>0.880612146759887</v>
      </c>
      <c r="P71" s="103">
        <f t="shared" si="12"/>
        <v>0.942036818027531</v>
      </c>
      <c r="Q71" s="103">
        <f t="shared" si="12"/>
        <v>0.807916471853381</v>
      </c>
      <c r="R71" s="103">
        <f t="shared" si="12"/>
        <v>0.658914021888167</v>
      </c>
      <c r="S71" s="103">
        <f t="shared" si="12"/>
        <v>0.554236187323877</v>
      </c>
    </row>
    <row r="72" ht="15" customHeight="1" spans="1:19">
      <c r="A72" s="98" t="s">
        <v>48</v>
      </c>
      <c r="B72" s="103">
        <f t="shared" ref="B72:S72" si="13">IFERROR(B48/B8,"")</f>
        <v>0.322595926101374</v>
      </c>
      <c r="C72" s="103">
        <f t="shared" si="13"/>
        <v>0.335532343778633</v>
      </c>
      <c r="D72" s="103">
        <f t="shared" si="13"/>
        <v>0.293406210024421</v>
      </c>
      <c r="E72" s="103">
        <f t="shared" si="13"/>
        <v>0.278805562453439</v>
      </c>
      <c r="F72" s="103">
        <f t="shared" si="13"/>
        <v>0.278039312851008</v>
      </c>
      <c r="G72" s="103">
        <f t="shared" si="13"/>
        <v>0.475336476053836</v>
      </c>
      <c r="H72" s="103">
        <f t="shared" si="13"/>
        <v>0.415872666189348</v>
      </c>
      <c r="I72" s="103">
        <f t="shared" si="13"/>
        <v>0.391333522595298</v>
      </c>
      <c r="J72" s="103">
        <f t="shared" si="13"/>
        <v>0.324012273980202</v>
      </c>
      <c r="K72" s="103">
        <f t="shared" si="13"/>
        <v>0.622704309063893</v>
      </c>
      <c r="L72" s="103">
        <f t="shared" si="13"/>
        <v>0.383417940460957</v>
      </c>
      <c r="M72" s="103">
        <f t="shared" si="13"/>
        <v>0.407936229852838</v>
      </c>
      <c r="N72" s="103">
        <f t="shared" si="13"/>
        <v>0.601822107081174</v>
      </c>
      <c r="O72" s="103">
        <f t="shared" si="13"/>
        <v>0.960890333713306</v>
      </c>
      <c r="P72" s="103">
        <f t="shared" si="13"/>
        <v>0.907547917993006</v>
      </c>
      <c r="Q72" s="103">
        <f t="shared" si="13"/>
        <v>0.82958072084397</v>
      </c>
      <c r="R72" s="103">
        <f t="shared" si="13"/>
        <v>0.71738560584813</v>
      </c>
      <c r="S72" s="103">
        <f t="shared" si="13"/>
        <v>0.636781231555938</v>
      </c>
    </row>
    <row r="73" ht="15" customHeight="1" spans="1:19">
      <c r="A73" s="98" t="s">
        <v>55</v>
      </c>
      <c r="B73" s="103">
        <f t="shared" ref="B73:S73" si="14">IFERROR(B49/B9,"")</f>
        <v>0.0456974128233971</v>
      </c>
      <c r="C73" s="103">
        <f t="shared" si="14"/>
        <v>0.0388713893170699</v>
      </c>
      <c r="D73" s="103">
        <f t="shared" si="14"/>
        <v>0.0954046639231824</v>
      </c>
      <c r="E73" s="103">
        <f t="shared" si="14"/>
        <v>0.0868834490317866</v>
      </c>
      <c r="F73" s="103">
        <f t="shared" si="14"/>
        <v>0.143069517202322</v>
      </c>
      <c r="G73" s="103">
        <f t="shared" si="14"/>
        <v>0.112829845313922</v>
      </c>
      <c r="H73" s="103">
        <f t="shared" si="14"/>
        <v>0.114081506425675</v>
      </c>
      <c r="I73" s="103">
        <f t="shared" si="14"/>
        <v>0.119034934165462</v>
      </c>
      <c r="J73" s="103">
        <f t="shared" si="14"/>
        <v>0.134386605400642</v>
      </c>
      <c r="K73" s="103">
        <f t="shared" si="14"/>
        <v>0.472900723346263</v>
      </c>
      <c r="L73" s="103">
        <f t="shared" si="14"/>
        <v>0.506554034372269</v>
      </c>
      <c r="M73" s="103">
        <f t="shared" si="14"/>
        <v>0.367696674342634</v>
      </c>
      <c r="N73" s="103">
        <f t="shared" si="14"/>
        <v>1.0189232025359</v>
      </c>
      <c r="O73" s="103">
        <f t="shared" si="14"/>
        <v>1.93434311803167</v>
      </c>
      <c r="P73" s="103">
        <f t="shared" si="14"/>
        <v>1.78838190989048</v>
      </c>
      <c r="Q73" s="103">
        <f t="shared" si="14"/>
        <v>1.46566104820969</v>
      </c>
      <c r="R73" s="103">
        <f t="shared" si="14"/>
        <v>1.08063124170809</v>
      </c>
      <c r="S73" s="103">
        <f t="shared" si="14"/>
        <v>0.751548671533012</v>
      </c>
    </row>
  </sheetData>
  <mergeCells count="10">
    <mergeCell ref="A1:S1"/>
    <mergeCell ref="A3:S3"/>
    <mergeCell ref="A11:S11"/>
    <mergeCell ref="A19:S19"/>
    <mergeCell ref="A27:S27"/>
    <mergeCell ref="A35:S35"/>
    <mergeCell ref="A43:S43"/>
    <mergeCell ref="A51:S51"/>
    <mergeCell ref="A59:S59"/>
    <mergeCell ref="A67:S67"/>
  </mergeCells>
  <conditionalFormatting sqref="B53:S57">
    <cfRule type="colorScale" priority="2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conditionalFormatting sqref="B61:S65">
    <cfRule type="colorScale" priority="3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conditionalFormatting sqref="B69:S73">
    <cfRule type="colorScale" priority="4">
      <colorScale>
        <cfvo type="num" val="0.05"/>
        <cfvo type="num" val="0.25"/>
        <cfvo type="num" val="0.6"/>
        <color rgb="FF63BE7B"/>
        <color rgb="FFFFEB84"/>
        <color rgb="FFF8696B"/>
      </colorScale>
    </cfRule>
  </conditionalFormatting>
  <pageMargins left="0.75" right="0.75" top="1" bottom="1" header="0.511805555555556" footer="0.511805555555556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73"/>
  <sheetViews>
    <sheetView showGridLines="0" workbookViewId="0">
      <pane xSplit="1" topLeftCell="H1" activePane="topRight" state="frozen"/>
      <selection/>
      <selection pane="topRight" activeCell="I16" sqref="I16"/>
    </sheetView>
  </sheetViews>
  <sheetFormatPr defaultColWidth="8.6796875" defaultRowHeight="14"/>
  <cols>
    <col min="1" max="1" width="28" customWidth="1"/>
    <col min="2" max="20" width="10" customWidth="1"/>
  </cols>
  <sheetData>
    <row r="1" ht="25.5" customHeight="1" spans="1:1">
      <c r="A1" s="97" t="s">
        <v>95</v>
      </c>
    </row>
    <row r="3" ht="15" customHeight="1" spans="1:1">
      <c r="A3" s="12" t="s">
        <v>96</v>
      </c>
    </row>
    <row r="4" ht="15" customHeight="1" spans="1:19">
      <c r="A4" s="14" t="s">
        <v>69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  <c r="K4" s="15" t="s">
        <v>12</v>
      </c>
      <c r="L4" s="15" t="s">
        <v>13</v>
      </c>
      <c r="M4" s="15" t="s">
        <v>14</v>
      </c>
      <c r="N4" s="15" t="s">
        <v>15</v>
      </c>
      <c r="O4" s="15" t="s">
        <v>16</v>
      </c>
      <c r="P4" s="15" t="s">
        <v>17</v>
      </c>
      <c r="Q4" s="15" t="s">
        <v>18</v>
      </c>
      <c r="R4" s="15" t="s">
        <v>19</v>
      </c>
      <c r="S4" s="15" t="s">
        <v>20</v>
      </c>
    </row>
    <row r="5" ht="15" customHeight="1" spans="1:19">
      <c r="A5" s="98" t="s">
        <v>22</v>
      </c>
      <c r="B5" s="99">
        <f>'0. Database'!C6</f>
        <v>26764</v>
      </c>
      <c r="C5" s="99">
        <f>'0. Database'!D6</f>
        <v>27759</v>
      </c>
      <c r="D5" s="99">
        <f>'0. Database'!E6</f>
        <v>13359</v>
      </c>
      <c r="E5" s="99">
        <f>'0. Database'!F6</f>
        <v>11756</v>
      </c>
      <c r="F5" s="99">
        <f>'0. Database'!G6</f>
        <v>11389</v>
      </c>
      <c r="G5" s="99">
        <f>'0. Database'!H6</f>
        <v>12924</v>
      </c>
      <c r="H5" s="99">
        <f>'0. Database'!I6</f>
        <v>16219</v>
      </c>
      <c r="I5" s="99">
        <f>'0. Database'!J6</f>
        <v>18724</v>
      </c>
      <c r="J5" s="99">
        <f>'0. Database'!K6</f>
        <v>24351</v>
      </c>
      <c r="K5" s="99">
        <f>'0. Database'!L6</f>
        <v>29687</v>
      </c>
      <c r="L5" s="99">
        <f>'0. Database'!M6</f>
        <v>50074</v>
      </c>
      <c r="M5" s="99">
        <f>'0. Database'!N6</f>
        <v>59661</v>
      </c>
      <c r="N5" s="99">
        <f>'0. Database'!O6</f>
        <v>69773</v>
      </c>
      <c r="O5" s="99">
        <f>'0. Database'!P6</f>
        <v>79541.62</v>
      </c>
      <c r="P5" s="99">
        <f>'0. Database'!Q6</f>
        <v>85628.96</v>
      </c>
      <c r="Q5" s="99">
        <f>'0. Database'!R6</f>
        <v>69877.51</v>
      </c>
      <c r="R5" s="99">
        <f>'0. Database'!S6</f>
        <v>101371.29</v>
      </c>
      <c r="S5" s="99">
        <f>'0. Database'!T6</f>
        <v>108509.49</v>
      </c>
    </row>
    <row r="6" ht="15" customHeight="1" spans="1:19">
      <c r="A6" s="98" t="s">
        <v>38</v>
      </c>
      <c r="B6" s="99">
        <f>'0. Database'!C22</f>
        <v>673</v>
      </c>
      <c r="C6" s="99">
        <f>'0. Database'!D22</f>
        <v>458</v>
      </c>
      <c r="D6" s="99">
        <f>'0. Database'!E22</f>
        <v>1507</v>
      </c>
      <c r="E6" s="99">
        <f>'0. Database'!F22</f>
        <v>3108</v>
      </c>
      <c r="F6" s="99">
        <f>'0. Database'!G22</f>
        <v>4331</v>
      </c>
      <c r="G6" s="99">
        <f>'0. Database'!H22</f>
        <v>7296</v>
      </c>
      <c r="H6" s="99">
        <f>'0. Database'!I22</f>
        <v>9201</v>
      </c>
      <c r="I6" s="99">
        <f>'0. Database'!J22</f>
        <v>13531</v>
      </c>
      <c r="J6" s="99">
        <f>'0. Database'!K22</f>
        <v>18532</v>
      </c>
      <c r="K6" s="99">
        <f>'0. Database'!L22</f>
        <v>22841</v>
      </c>
      <c r="L6" s="99">
        <f>'0. Database'!M22</f>
        <v>24631</v>
      </c>
      <c r="M6" s="99">
        <f>'0. Database'!N22</f>
        <v>39834</v>
      </c>
      <c r="N6" s="99">
        <f>'0. Database'!O22</f>
        <v>45606</v>
      </c>
      <c r="O6" s="99">
        <f>'0. Database'!P22</f>
        <v>58892.45</v>
      </c>
      <c r="P6" s="99">
        <f>'0. Database'!Q22</f>
        <v>76144.3</v>
      </c>
      <c r="Q6" s="99">
        <f>'0. Database'!R22</f>
        <v>98372.18</v>
      </c>
      <c r="R6" s="99">
        <f>'0. Database'!S22</f>
        <v>123330.71</v>
      </c>
      <c r="S6" s="99">
        <f>'0. Database'!T22</f>
        <v>152115.05</v>
      </c>
    </row>
    <row r="7" ht="15" customHeight="1" spans="1:19">
      <c r="A7" s="98" t="s">
        <v>42</v>
      </c>
      <c r="B7" s="99">
        <f>'0. Database'!C37</f>
        <v>16260</v>
      </c>
      <c r="C7" s="99">
        <f>'0. Database'!D37</f>
        <v>18965</v>
      </c>
      <c r="D7" s="99">
        <f>'0. Database'!E37</f>
        <v>23319</v>
      </c>
      <c r="E7" s="99">
        <f>'0. Database'!F37</f>
        <v>27055</v>
      </c>
      <c r="F7" s="99">
        <f>'0. Database'!G37</f>
        <v>32456</v>
      </c>
      <c r="G7" s="99">
        <f>'0. Database'!H37</f>
        <v>43137</v>
      </c>
      <c r="H7" s="99">
        <f>'0. Database'!I37</f>
        <v>48999</v>
      </c>
      <c r="I7" s="99">
        <f>'0. Database'!J37</f>
        <v>54606</v>
      </c>
      <c r="J7" s="99">
        <f>'0. Database'!K37</f>
        <v>91855</v>
      </c>
      <c r="K7" s="99">
        <f>'0. Database'!L37</f>
        <v>82699</v>
      </c>
      <c r="L7" s="99">
        <f>'0. Database'!M37</f>
        <v>95858</v>
      </c>
      <c r="M7" s="99">
        <f>'0. Database'!N37</f>
        <v>121263</v>
      </c>
      <c r="N7" s="99">
        <f>'0. Database'!O37</f>
        <v>139404</v>
      </c>
      <c r="O7" s="99">
        <f>'0. Database'!P37</f>
        <v>166048.71</v>
      </c>
      <c r="P7" s="99">
        <f>'0. Database'!Q37</f>
        <v>188404.24</v>
      </c>
      <c r="Q7" s="99">
        <f>'0. Database'!R37</f>
        <v>207483.23</v>
      </c>
      <c r="R7" s="99">
        <f>'0. Database'!S37</f>
        <v>229196.58</v>
      </c>
      <c r="S7" s="99">
        <f>'0. Database'!T37</f>
        <v>258679.36</v>
      </c>
    </row>
    <row r="8" ht="15" customHeight="1" spans="1:19">
      <c r="A8" s="98" t="s">
        <v>48</v>
      </c>
      <c r="B8" s="99">
        <f>'0. Database'!C54</f>
        <v>2804</v>
      </c>
      <c r="C8" s="99">
        <f>'0. Database'!D54</f>
        <v>4994</v>
      </c>
      <c r="D8" s="99">
        <f>'0. Database'!E54</f>
        <v>6225</v>
      </c>
      <c r="E8" s="99">
        <f>'0. Database'!F54</f>
        <v>12427</v>
      </c>
      <c r="F8" s="99">
        <f>'0. Database'!G54</f>
        <v>20203</v>
      </c>
      <c r="G8" s="99">
        <f>'0. Database'!H54</f>
        <v>24913</v>
      </c>
      <c r="H8" s="99">
        <f>'0. Database'!I54</f>
        <v>23986</v>
      </c>
      <c r="I8" s="99">
        <f>'0. Database'!J54</f>
        <v>32671</v>
      </c>
      <c r="J8" s="99">
        <f>'0. Database'!K54</f>
        <v>46753</v>
      </c>
      <c r="K8" s="99">
        <f>'0. Database'!L54</f>
        <v>28944</v>
      </c>
      <c r="L8" s="99">
        <f>'0. Database'!M54</f>
        <v>46751</v>
      </c>
      <c r="M8" s="99">
        <f>'0. Database'!N54</f>
        <v>69380</v>
      </c>
      <c r="N8" s="99">
        <f>'0. Database'!O54</f>
        <v>83276</v>
      </c>
      <c r="O8" s="99">
        <f>'0. Database'!P54</f>
        <v>87872.3104133236</v>
      </c>
      <c r="P8" s="99">
        <f>'0. Database'!Q54</f>
        <v>102309.196371639</v>
      </c>
      <c r="Q8" s="99">
        <f>'0. Database'!R54</f>
        <v>119899.683825587</v>
      </c>
      <c r="R8" s="99">
        <f>'0. Database'!S54</f>
        <v>139513.214621937</v>
      </c>
      <c r="S8" s="99">
        <f>'0. Database'!T54</f>
        <v>162052.129491497</v>
      </c>
    </row>
    <row r="9" ht="15" customHeight="1" spans="1:19">
      <c r="A9" s="98" t="s">
        <v>55</v>
      </c>
      <c r="B9" s="99">
        <f>'0. Database'!C72</f>
        <v>14684</v>
      </c>
      <c r="C9" s="99">
        <f>'0. Database'!D72</f>
        <v>14758</v>
      </c>
      <c r="D9" s="99">
        <f>'0. Database'!E72</f>
        <v>13870</v>
      </c>
      <c r="E9" s="99">
        <f>'0. Database'!F72</f>
        <v>12604</v>
      </c>
      <c r="F9" s="99">
        <f>'0. Database'!G72</f>
        <v>12710</v>
      </c>
      <c r="G9" s="99">
        <f>'0. Database'!H72</f>
        <v>13264</v>
      </c>
      <c r="H9" s="99">
        <f>'0. Database'!I72</f>
        <v>13535</v>
      </c>
      <c r="I9" s="99">
        <f>'0. Database'!J72</f>
        <v>13897</v>
      </c>
      <c r="J9" s="99">
        <f>'0. Database'!K72</f>
        <v>15214</v>
      </c>
      <c r="K9" s="99">
        <f>'0. Database'!L72</f>
        <v>10927</v>
      </c>
      <c r="L9" s="99">
        <f>'0. Database'!M72</f>
        <v>13094</v>
      </c>
      <c r="M9" s="99">
        <f>'0. Database'!N72</f>
        <v>15354</v>
      </c>
      <c r="N9" s="99">
        <f>'0. Database'!O72</f>
        <v>17678</v>
      </c>
      <c r="O9" s="99">
        <f>'0. Database'!P72</f>
        <v>19462.44</v>
      </c>
      <c r="P9" s="99">
        <f>'0. Database'!Q72</f>
        <v>21128.19</v>
      </c>
      <c r="Q9" s="99">
        <f>'0. Database'!R72</f>
        <v>36930.86</v>
      </c>
      <c r="R9" s="99">
        <f>'0. Database'!S72</f>
        <v>53057.71</v>
      </c>
      <c r="S9" s="99">
        <f>'0. Database'!T72</f>
        <v>57952.82</v>
      </c>
    </row>
    <row r="11" ht="15" customHeight="1" spans="1:1">
      <c r="A11" s="12" t="s">
        <v>97</v>
      </c>
    </row>
    <row r="12" ht="15" customHeight="1" spans="1:19">
      <c r="A12" s="14" t="s">
        <v>69</v>
      </c>
      <c r="B12" s="15" t="s">
        <v>3</v>
      </c>
      <c r="C12" s="15" t="s">
        <v>4</v>
      </c>
      <c r="D12" s="15" t="s">
        <v>5</v>
      </c>
      <c r="E12" s="15" t="s">
        <v>6</v>
      </c>
      <c r="F12" s="15" t="s">
        <v>7</v>
      </c>
      <c r="G12" s="15" t="s">
        <v>8</v>
      </c>
      <c r="H12" s="15" t="s">
        <v>9</v>
      </c>
      <c r="I12" s="15" t="s">
        <v>10</v>
      </c>
      <c r="J12" s="15" t="s">
        <v>11</v>
      </c>
      <c r="K12" s="15" t="s">
        <v>12</v>
      </c>
      <c r="L12" s="15" t="s">
        <v>13</v>
      </c>
      <c r="M12" s="15" t="s">
        <v>14</v>
      </c>
      <c r="N12" s="15" t="s">
        <v>15</v>
      </c>
      <c r="O12" s="15" t="s">
        <v>16</v>
      </c>
      <c r="P12" s="15" t="s">
        <v>17</v>
      </c>
      <c r="Q12" s="15" t="s">
        <v>18</v>
      </c>
      <c r="R12" s="15" t="s">
        <v>19</v>
      </c>
      <c r="S12" s="15" t="s">
        <v>20</v>
      </c>
    </row>
    <row r="13" ht="15" customHeight="1" spans="1:19">
      <c r="A13" s="98" t="s">
        <v>22</v>
      </c>
      <c r="B13" s="99">
        <f>'0. Database'!C7</f>
        <v>21863</v>
      </c>
      <c r="C13" s="99">
        <f>'0. Database'!D7</f>
        <v>22074</v>
      </c>
      <c r="D13" s="99">
        <f>'0. Database'!E7</f>
        <v>12193</v>
      </c>
      <c r="E13" s="99">
        <f>'0. Database'!F7</f>
        <v>16798</v>
      </c>
      <c r="F13" s="99">
        <f>'0. Database'!G7</f>
        <v>21204</v>
      </c>
      <c r="G13" s="99">
        <f>'0. Database'!H7</f>
        <v>16571</v>
      </c>
      <c r="H13" s="99">
        <f>'0. Database'!I7</f>
        <v>39240</v>
      </c>
      <c r="I13" s="99">
        <f>'0. Database'!J7</f>
        <v>44281</v>
      </c>
      <c r="J13" s="99">
        <f>'0. Database'!K7</f>
        <v>61271</v>
      </c>
      <c r="K13" s="99">
        <f>'0. Database'!L7</f>
        <v>72738</v>
      </c>
      <c r="L13" s="99">
        <f>'0. Database'!M7</f>
        <v>72361</v>
      </c>
      <c r="M13" s="99">
        <f>'0. Database'!N7</f>
        <v>88136</v>
      </c>
      <c r="N13" s="99">
        <f>'0. Database'!O7</f>
        <v>101832</v>
      </c>
      <c r="O13" s="99">
        <f>'0. Database'!P7</f>
        <v>128773.529411765</v>
      </c>
      <c r="P13" s="99">
        <f>'0. Database'!Q7</f>
        <v>144093.728813559</v>
      </c>
      <c r="Q13" s="99">
        <f>'0. Database'!R7</f>
        <v>170374.875</v>
      </c>
      <c r="R13" s="99">
        <f>'0. Database'!S7</f>
        <v>198374.4375</v>
      </c>
      <c r="S13" s="99">
        <f>'0. Database'!T7</f>
        <v>231003.5</v>
      </c>
    </row>
    <row r="14" ht="15" customHeight="1" spans="1:19">
      <c r="A14" s="98" t="s">
        <v>38</v>
      </c>
      <c r="B14" s="99">
        <f>'0. Database'!C23</f>
        <v>274</v>
      </c>
      <c r="C14" s="99">
        <f>'0. Database'!D23</f>
        <v>-241</v>
      </c>
      <c r="D14" s="99">
        <f>'0. Database'!E23</f>
        <v>596</v>
      </c>
      <c r="E14" s="99">
        <f>'0. Database'!F23</f>
        <v>2371</v>
      </c>
      <c r="F14" s="99">
        <f>'0. Database'!G23</f>
        <v>2244</v>
      </c>
      <c r="G14" s="99">
        <f>'0. Database'!H23</f>
        <v>10073</v>
      </c>
      <c r="H14" s="99">
        <f>'0. Database'!I23</f>
        <v>11588</v>
      </c>
      <c r="I14" s="99">
        <f>'0. Database'!J23</f>
        <v>21331</v>
      </c>
      <c r="J14" s="99">
        <f>'0. Database'!K23</f>
        <v>24042</v>
      </c>
      <c r="K14" s="99">
        <f>'0. Database'!L23</f>
        <v>7311</v>
      </c>
      <c r="L14" s="99">
        <f>'0. Database'!M23</f>
        <v>29793</v>
      </c>
      <c r="M14" s="99">
        <f>'0. Database'!N23</f>
        <v>59248</v>
      </c>
      <c r="N14" s="99">
        <f>'0. Database'!O23</f>
        <v>77670</v>
      </c>
      <c r="O14" s="99">
        <f>'0. Database'!P23</f>
        <v>95381.3695652174</v>
      </c>
      <c r="P14" s="99">
        <f>'0. Database'!Q23</f>
        <v>109556.177777778</v>
      </c>
      <c r="Q14" s="99">
        <f>'0. Database'!R23</f>
        <v>138562.233333333</v>
      </c>
      <c r="R14" s="99">
        <f>'0. Database'!S23</f>
        <v>162769.352941176</v>
      </c>
      <c r="S14" s="99">
        <f>'0. Database'!T23</f>
        <v>199614.8125</v>
      </c>
    </row>
    <row r="15" ht="15" customHeight="1" spans="1:19">
      <c r="A15" s="98" t="s">
        <v>42</v>
      </c>
      <c r="B15" s="99">
        <f>'0. Database'!C38</f>
        <v>12214</v>
      </c>
      <c r="C15" s="99">
        <f>'0. Database'!D38</f>
        <v>13928</v>
      </c>
      <c r="D15" s="99">
        <f>'0. Database'!E38</f>
        <v>15826</v>
      </c>
      <c r="E15" s="99">
        <f>'0. Database'!F38</f>
        <v>19478</v>
      </c>
      <c r="F15" s="99">
        <f>'0. Database'!G38</f>
        <v>22519</v>
      </c>
      <c r="G15" s="99">
        <f>'0. Database'!H38</f>
        <v>30736</v>
      </c>
      <c r="H15" s="99">
        <f>'0. Database'!I38</f>
        <v>32508</v>
      </c>
      <c r="I15" s="99">
        <f>'0. Database'!J38</f>
        <v>40269</v>
      </c>
      <c r="J15" s="99">
        <f>'0. Database'!K38</f>
        <v>76033</v>
      </c>
      <c r="K15" s="99">
        <f>'0. Database'!L38</f>
        <v>59972</v>
      </c>
      <c r="L15" s="99">
        <f>'0. Database'!M38</f>
        <v>73795</v>
      </c>
      <c r="M15" s="99">
        <f>'0. Database'!N38</f>
        <v>100118</v>
      </c>
      <c r="N15" s="99">
        <f>'0. Database'!O38</f>
        <v>132170</v>
      </c>
      <c r="O15" s="99">
        <f>'0. Database'!P38</f>
        <v>174612.843137255</v>
      </c>
      <c r="P15" s="99">
        <f>'0. Database'!Q38</f>
        <v>180090.274509804</v>
      </c>
      <c r="Q15" s="99">
        <f>'0. Database'!R38</f>
        <v>212391.875</v>
      </c>
      <c r="R15" s="99">
        <f>'0. Database'!S38</f>
        <v>263167.333333333</v>
      </c>
      <c r="S15" s="99">
        <f>'0. Database'!T38</f>
        <v>322005.857142857</v>
      </c>
    </row>
    <row r="16" ht="15" customHeight="1" spans="1:19">
      <c r="A16" s="98" t="s">
        <v>48</v>
      </c>
      <c r="B16" s="99">
        <f>'0. Database'!C55</f>
        <v>1491</v>
      </c>
      <c r="C16" s="99">
        <f>'0. Database'!D55</f>
        <v>2925</v>
      </c>
      <c r="D16" s="99">
        <f>'0. Database'!E55</f>
        <v>3669</v>
      </c>
      <c r="E16" s="99">
        <f>'0. Database'!F55</f>
        <v>10188</v>
      </c>
      <c r="F16" s="99">
        <f>'0. Database'!G55</f>
        <v>18190</v>
      </c>
      <c r="G16" s="99">
        <f>'0. Database'!H55</f>
        <v>22112</v>
      </c>
      <c r="H16" s="99">
        <f>'0. Database'!I55</f>
        <v>18485</v>
      </c>
      <c r="I16" s="99">
        <f>'0. Database'!J55</f>
        <v>29146</v>
      </c>
      <c r="J16" s="99">
        <f>'0. Database'!K55</f>
        <v>39370</v>
      </c>
      <c r="K16" s="99">
        <f>'0. Database'!L55</f>
        <v>23200</v>
      </c>
      <c r="L16" s="99">
        <f>'0. Database'!M55</f>
        <v>39098</v>
      </c>
      <c r="M16" s="99">
        <f>'0. Database'!N55</f>
        <v>62360</v>
      </c>
      <c r="N16" s="99">
        <f>'0. Database'!O55</f>
        <v>60458</v>
      </c>
      <c r="O16" s="99">
        <f>'0. Database'!P55</f>
        <v>83760.9672131148</v>
      </c>
      <c r="P16" s="99">
        <f>'0. Database'!Q55</f>
        <v>89664.3103448276</v>
      </c>
      <c r="Q16" s="99">
        <f>'0. Database'!R55</f>
        <v>105343.361111111</v>
      </c>
      <c r="R16" s="99">
        <f>'0. Database'!S55</f>
        <v>126034.55</v>
      </c>
      <c r="S16" s="99">
        <f>'0. Database'!T55</f>
        <v>146055.1</v>
      </c>
    </row>
    <row r="17" ht="15" customHeight="1" spans="1:19">
      <c r="A17" s="98" t="s">
        <v>55</v>
      </c>
      <c r="B17" s="99">
        <f>'0. Database'!C73</f>
        <v>10926</v>
      </c>
      <c r="C17" s="99">
        <f>'0. Database'!D73</f>
        <v>10955</v>
      </c>
      <c r="D17" s="99">
        <f>'0. Database'!E73</f>
        <v>9938</v>
      </c>
      <c r="E17" s="99">
        <f>'0. Database'!F73</f>
        <v>8901</v>
      </c>
      <c r="F17" s="99">
        <f>'0. Database'!G73</f>
        <v>9335</v>
      </c>
      <c r="G17" s="99">
        <f>'0. Database'!H73</f>
        <v>3825</v>
      </c>
      <c r="H17" s="99">
        <f>'0. Database'!I73</f>
        <v>11083</v>
      </c>
      <c r="I17" s="99">
        <f>'0. Database'!J73</f>
        <v>10135</v>
      </c>
      <c r="J17" s="99">
        <f>'0. Database'!K73</f>
        <v>13746</v>
      </c>
      <c r="K17" s="99">
        <f>'0. Database'!L73</f>
        <v>6717</v>
      </c>
      <c r="L17" s="99">
        <f>'0. Database'!M73</f>
        <v>8503</v>
      </c>
      <c r="M17" s="99">
        <f>'0. Database'!N73</f>
        <v>10467</v>
      </c>
      <c r="N17" s="99">
        <f>'0. Database'!O73</f>
        <v>12443</v>
      </c>
      <c r="O17" s="99">
        <f>'0. Database'!P73</f>
        <v>17201.0588235294</v>
      </c>
      <c r="P17" s="99">
        <f>'0. Database'!Q73</f>
        <v>18923.5882352941</v>
      </c>
      <c r="Q17" s="99">
        <f>'0. Database'!R73</f>
        <v>26746.3448275862</v>
      </c>
      <c r="R17" s="99">
        <f>'0. Database'!S73</f>
        <v>39545.8125</v>
      </c>
      <c r="S17" s="99">
        <f>'0. Database'!T73</f>
        <v>51960.2666666667</v>
      </c>
    </row>
    <row r="19" ht="15" customHeight="1" spans="1:1">
      <c r="A19" s="12" t="s">
        <v>98</v>
      </c>
    </row>
    <row r="20" ht="15" customHeight="1" spans="1:19">
      <c r="A20" s="14" t="s">
        <v>69</v>
      </c>
      <c r="B20" s="15" t="s">
        <v>3</v>
      </c>
      <c r="C20" s="15" t="s">
        <v>4</v>
      </c>
      <c r="D20" s="15" t="s">
        <v>5</v>
      </c>
      <c r="E20" s="15" t="s">
        <v>6</v>
      </c>
      <c r="F20" s="15" t="s">
        <v>7</v>
      </c>
      <c r="G20" s="15" t="s">
        <v>8</v>
      </c>
      <c r="H20" s="15" t="s">
        <v>9</v>
      </c>
      <c r="I20" s="15" t="s">
        <v>10</v>
      </c>
      <c r="J20" s="15" t="s">
        <v>11</v>
      </c>
      <c r="K20" s="15" t="s">
        <v>12</v>
      </c>
      <c r="L20" s="15" t="s">
        <v>13</v>
      </c>
      <c r="M20" s="15" t="s">
        <v>14</v>
      </c>
      <c r="N20" s="15" t="s">
        <v>15</v>
      </c>
      <c r="O20" s="15" t="s">
        <v>16</v>
      </c>
      <c r="P20" s="15" t="s">
        <v>17</v>
      </c>
      <c r="Q20" s="15" t="s">
        <v>18</v>
      </c>
      <c r="R20" s="15" t="s">
        <v>19</v>
      </c>
      <c r="S20" s="15" t="s">
        <v>20</v>
      </c>
    </row>
    <row r="21" ht="15" customHeight="1" spans="1:19">
      <c r="A21" s="98" t="s">
        <v>22</v>
      </c>
      <c r="B21" s="99">
        <f>'0. Database'!C8</f>
        <v>2.58</v>
      </c>
      <c r="C21" s="99">
        <f>'0. Database'!D8</f>
        <v>2.63</v>
      </c>
      <c r="D21" s="99">
        <f>'0. Database'!E8</f>
        <v>1.48</v>
      </c>
      <c r="E21" s="99">
        <f>'0. Database'!F8</f>
        <v>2.1</v>
      </c>
      <c r="F21" s="99">
        <f>'0. Database'!G8</f>
        <v>2.71</v>
      </c>
      <c r="G21" s="99">
        <f>'0. Database'!H8</f>
        <v>2.13</v>
      </c>
      <c r="H21" s="99">
        <f>'0. Database'!I8</f>
        <v>5.06</v>
      </c>
      <c r="I21" s="99">
        <f>'0. Database'!J8</f>
        <v>5.76</v>
      </c>
      <c r="J21" s="99">
        <f>'0. Database'!K8</f>
        <v>8.05</v>
      </c>
      <c r="K21" s="99">
        <f>'0. Database'!L8</f>
        <v>9.65</v>
      </c>
      <c r="L21" s="99">
        <f>'0. Database'!M8</f>
        <v>9.68</v>
      </c>
      <c r="M21" s="99">
        <f>'0. Database'!N8</f>
        <v>11.8</v>
      </c>
      <c r="N21" s="99">
        <f>'0. Database'!O8</f>
        <v>13.64</v>
      </c>
      <c r="O21" s="99">
        <f>'0. Database'!P8</f>
        <v>17.2806666666667</v>
      </c>
      <c r="P21" s="99">
        <f>'0. Database'!Q8</f>
        <v>19.4171428571429</v>
      </c>
      <c r="Q21" s="99">
        <f>'0. Database'!R8</f>
        <v>22.8097619047619</v>
      </c>
      <c r="R21" s="99">
        <f>'0. Database'!S8</f>
        <v>26.9969230769231</v>
      </c>
      <c r="S21" s="99">
        <f>'0. Database'!T8</f>
        <v>31.4925</v>
      </c>
    </row>
    <row r="22" ht="15" customHeight="1" spans="1:19">
      <c r="A22" s="98" t="s">
        <v>38</v>
      </c>
      <c r="B22" s="99">
        <f>'0. Database'!C24</f>
        <v>0.0295</v>
      </c>
      <c r="C22" s="99">
        <f>'0. Database'!D24</f>
        <v>-0.026</v>
      </c>
      <c r="D22" s="99">
        <f>'0. Database'!E24</f>
        <v>0.0625</v>
      </c>
      <c r="E22" s="99">
        <f>'0. Database'!F24</f>
        <v>0.245</v>
      </c>
      <c r="F22" s="99">
        <f>'0. Database'!G24</f>
        <v>0.2275</v>
      </c>
      <c r="G22" s="99">
        <f>'0. Database'!H24</f>
        <v>1.007</v>
      </c>
      <c r="H22" s="99">
        <f>'0. Database'!I24</f>
        <v>1.1505</v>
      </c>
      <c r="I22" s="99">
        <f>'0. Database'!J24</f>
        <v>2.0915</v>
      </c>
      <c r="J22" s="99">
        <f>'0. Database'!K24</f>
        <v>2.33417475</v>
      </c>
      <c r="K22" s="99">
        <f>'0. Database'!L24</f>
        <v>0.717539</v>
      </c>
      <c r="L22" s="99">
        <f>'0. Database'!M24</f>
        <v>2.839592</v>
      </c>
      <c r="M22" s="99">
        <f>'0. Database'!N24</f>
        <v>5.53</v>
      </c>
      <c r="N22" s="99">
        <f>'0. Database'!O24</f>
        <v>7.17</v>
      </c>
      <c r="O22" s="99">
        <f>'0. Database'!P24</f>
        <v>8.7931914893617</v>
      </c>
      <c r="P22" s="99">
        <f>'0. Database'!Q24</f>
        <v>10.0281818181818</v>
      </c>
      <c r="Q22" s="99">
        <f>'0. Database'!R24</f>
        <v>12.9156</v>
      </c>
      <c r="R22" s="99">
        <f>'0. Database'!S24</f>
        <v>14.3427272727273</v>
      </c>
      <c r="S22" s="99">
        <f>'0. Database'!T24</f>
        <v>17.1333333333333</v>
      </c>
    </row>
    <row r="23" ht="15" customHeight="1" spans="1:19">
      <c r="A23" s="98" t="s">
        <v>42</v>
      </c>
      <c r="B23" s="99">
        <f>'0. Database'!C39</f>
        <v>0.90125</v>
      </c>
      <c r="C23" s="99">
        <f>'0. Database'!D39</f>
        <v>1.0135</v>
      </c>
      <c r="D23" s="99">
        <f>'0. Database'!E39</f>
        <v>1.142</v>
      </c>
      <c r="E23" s="99">
        <f>'0. Database'!F39</f>
        <v>1.3925</v>
      </c>
      <c r="F23" s="99">
        <f>'0. Database'!G39</f>
        <v>1.6005</v>
      </c>
      <c r="G23" s="99">
        <f>'0. Database'!H39</f>
        <v>2.185</v>
      </c>
      <c r="H23" s="99">
        <f>'0. Database'!I39</f>
        <v>2.3265</v>
      </c>
      <c r="I23" s="99">
        <f>'0. Database'!J39</f>
        <v>2.9305</v>
      </c>
      <c r="J23" s="99">
        <f>'0. Database'!K39</f>
        <v>5.61</v>
      </c>
      <c r="K23" s="99">
        <f>'0. Database'!L39</f>
        <v>4.56</v>
      </c>
      <c r="L23" s="99">
        <f>'0. Database'!M39</f>
        <v>5.8</v>
      </c>
      <c r="M23" s="99">
        <f>'0. Database'!N39</f>
        <v>8.04</v>
      </c>
      <c r="N23" s="99">
        <f>'0. Database'!O39</f>
        <v>10.81</v>
      </c>
      <c r="O23" s="99">
        <f>'0. Database'!P39</f>
        <v>14.186724137931</v>
      </c>
      <c r="P23" s="99">
        <f>'0. Database'!Q39</f>
        <v>14.69</v>
      </c>
      <c r="Q23" s="99">
        <f>'0. Database'!R39</f>
        <v>17.3548484848485</v>
      </c>
      <c r="R23" s="99">
        <f>'0. Database'!S39</f>
        <v>21.248</v>
      </c>
      <c r="S23" s="99">
        <f>'0. Database'!T39</f>
        <v>26.0357142857143</v>
      </c>
    </row>
    <row r="24" ht="15" customHeight="1" spans="1:19">
      <c r="A24" s="98" t="s">
        <v>48</v>
      </c>
      <c r="B24" s="99">
        <f>'0. Database'!C56</f>
        <v>0.6</v>
      </c>
      <c r="C24" s="99">
        <f>'0. Database'!D56</f>
        <v>1.1</v>
      </c>
      <c r="D24" s="99">
        <f>'0. Database'!E56</f>
        <v>1.29</v>
      </c>
      <c r="E24" s="99">
        <f>'0. Database'!F56</f>
        <v>3.49</v>
      </c>
      <c r="F24" s="99">
        <f>'0. Database'!G56</f>
        <v>6.16</v>
      </c>
      <c r="G24" s="99">
        <f>'0. Database'!H56</f>
        <v>7.57</v>
      </c>
      <c r="H24" s="99">
        <f>'0. Database'!I56</f>
        <v>8.56</v>
      </c>
      <c r="I24" s="99">
        <f>'0. Database'!J56</f>
        <v>9.78</v>
      </c>
      <c r="J24" s="99">
        <f>'0. Database'!K56</f>
        <v>13.77</v>
      </c>
      <c r="K24" s="99">
        <f>'0. Database'!L56</f>
        <v>8.59</v>
      </c>
      <c r="L24" s="99">
        <f>'0. Database'!M56</f>
        <v>14.87</v>
      </c>
      <c r="M24" s="99">
        <f>'0. Database'!N56</f>
        <v>23.86</v>
      </c>
      <c r="N24" s="99">
        <f>'0. Database'!O56</f>
        <v>23.49</v>
      </c>
      <c r="O24" s="99">
        <f>'0. Database'!P56</f>
        <v>32.2001612903226</v>
      </c>
      <c r="P24" s="99">
        <f>'0. Database'!Q56</f>
        <v>34.9040677966102</v>
      </c>
      <c r="Q24" s="99">
        <f>'0. Database'!R56</f>
        <v>40.4991666666667</v>
      </c>
      <c r="R24" s="99">
        <f>'0. Database'!S56</f>
        <v>48.6235294117647</v>
      </c>
      <c r="S24" s="99">
        <f>'0. Database'!T56</f>
        <v>56.996875</v>
      </c>
    </row>
    <row r="25" ht="15" customHeight="1" spans="1:19">
      <c r="A25" s="98" t="s">
        <v>55</v>
      </c>
      <c r="B25" s="99">
        <f>'0. Database'!C74</f>
        <v>2.26</v>
      </c>
      <c r="C25" s="99">
        <f>'0. Database'!D74</f>
        <v>2.38</v>
      </c>
      <c r="D25" s="99">
        <f>'0. Database'!E74</f>
        <v>2.21</v>
      </c>
      <c r="E25" s="99">
        <f>'0. Database'!F74</f>
        <v>2.07</v>
      </c>
      <c r="F25" s="99">
        <f>'0. Database'!G74</f>
        <v>2.21</v>
      </c>
      <c r="G25" s="99">
        <f>'0. Database'!H74</f>
        <v>0.9</v>
      </c>
      <c r="H25" s="99">
        <f>'0. Database'!I74</f>
        <v>2.97</v>
      </c>
      <c r="I25" s="99">
        <f>'0. Database'!J74</f>
        <v>3.08</v>
      </c>
      <c r="J25" s="99">
        <f>'0. Database'!K74</f>
        <v>4.55</v>
      </c>
      <c r="K25" s="99">
        <f>'0. Database'!L74</f>
        <v>2.41</v>
      </c>
      <c r="L25" s="99">
        <f>'0. Database'!M74</f>
        <v>3.07</v>
      </c>
      <c r="M25" s="99">
        <f>'0. Database'!N74</f>
        <v>3.71</v>
      </c>
      <c r="N25" s="99">
        <f>'0. Database'!O74</f>
        <v>4.34</v>
      </c>
      <c r="O25" s="99">
        <f>'0. Database'!P74</f>
        <v>5.84838709677419</v>
      </c>
      <c r="P25" s="99">
        <f>'0. Database'!Q74</f>
        <v>6.26125</v>
      </c>
      <c r="Q25" s="99">
        <f>'0. Database'!R74</f>
        <v>8.79074074074074</v>
      </c>
      <c r="R25" s="99">
        <f>'0. Database'!S74</f>
        <v>12.894375</v>
      </c>
      <c r="S25" s="99">
        <f>'0. Database'!T74</f>
        <v>16.756</v>
      </c>
    </row>
    <row r="27" ht="15" customHeight="1" spans="1:1">
      <c r="A27" s="12" t="s">
        <v>99</v>
      </c>
    </row>
    <row r="28" ht="15" customHeight="1" spans="1:19">
      <c r="A28" s="14" t="s">
        <v>69</v>
      </c>
      <c r="B28" s="15" t="s">
        <v>3</v>
      </c>
      <c r="C28" s="15" t="s">
        <v>4</v>
      </c>
      <c r="D28" s="15" t="s">
        <v>5</v>
      </c>
      <c r="E28" s="15" t="s">
        <v>6</v>
      </c>
      <c r="F28" s="15" t="s">
        <v>7</v>
      </c>
      <c r="G28" s="15" t="s">
        <v>8</v>
      </c>
      <c r="H28" s="15" t="s">
        <v>9</v>
      </c>
      <c r="I28" s="15" t="s">
        <v>10</v>
      </c>
      <c r="J28" s="15" t="s">
        <v>11</v>
      </c>
      <c r="K28" s="15" t="s">
        <v>12</v>
      </c>
      <c r="L28" s="15" t="s">
        <v>13</v>
      </c>
      <c r="M28" s="15" t="s">
        <v>14</v>
      </c>
      <c r="N28" s="15" t="s">
        <v>15</v>
      </c>
      <c r="O28" s="15" t="s">
        <v>16</v>
      </c>
      <c r="P28" s="15" t="s">
        <v>17</v>
      </c>
      <c r="Q28" s="15" t="s">
        <v>18</v>
      </c>
      <c r="R28" s="15" t="s">
        <v>19</v>
      </c>
      <c r="S28" s="15" t="s">
        <v>20</v>
      </c>
    </row>
    <row r="29" ht="15" customHeight="1" spans="1:19">
      <c r="A29" s="98" t="s">
        <v>22</v>
      </c>
      <c r="B29" s="99">
        <f>'0. Database'!C9</f>
        <v>8470</v>
      </c>
      <c r="C29" s="99">
        <f>'0. Database'!D9</f>
        <v>8399</v>
      </c>
      <c r="D29" s="99">
        <f>'0. Database'!E9</f>
        <v>8254</v>
      </c>
      <c r="E29" s="99">
        <f>'0. Database'!F9</f>
        <v>8013</v>
      </c>
      <c r="F29" s="99">
        <f>'0. Database'!G9</f>
        <v>7832</v>
      </c>
      <c r="G29" s="99">
        <f>'0. Database'!H9</f>
        <v>7794</v>
      </c>
      <c r="H29" s="99">
        <f>'0. Database'!I9</f>
        <v>7753</v>
      </c>
      <c r="I29" s="99">
        <f>'0. Database'!J9</f>
        <v>7683</v>
      </c>
      <c r="J29" s="99">
        <f>'0. Database'!K9</f>
        <v>7608</v>
      </c>
      <c r="K29" s="99">
        <f>'0. Database'!L9</f>
        <v>7540</v>
      </c>
      <c r="L29" s="99">
        <f>'0. Database'!M9</f>
        <v>7472</v>
      </c>
      <c r="M29" s="99">
        <f>'0. Database'!N9</f>
        <v>7469</v>
      </c>
      <c r="N29" s="99">
        <f>'0. Database'!O9</f>
        <v>7465</v>
      </c>
      <c r="O29" s="99">
        <f>'0. Database'!P9</f>
        <v>7449.90168628124</v>
      </c>
      <c r="P29" s="99">
        <f>'0. Database'!Q9</f>
        <v>7435.5853369402</v>
      </c>
      <c r="Q29" s="99">
        <f>'0. Database'!R9</f>
        <v>7424.31766355631</v>
      </c>
      <c r="R29" s="99">
        <f>'0. Database'!S9</f>
        <v>7387.12053574495</v>
      </c>
      <c r="S29" s="99">
        <f>'0. Database'!T9</f>
        <v>7366.45113168984</v>
      </c>
    </row>
    <row r="30" ht="15" customHeight="1" spans="1:19">
      <c r="A30" s="98" t="s">
        <v>38</v>
      </c>
      <c r="B30" s="99">
        <f>'0. Database'!C25</f>
        <v>9300</v>
      </c>
      <c r="C30" s="99">
        <f>'0. Database'!D25</f>
        <v>9240</v>
      </c>
      <c r="D30" s="99">
        <f>'0. Database'!E25</f>
        <v>9540</v>
      </c>
      <c r="E30" s="99">
        <f>'0. Database'!F25</f>
        <v>9680</v>
      </c>
      <c r="F30" s="99">
        <f>'0. Database'!G25</f>
        <v>9860</v>
      </c>
      <c r="G30" s="99">
        <f>'0. Database'!H25</f>
        <v>10000</v>
      </c>
      <c r="H30" s="99">
        <f>'0. Database'!I25</f>
        <v>10080</v>
      </c>
      <c r="I30" s="99">
        <f>'0. Database'!J25</f>
        <v>10200</v>
      </c>
      <c r="J30" s="99">
        <f>'0. Database'!K25</f>
        <v>10300</v>
      </c>
      <c r="K30" s="99">
        <f>'0. Database'!L25</f>
        <v>10189</v>
      </c>
      <c r="L30" s="99">
        <f>'0. Database'!M25</f>
        <v>10492</v>
      </c>
      <c r="M30" s="99">
        <f>'0. Database'!N25</f>
        <v>10721</v>
      </c>
      <c r="N30" s="99">
        <f>'0. Database'!O25</f>
        <v>10827</v>
      </c>
      <c r="O30" s="99">
        <f>'0. Database'!P25</f>
        <v>10899.3092734652</v>
      </c>
      <c r="P30" s="99">
        <f>'0. Database'!Q25</f>
        <v>11005.6614096136</v>
      </c>
      <c r="Q30" s="99">
        <f>'0. Database'!R25</f>
        <v>11088.3890280209</v>
      </c>
      <c r="R30" s="99">
        <f>'0. Database'!S25</f>
        <v>11138.9560771978</v>
      </c>
      <c r="S30" s="99">
        <f>'0. Database'!T25</f>
        <v>11236.5278053244</v>
      </c>
    </row>
    <row r="31" ht="15" customHeight="1" spans="1:19">
      <c r="A31" s="98" t="s">
        <v>42</v>
      </c>
      <c r="B31" s="99">
        <f>'0. Database'!C40</f>
        <v>14739.0440187445</v>
      </c>
      <c r="C31" s="99">
        <f>'0. Database'!D40</f>
        <v>14839.96</v>
      </c>
      <c r="D31" s="99">
        <f>'0. Database'!E40</f>
        <v>14893.5</v>
      </c>
      <c r="E31" s="99">
        <f>'0. Database'!F40</f>
        <v>14951.3</v>
      </c>
      <c r="F31" s="99">
        <f>'0. Database'!G40</f>
        <v>15014.6</v>
      </c>
      <c r="G31" s="99">
        <f>'0. Database'!H40</f>
        <v>15002.98</v>
      </c>
      <c r="H31" s="99">
        <f>'0. Database'!I40</f>
        <v>14901.66</v>
      </c>
      <c r="I31" s="99">
        <f>'0. Database'!J40</f>
        <v>14664.2</v>
      </c>
      <c r="J31" s="99">
        <f>'0. Database'!K40</f>
        <v>14462.08</v>
      </c>
      <c r="K31" s="99">
        <f>'0. Database'!L40</f>
        <v>13159</v>
      </c>
      <c r="L31" s="99">
        <f>'0. Database'!M40</f>
        <v>12722</v>
      </c>
      <c r="M31" s="99">
        <f>'0. Database'!N40</f>
        <v>12447</v>
      </c>
      <c r="N31" s="99">
        <f>'0. Database'!O40</f>
        <v>12230</v>
      </c>
      <c r="O31" s="99">
        <f>'0. Database'!P40</f>
        <v>12208.5642860298</v>
      </c>
      <c r="P31" s="99">
        <f>'0. Database'!Q40</f>
        <v>12183.5533224121</v>
      </c>
      <c r="Q31" s="99">
        <f>'0. Database'!R40</f>
        <v>12276.5142259405</v>
      </c>
      <c r="R31" s="99">
        <f>'0. Database'!S40</f>
        <v>12322.3129116483</v>
      </c>
      <c r="S31" s="99">
        <f>'0. Database'!T40</f>
        <v>12302.5283151486</v>
      </c>
    </row>
    <row r="32" ht="15" customHeight="1" spans="1:19">
      <c r="A32" s="98" t="s">
        <v>48</v>
      </c>
      <c r="B32" s="99">
        <f>'0. Database'!C57</f>
        <v>2517</v>
      </c>
      <c r="C32" s="99">
        <f>'0. Database'!D57</f>
        <v>2664</v>
      </c>
      <c r="D32" s="99">
        <f>'0. Database'!E57</f>
        <v>2853</v>
      </c>
      <c r="E32" s="99">
        <f>'0. Database'!F57</f>
        <v>2925</v>
      </c>
      <c r="F32" s="99">
        <f>'0. Database'!G57</f>
        <v>2956</v>
      </c>
      <c r="G32" s="99">
        <f>'0. Database'!H57</f>
        <v>2921</v>
      </c>
      <c r="H32" s="99">
        <f>'0. Database'!I57</f>
        <v>2876</v>
      </c>
      <c r="I32" s="99">
        <f>'0. Database'!J57</f>
        <v>2888</v>
      </c>
      <c r="J32" s="99">
        <f>'0. Database'!K57</f>
        <v>2859</v>
      </c>
      <c r="K32" s="99">
        <f>'0. Database'!L57</f>
        <v>2702</v>
      </c>
      <c r="L32" s="99">
        <f>'0. Database'!M57</f>
        <v>2629</v>
      </c>
      <c r="M32" s="99">
        <f>'0. Database'!N57</f>
        <v>2614</v>
      </c>
      <c r="N32" s="99">
        <f>'0. Database'!O57</f>
        <v>2574</v>
      </c>
      <c r="O32" s="99">
        <f>'0. Database'!P57</f>
        <v>2561.93273191366</v>
      </c>
      <c r="P32" s="99">
        <f>'0. Database'!Q57</f>
        <v>2567.2625368922</v>
      </c>
      <c r="Q32" s="99">
        <f>'0. Database'!R57</f>
        <v>2587.27665605784</v>
      </c>
      <c r="R32" s="99">
        <f>'0. Database'!S57</f>
        <v>2607.03902201142</v>
      </c>
      <c r="S32" s="99">
        <f>'0. Database'!T57</f>
        <v>2611.42384003646</v>
      </c>
    </row>
    <row r="33" ht="15" customHeight="1" spans="1:19">
      <c r="A33" s="98" t="s">
        <v>55</v>
      </c>
      <c r="B33" s="99">
        <f>'0. Database'!C75</f>
        <v>4844</v>
      </c>
      <c r="C33" s="99">
        <f>'0. Database'!D75</f>
        <v>4604</v>
      </c>
      <c r="D33" s="99">
        <f>'0. Database'!E75</f>
        <v>4503</v>
      </c>
      <c r="E33" s="99">
        <f>'0. Database'!F75</f>
        <v>4305</v>
      </c>
      <c r="F33" s="99">
        <f>'0. Database'!G75</f>
        <v>4217</v>
      </c>
      <c r="G33" s="99">
        <f>'0. Database'!H75</f>
        <v>4238</v>
      </c>
      <c r="H33" s="99">
        <f>'0. Database'!I75</f>
        <v>3732</v>
      </c>
      <c r="I33" s="99">
        <f>'0. Database'!J75</f>
        <v>3294</v>
      </c>
      <c r="J33" s="99">
        <f>'0. Database'!K75</f>
        <v>3022</v>
      </c>
      <c r="K33" s="99">
        <f>'0. Database'!L75</f>
        <v>2786</v>
      </c>
      <c r="L33" s="99">
        <f>'0. Database'!M75</f>
        <v>2766</v>
      </c>
      <c r="M33" s="99">
        <f>'0. Database'!N75</f>
        <v>2823</v>
      </c>
      <c r="N33" s="99">
        <f>'0. Database'!O75</f>
        <v>2866</v>
      </c>
      <c r="O33" s="99">
        <f>'0. Database'!P75</f>
        <v>2920.24011673071</v>
      </c>
      <c r="P33" s="99">
        <f>'0. Database'!Q75</f>
        <v>2985.9047528322</v>
      </c>
      <c r="Q33" s="99">
        <f>'0. Database'!R75</f>
        <v>3029.65124901729</v>
      </c>
      <c r="R33" s="99">
        <f>'0. Database'!S75</f>
        <v>3070.18000642753</v>
      </c>
      <c r="S33" s="99">
        <f>'0. Database'!T75</f>
        <v>3102.73888167355</v>
      </c>
    </row>
    <row r="35" ht="15" customHeight="1" spans="1:1">
      <c r="A35" s="12" t="s">
        <v>100</v>
      </c>
    </row>
    <row r="36" ht="15" customHeight="1" spans="1:19">
      <c r="A36" s="14" t="s">
        <v>69</v>
      </c>
      <c r="B36" s="15" t="s">
        <v>3</v>
      </c>
      <c r="C36" s="15" t="s">
        <v>4</v>
      </c>
      <c r="D36" s="15" t="s">
        <v>5</v>
      </c>
      <c r="E36" s="15" t="s">
        <v>6</v>
      </c>
      <c r="F36" s="15" t="s">
        <v>7</v>
      </c>
      <c r="G36" s="15" t="s">
        <v>8</v>
      </c>
      <c r="H36" s="15" t="s">
        <v>9</v>
      </c>
      <c r="I36" s="15" t="s">
        <v>10</v>
      </c>
      <c r="J36" s="15" t="s">
        <v>11</v>
      </c>
      <c r="K36" s="15" t="s">
        <v>12</v>
      </c>
      <c r="L36" s="15" t="s">
        <v>13</v>
      </c>
      <c r="M36" s="15" t="s">
        <v>14</v>
      </c>
      <c r="N36" s="15" t="s">
        <v>15</v>
      </c>
      <c r="O36" s="15" t="s">
        <v>16</v>
      </c>
      <c r="P36" s="15" t="s">
        <v>17</v>
      </c>
      <c r="Q36" s="15" t="s">
        <v>18</v>
      </c>
      <c r="R36" s="15" t="s">
        <v>19</v>
      </c>
      <c r="S36" s="15" t="s">
        <v>20</v>
      </c>
    </row>
    <row r="37" ht="15" customHeight="1" spans="1:19">
      <c r="A37" s="98" t="s">
        <v>22</v>
      </c>
      <c r="B37" s="99">
        <f>'0. Database'!C10</f>
        <v>2197</v>
      </c>
      <c r="C37" s="99">
        <f>'0. Database'!D10</f>
        <v>2446</v>
      </c>
      <c r="D37" s="99">
        <f>'0. Database'!E10</f>
        <v>2574</v>
      </c>
      <c r="E37" s="99">
        <f>'0. Database'!F10</f>
        <v>2668</v>
      </c>
      <c r="F37" s="99">
        <f>'0. Database'!G10</f>
        <v>3266</v>
      </c>
      <c r="G37" s="99">
        <f>'0. Database'!H10</f>
        <v>3940</v>
      </c>
      <c r="H37" s="99">
        <f>'0. Database'!I10</f>
        <v>4652</v>
      </c>
      <c r="I37" s="99">
        <f>'0. Database'!J10</f>
        <v>5289</v>
      </c>
      <c r="J37" s="99">
        <f>'0. Database'!K10</f>
        <v>6118</v>
      </c>
      <c r="K37" s="99">
        <f>'0. Database'!L10</f>
        <v>7502</v>
      </c>
      <c r="L37" s="99">
        <f>'0. Database'!M10</f>
        <v>9611</v>
      </c>
      <c r="M37" s="99">
        <f>'0. Database'!N10</f>
        <v>10734</v>
      </c>
      <c r="N37" s="99">
        <f>'0. Database'!O10</f>
        <v>11974</v>
      </c>
      <c r="O37" s="99">
        <f>'0. Database'!P10</f>
        <v>12484.2737786546</v>
      </c>
      <c r="P37" s="99">
        <f>'0. Database'!Q10</f>
        <v>13833.1363367357</v>
      </c>
      <c r="Q37" s="99">
        <f>'0. Database'!R10</f>
        <v>15727.9951272309</v>
      </c>
      <c r="R37" s="99">
        <f>'0. Database'!S10</f>
        <v>19055.0017494453</v>
      </c>
      <c r="S37" s="99">
        <f>'0. Database'!T10</f>
        <v>21162.6603870297</v>
      </c>
    </row>
    <row r="38" ht="15" customHeight="1" spans="1:19">
      <c r="A38" s="98" t="s">
        <v>38</v>
      </c>
      <c r="B38" s="99">
        <f>'0. Database'!C26</f>
        <v>1056</v>
      </c>
      <c r="C38" s="99">
        <f>'0. Database'!D26</f>
        <v>1491</v>
      </c>
      <c r="D38" s="99">
        <f>'0. Database'!E26</f>
        <v>2119</v>
      </c>
      <c r="E38" s="99">
        <f>'0. Database'!F26</f>
        <v>2975</v>
      </c>
      <c r="F38" s="99">
        <f>'0. Database'!G26</f>
        <v>4215</v>
      </c>
      <c r="G38" s="99">
        <f>'0. Database'!H26</f>
        <v>5418</v>
      </c>
      <c r="H38" s="99">
        <f>'0. Database'!I26</f>
        <v>6864</v>
      </c>
      <c r="I38" s="99">
        <f>'0. Database'!J26</f>
        <v>9208</v>
      </c>
      <c r="J38" s="99">
        <f>'0. Database'!K26</f>
        <v>12757</v>
      </c>
      <c r="K38" s="99">
        <f>'0. Database'!L26</f>
        <v>19621</v>
      </c>
      <c r="L38" s="99">
        <f>'0. Database'!M26</f>
        <v>24023</v>
      </c>
      <c r="M38" s="99">
        <f>'0. Database'!N26</f>
        <v>22011</v>
      </c>
      <c r="N38" s="99">
        <f>'0. Database'!O26</f>
        <v>19467</v>
      </c>
      <c r="O38" s="99">
        <f>'0. Database'!P26</f>
        <v>19792.5781332109</v>
      </c>
      <c r="P38" s="99">
        <f>'0. Database'!Q26</f>
        <v>22146.495057643</v>
      </c>
      <c r="Q38" s="99">
        <f>'0. Database'!R26</f>
        <v>24906.4766863686</v>
      </c>
      <c r="R38" s="99">
        <f>'0. Database'!S26</f>
        <v>28060.9258066145</v>
      </c>
      <c r="S38" s="99">
        <f>'0. Database'!T26</f>
        <v>31047.3943224294</v>
      </c>
    </row>
    <row r="39" ht="15" customHeight="1" spans="1:19">
      <c r="A39" s="98" t="s">
        <v>42</v>
      </c>
      <c r="B39" s="99">
        <f>'0. Database'!C41</f>
        <v>-3268</v>
      </c>
      <c r="C39" s="99">
        <f>'0. Database'!D41</f>
        <v>-4175</v>
      </c>
      <c r="D39" s="99">
        <f>'0. Database'!E41</f>
        <v>-4903</v>
      </c>
      <c r="E39" s="99">
        <f>'0. Database'!F41</f>
        <v>-6703</v>
      </c>
      <c r="F39" s="99">
        <f>'0. Database'!G41</f>
        <v>-7679</v>
      </c>
      <c r="G39" s="99">
        <f>'0. Database'!H41</f>
        <v>-9353</v>
      </c>
      <c r="H39" s="99">
        <f>'0. Database'!I41</f>
        <v>-10794</v>
      </c>
      <c r="I39" s="99">
        <f>'0. Database'!J41</f>
        <v>-12991</v>
      </c>
      <c r="J39" s="99">
        <f>'0. Database'!K41</f>
        <v>-15376</v>
      </c>
      <c r="K39" s="99">
        <f>'0. Database'!L41</f>
        <v>-19362</v>
      </c>
      <c r="L39" s="99">
        <f>'0. Database'!M41</f>
        <v>-22460</v>
      </c>
      <c r="M39" s="99">
        <f>'0. Database'!N41</f>
        <v>-22785</v>
      </c>
      <c r="N39" s="99">
        <f>'0. Database'!O41</f>
        <v>-24953</v>
      </c>
      <c r="O39" s="99">
        <f>'0. Database'!P41</f>
        <v>-27937.33</v>
      </c>
      <c r="P39" s="99">
        <f>'0. Database'!Q41</f>
        <v>-30032.63</v>
      </c>
      <c r="Q39" s="99">
        <f>'0. Database'!R41</f>
        <v>-31979.73</v>
      </c>
      <c r="R39" s="99">
        <f>'0. Database'!S41</f>
        <v>-33657.1</v>
      </c>
      <c r="S39" s="99">
        <f>'0. Database'!T41</f>
        <v>-35339.95</v>
      </c>
    </row>
    <row r="40" ht="15" customHeight="1" spans="1:19">
      <c r="A40" s="98" t="s">
        <v>48</v>
      </c>
      <c r="B40" s="99">
        <f>'0. Database'!C58</f>
        <v>-906</v>
      </c>
      <c r="C40" s="99">
        <f>'0. Database'!D58</f>
        <v>-1837</v>
      </c>
      <c r="D40" s="99">
        <f>'0. Database'!E58</f>
        <v>-2969</v>
      </c>
      <c r="E40" s="99">
        <f>'0. Database'!F58</f>
        <v>-3202</v>
      </c>
      <c r="F40" s="99">
        <f>'0. Database'!G58</f>
        <v>-3723</v>
      </c>
      <c r="G40" s="99">
        <f>'0. Database'!H58</f>
        <v>-4152</v>
      </c>
      <c r="H40" s="99">
        <f>'0. Database'!I58</f>
        <v>-4835</v>
      </c>
      <c r="I40" s="99">
        <f>'0. Database'!J58</f>
        <v>-6536</v>
      </c>
      <c r="J40" s="99">
        <f>'0. Database'!K58</f>
        <v>-9163</v>
      </c>
      <c r="K40" s="99">
        <f>'0. Database'!L58</f>
        <v>-11991</v>
      </c>
      <c r="L40" s="99">
        <f>'0. Database'!M58</f>
        <v>-14027</v>
      </c>
      <c r="M40" s="99">
        <f>'0. Database'!N58</f>
        <v>-16690</v>
      </c>
      <c r="N40" s="99">
        <f>'0. Database'!O58</f>
        <v>-20426</v>
      </c>
      <c r="O40" s="99">
        <f>'0. Database'!P58</f>
        <v>-23722.2</v>
      </c>
      <c r="P40" s="99">
        <f>'0. Database'!Q58</f>
        <v>-24908.31</v>
      </c>
      <c r="Q40" s="99">
        <f>'0. Database'!R58</f>
        <v>-26153.73</v>
      </c>
      <c r="R40" s="99">
        <f>'0. Database'!S58</f>
        <v>-27461.41</v>
      </c>
      <c r="S40" s="99">
        <f>'0. Database'!T58</f>
        <v>-28834.48</v>
      </c>
    </row>
    <row r="41" ht="15" customHeight="1" spans="1:19">
      <c r="A41" s="98" t="s">
        <v>55</v>
      </c>
      <c r="B41" s="99">
        <f>'0. Database'!C76</f>
        <v>755</v>
      </c>
      <c r="C41" s="99">
        <f>'0. Database'!D76</f>
        <v>805</v>
      </c>
      <c r="D41" s="99">
        <f>'0. Database'!E76</f>
        <v>933</v>
      </c>
      <c r="E41" s="99">
        <f>'0. Database'!F76</f>
        <v>1037</v>
      </c>
      <c r="F41" s="99">
        <f>'0. Database'!G76</f>
        <v>1350</v>
      </c>
      <c r="G41" s="99">
        <f>'0. Database'!H76</f>
        <v>1607</v>
      </c>
      <c r="H41" s="99">
        <f>'0. Database'!I76</f>
        <v>1653</v>
      </c>
      <c r="I41" s="99">
        <f>'0. Database'!J76</f>
        <v>1590</v>
      </c>
      <c r="J41" s="99">
        <f>'0. Database'!K76</f>
        <v>1837</v>
      </c>
      <c r="K41" s="99">
        <f>'0. Database'!L76</f>
        <v>2613</v>
      </c>
      <c r="L41" s="99">
        <f>'0. Database'!M76</f>
        <v>3547</v>
      </c>
      <c r="M41" s="99">
        <f>'0. Database'!N76</f>
        <v>3974</v>
      </c>
      <c r="N41" s="99">
        <f>'0. Database'!O76</f>
        <v>4674</v>
      </c>
      <c r="O41" s="99">
        <f>'0. Database'!P76</f>
        <v>5069.6</v>
      </c>
      <c r="P41" s="99">
        <f>'0. Database'!Q76</f>
        <v>6473.15</v>
      </c>
      <c r="Q41" s="99">
        <f>'0. Database'!R76</f>
        <v>8609.75</v>
      </c>
      <c r="R41" s="99">
        <f>'0. Database'!S76</f>
        <v>10649.61</v>
      </c>
      <c r="S41" s="99">
        <f>'0. Database'!T76</f>
        <v>11212.32</v>
      </c>
    </row>
    <row r="43" ht="15" customHeight="1" spans="1:1">
      <c r="A43" s="12" t="s">
        <v>89</v>
      </c>
    </row>
    <row r="44" ht="15" customHeight="1" spans="1:19">
      <c r="A44" s="14" t="s">
        <v>69</v>
      </c>
      <c r="B44" s="15" t="s">
        <v>3</v>
      </c>
      <c r="C44" s="15" t="s">
        <v>4</v>
      </c>
      <c r="D44" s="15" t="s">
        <v>5</v>
      </c>
      <c r="E44" s="15" t="s">
        <v>6</v>
      </c>
      <c r="F44" s="15" t="s">
        <v>7</v>
      </c>
      <c r="G44" s="15" t="s">
        <v>8</v>
      </c>
      <c r="H44" s="15" t="s">
        <v>9</v>
      </c>
      <c r="I44" s="15" t="s">
        <v>10</v>
      </c>
      <c r="J44" s="15" t="s">
        <v>11</v>
      </c>
      <c r="K44" s="15" t="s">
        <v>12</v>
      </c>
      <c r="L44" s="15" t="s">
        <v>13</v>
      </c>
      <c r="M44" s="15" t="s">
        <v>14</v>
      </c>
      <c r="N44" s="15" t="s">
        <v>15</v>
      </c>
      <c r="O44" s="15" t="s">
        <v>16</v>
      </c>
      <c r="P44" s="15" t="s">
        <v>17</v>
      </c>
      <c r="Q44" s="15" t="s">
        <v>18</v>
      </c>
      <c r="R44" s="15" t="s">
        <v>19</v>
      </c>
      <c r="S44" s="15" t="s">
        <v>20</v>
      </c>
    </row>
    <row r="45" ht="15" customHeight="1" spans="1:19">
      <c r="A45" s="98" t="s">
        <v>22</v>
      </c>
      <c r="B45" s="99">
        <f>'0. Database'!C5</f>
        <v>77849</v>
      </c>
      <c r="C45" s="99">
        <f>'0. Database'!D5</f>
        <v>86833</v>
      </c>
      <c r="D45" s="99">
        <f>'0. Database'!E5</f>
        <v>93580</v>
      </c>
      <c r="E45" s="99">
        <f>'0. Database'!F5</f>
        <v>91154</v>
      </c>
      <c r="F45" s="99">
        <f>'0. Database'!G5</f>
        <v>96571</v>
      </c>
      <c r="G45" s="99">
        <f>'0. Database'!H5</f>
        <v>110360</v>
      </c>
      <c r="H45" s="99">
        <f>'0. Database'!I5</f>
        <v>125843</v>
      </c>
      <c r="I45" s="99">
        <f>'0. Database'!J5</f>
        <v>143015</v>
      </c>
      <c r="J45" s="99">
        <f>'0. Database'!K5</f>
        <v>168088</v>
      </c>
      <c r="K45" s="99">
        <f>'0. Database'!L5</f>
        <v>198270</v>
      </c>
      <c r="L45" s="99">
        <f>'0. Database'!M5</f>
        <v>211915</v>
      </c>
      <c r="M45" s="99">
        <f>'0. Database'!N5</f>
        <v>245122</v>
      </c>
      <c r="N45" s="99">
        <f>'0. Database'!O5</f>
        <v>281724</v>
      </c>
      <c r="O45" s="99">
        <f>'0. Database'!P5</f>
        <v>319618.352346443</v>
      </c>
      <c r="P45" s="99">
        <f>'0. Database'!Q5</f>
        <v>373106.65121074</v>
      </c>
      <c r="Q45" s="99">
        <f>'0. Database'!R5</f>
        <v>445409.632709663</v>
      </c>
      <c r="R45" s="99">
        <f>'0. Database'!S5</f>
        <v>534000.031144246</v>
      </c>
      <c r="S45" s="99">
        <f>'0. Database'!T5</f>
        <v>628544.330275335</v>
      </c>
    </row>
    <row r="46" ht="15" customHeight="1" spans="1:19">
      <c r="A46" s="98" t="s">
        <v>38</v>
      </c>
      <c r="B46" s="99">
        <f>'0. Database'!C21</f>
        <v>41410</v>
      </c>
      <c r="C46" s="99">
        <f>'0. Database'!D21</f>
        <v>50834</v>
      </c>
      <c r="D46" s="99">
        <f>'0. Database'!E21</f>
        <v>63708</v>
      </c>
      <c r="E46" s="99">
        <f>'0. Database'!F21</f>
        <v>79785</v>
      </c>
      <c r="F46" s="99">
        <f>'0. Database'!G21</f>
        <v>106110</v>
      </c>
      <c r="G46" s="99">
        <f>'0. Database'!H21</f>
        <v>141366</v>
      </c>
      <c r="H46" s="99">
        <f>'0. Database'!I21</f>
        <v>170773</v>
      </c>
      <c r="I46" s="99">
        <f>'0. Database'!J21</f>
        <v>236282</v>
      </c>
      <c r="J46" s="99">
        <f>'0. Database'!K21</f>
        <v>279833</v>
      </c>
      <c r="K46" s="99">
        <f>'0. Database'!L21</f>
        <v>315880</v>
      </c>
      <c r="L46" s="99">
        <f>'0. Database'!M21</f>
        <v>352828</v>
      </c>
      <c r="M46" s="99">
        <f>'0. Database'!N21</f>
        <v>387497</v>
      </c>
      <c r="N46" s="99">
        <f>'0. Database'!O21</f>
        <v>426305</v>
      </c>
      <c r="O46" s="99">
        <f>'0. Database'!P21</f>
        <v>461081.718871665</v>
      </c>
      <c r="P46" s="99">
        <f>'0. Database'!Q21</f>
        <v>516677.030980667</v>
      </c>
      <c r="Q46" s="99">
        <f>'0. Database'!R21</f>
        <v>556072.426496916</v>
      </c>
      <c r="R46" s="99">
        <f>'0. Database'!S21</f>
        <v>599450.605497709</v>
      </c>
      <c r="S46" s="99">
        <f>'0. Database'!T21</f>
        <v>645470.672783422</v>
      </c>
    </row>
    <row r="47" ht="15" customHeight="1" spans="1:19">
      <c r="A47" s="98" t="s">
        <v>42</v>
      </c>
      <c r="B47" s="99">
        <f>'0. Database'!C36</f>
        <v>55519</v>
      </c>
      <c r="C47" s="99">
        <f>'0. Database'!D36</f>
        <v>66001</v>
      </c>
      <c r="D47" s="99">
        <f>'0. Database'!E36</f>
        <v>74989</v>
      </c>
      <c r="E47" s="99">
        <f>'0. Database'!F36</f>
        <v>90272</v>
      </c>
      <c r="F47" s="99">
        <f>'0. Database'!G36</f>
        <v>110855</v>
      </c>
      <c r="G47" s="99">
        <f>'0. Database'!H36</f>
        <v>136819</v>
      </c>
      <c r="H47" s="99">
        <f>'0. Database'!I36</f>
        <v>161857</v>
      </c>
      <c r="I47" s="99">
        <f>'0. Database'!J36</f>
        <v>182527</v>
      </c>
      <c r="J47" s="99">
        <f>'0. Database'!K36</f>
        <v>257637</v>
      </c>
      <c r="K47" s="99">
        <f>'0. Database'!L36</f>
        <v>282836</v>
      </c>
      <c r="L47" s="99">
        <f>'0. Database'!M36</f>
        <v>307394</v>
      </c>
      <c r="M47" s="99">
        <f>'0. Database'!N36</f>
        <v>350018</v>
      </c>
      <c r="N47" s="99">
        <f>'0. Database'!O36</f>
        <v>402836</v>
      </c>
      <c r="O47" s="99">
        <f>'0. Database'!P36</f>
        <v>486455.791246222</v>
      </c>
      <c r="P47" s="99">
        <f>'0. Database'!Q36</f>
        <v>578508.878663099</v>
      </c>
      <c r="Q47" s="99">
        <f>'0. Database'!R36</f>
        <v>684008.76561542</v>
      </c>
      <c r="R47" s="99">
        <f>'0. Database'!S36</f>
        <v>805409.013758559</v>
      </c>
      <c r="S47" s="99">
        <f>'0. Database'!T36</f>
        <v>941245.15705466</v>
      </c>
    </row>
    <row r="48" ht="15" customHeight="1" spans="1:19">
      <c r="A48" s="98" t="s">
        <v>48</v>
      </c>
      <c r="B48" s="99">
        <f>'0. Database'!C53</f>
        <v>7872</v>
      </c>
      <c r="C48" s="99">
        <f>'0. Database'!D53</f>
        <v>12466</v>
      </c>
      <c r="D48" s="99">
        <f>'0. Database'!E53</f>
        <v>17928</v>
      </c>
      <c r="E48" s="99">
        <f>'0. Database'!F53</f>
        <v>27638</v>
      </c>
      <c r="F48" s="99">
        <f>'0. Database'!G53</f>
        <v>40653</v>
      </c>
      <c r="G48" s="99">
        <f>'0. Database'!H53</f>
        <v>55838</v>
      </c>
      <c r="H48" s="99">
        <f>'0. Database'!I53</f>
        <v>70196</v>
      </c>
      <c r="I48" s="99">
        <f>'0. Database'!J53</f>
        <v>84826</v>
      </c>
      <c r="J48" s="99">
        <f>'0. Database'!K53</f>
        <v>115655</v>
      </c>
      <c r="K48" s="99">
        <f>'0. Database'!L53</f>
        <v>114450</v>
      </c>
      <c r="L48" s="99">
        <f>'0. Database'!M53</f>
        <v>133006</v>
      </c>
      <c r="M48" s="99">
        <f>'0. Database'!N53</f>
        <v>162355</v>
      </c>
      <c r="N48" s="99">
        <f>'0. Database'!O53</f>
        <v>198759</v>
      </c>
      <c r="O48" s="99">
        <f>'0. Database'!P53</f>
        <v>249809.411372193</v>
      </c>
      <c r="P48" s="99">
        <f>'0. Database'!Q53</f>
        <v>297686.364278316</v>
      </c>
      <c r="Q48" s="99">
        <f>'0. Database'!R53</f>
        <v>348303.465454697</v>
      </c>
      <c r="R48" s="99">
        <f>'0. Database'!S53</f>
        <v>397616.697876779</v>
      </c>
      <c r="S48" s="99">
        <f>'0. Database'!T53</f>
        <v>448874.017826186</v>
      </c>
    </row>
    <row r="49" ht="15" customHeight="1" spans="1:19">
      <c r="A49" s="98" t="s">
        <v>55</v>
      </c>
      <c r="B49" s="99">
        <f>'0. Database'!C71</f>
        <v>37180</v>
      </c>
      <c r="C49" s="99">
        <f>'0. Database'!D71</f>
        <v>38275</v>
      </c>
      <c r="D49" s="99">
        <f>'0. Database'!E71</f>
        <v>38226</v>
      </c>
      <c r="E49" s="99">
        <f>'0. Database'!F71</f>
        <v>37047</v>
      </c>
      <c r="F49" s="99">
        <f>'0. Database'!G71</f>
        <v>37728</v>
      </c>
      <c r="G49" s="99">
        <f>'0. Database'!H71</f>
        <v>39383</v>
      </c>
      <c r="H49" s="99">
        <f>'0. Database'!I71</f>
        <v>39506</v>
      </c>
      <c r="I49" s="99">
        <f>'0. Database'!J71</f>
        <v>39068</v>
      </c>
      <c r="J49" s="99">
        <f>'0. Database'!K71</f>
        <v>40479</v>
      </c>
      <c r="K49" s="99">
        <f>'0. Database'!L71</f>
        <v>42440</v>
      </c>
      <c r="L49" s="99">
        <f>'0. Database'!M71</f>
        <v>49954</v>
      </c>
      <c r="M49" s="99">
        <f>'0. Database'!N71</f>
        <v>52961</v>
      </c>
      <c r="N49" s="99">
        <f>'0. Database'!O71</f>
        <v>57399</v>
      </c>
      <c r="O49" s="99">
        <f>'0. Database'!P71</f>
        <v>67004.1763376629</v>
      </c>
      <c r="P49" s="99">
        <f>'0. Database'!Q71</f>
        <v>87762.5174380165</v>
      </c>
      <c r="Q49" s="99">
        <f>'0. Database'!R71</f>
        <v>131114.655649142</v>
      </c>
      <c r="R49" s="99">
        <f>'0. Database'!S71</f>
        <v>184457.800035541</v>
      </c>
      <c r="S49" s="99">
        <f>'0. Database'!T71</f>
        <v>223941.182821562</v>
      </c>
    </row>
    <row r="51" ht="15" customHeight="1" spans="1:1">
      <c r="A51" s="12" t="s">
        <v>101</v>
      </c>
    </row>
    <row r="52" ht="15" customHeight="1" spans="1:19">
      <c r="A52" s="14" t="s">
        <v>69</v>
      </c>
      <c r="B52" s="15" t="s">
        <v>3</v>
      </c>
      <c r="C52" s="15" t="s">
        <v>4</v>
      </c>
      <c r="D52" s="15" t="s">
        <v>5</v>
      </c>
      <c r="E52" s="15" t="s">
        <v>6</v>
      </c>
      <c r="F52" s="15" t="s">
        <v>7</v>
      </c>
      <c r="G52" s="15" t="s">
        <v>8</v>
      </c>
      <c r="H52" s="15" t="s">
        <v>9</v>
      </c>
      <c r="I52" s="15" t="s">
        <v>10</v>
      </c>
      <c r="J52" s="15" t="s">
        <v>11</v>
      </c>
      <c r="K52" s="15" t="s">
        <v>12</v>
      </c>
      <c r="L52" s="15" t="s">
        <v>13</v>
      </c>
      <c r="M52" s="15" t="s">
        <v>14</v>
      </c>
      <c r="N52" s="15" t="s">
        <v>15</v>
      </c>
      <c r="O52" s="15" t="s">
        <v>16</v>
      </c>
      <c r="P52" s="15" t="s">
        <v>17</v>
      </c>
      <c r="Q52" s="15" t="s">
        <v>18</v>
      </c>
      <c r="R52" s="15" t="s">
        <v>19</v>
      </c>
      <c r="S52" s="15" t="s">
        <v>20</v>
      </c>
    </row>
    <row r="53" ht="15" customHeight="1" spans="1:19">
      <c r="A53" s="98" t="s">
        <v>22</v>
      </c>
      <c r="B53" s="100">
        <f t="shared" ref="B53:S53" si="0">IFERROR(B5/B45,"")</f>
        <v>0.343793754576167</v>
      </c>
      <c r="C53" s="100">
        <f t="shared" si="0"/>
        <v>0.319682609146292</v>
      </c>
      <c r="D53" s="100">
        <f t="shared" si="0"/>
        <v>0.142754862150032</v>
      </c>
      <c r="E53" s="100">
        <f t="shared" si="0"/>
        <v>0.128968558702855</v>
      </c>
      <c r="F53" s="100">
        <f t="shared" si="0"/>
        <v>0.117933955328204</v>
      </c>
      <c r="G53" s="100">
        <f t="shared" si="0"/>
        <v>0.117107647698441</v>
      </c>
      <c r="H53" s="100">
        <f t="shared" si="0"/>
        <v>0.128882814300358</v>
      </c>
      <c r="I53" s="100">
        <f t="shared" si="0"/>
        <v>0.130923329720659</v>
      </c>
      <c r="J53" s="100">
        <f t="shared" si="0"/>
        <v>0.144870544000762</v>
      </c>
      <c r="K53" s="100">
        <f t="shared" si="0"/>
        <v>0.149730165935341</v>
      </c>
      <c r="L53" s="100">
        <f t="shared" si="0"/>
        <v>0.23629285326664</v>
      </c>
      <c r="M53" s="100">
        <f t="shared" si="0"/>
        <v>0.243393085891923</v>
      </c>
      <c r="N53" s="100">
        <f t="shared" si="0"/>
        <v>0.247664380741435</v>
      </c>
      <c r="O53" s="100">
        <f t="shared" si="0"/>
        <v>0.248864370321835</v>
      </c>
      <c r="P53" s="100">
        <f t="shared" si="0"/>
        <v>0.229502636101855</v>
      </c>
      <c r="Q53" s="100">
        <f t="shared" si="0"/>
        <v>0.156883697316778</v>
      </c>
      <c r="R53" s="100">
        <f t="shared" si="0"/>
        <v>0.189833865332898</v>
      </c>
      <c r="S53" s="100">
        <f t="shared" si="0"/>
        <v>0.172636176596275</v>
      </c>
    </row>
    <row r="54" ht="15" customHeight="1" spans="1:19">
      <c r="A54" s="98" t="s">
        <v>38</v>
      </c>
      <c r="B54" s="100">
        <f t="shared" ref="B54:S54" si="1">IFERROR(B6/B46,"")</f>
        <v>0.0162521130161797</v>
      </c>
      <c r="C54" s="100">
        <f t="shared" si="1"/>
        <v>0.00900971790533895</v>
      </c>
      <c r="D54" s="100">
        <f t="shared" si="1"/>
        <v>0.0236548000251146</v>
      </c>
      <c r="E54" s="100">
        <f t="shared" si="1"/>
        <v>0.0389546907313405</v>
      </c>
      <c r="F54" s="100">
        <f t="shared" si="1"/>
        <v>0.0408161342003581</v>
      </c>
      <c r="G54" s="100">
        <f t="shared" si="1"/>
        <v>0.0516107126183099</v>
      </c>
      <c r="H54" s="100">
        <f t="shared" si="1"/>
        <v>0.0538785405187003</v>
      </c>
      <c r="I54" s="100">
        <f t="shared" si="1"/>
        <v>0.0572663173665366</v>
      </c>
      <c r="J54" s="100">
        <f t="shared" si="1"/>
        <v>0.0662252128948337</v>
      </c>
      <c r="K54" s="100">
        <f t="shared" si="1"/>
        <v>0.0723091047233126</v>
      </c>
      <c r="L54" s="100">
        <f t="shared" si="1"/>
        <v>0.0698102191436054</v>
      </c>
      <c r="M54" s="100">
        <f t="shared" si="1"/>
        <v>0.102798215211989</v>
      </c>
      <c r="N54" s="100">
        <f t="shared" si="1"/>
        <v>0.10697974454909</v>
      </c>
      <c r="O54" s="100">
        <f t="shared" si="1"/>
        <v>0.127726707847187</v>
      </c>
      <c r="P54" s="100">
        <f t="shared" si="1"/>
        <v>0.147373108217093</v>
      </c>
      <c r="Q54" s="100">
        <f t="shared" si="1"/>
        <v>0.176905336989489</v>
      </c>
      <c r="R54" s="100">
        <f t="shared" si="1"/>
        <v>0.205739570314724</v>
      </c>
      <c r="S54" s="100">
        <f t="shared" si="1"/>
        <v>0.235665315891184</v>
      </c>
    </row>
    <row r="55" ht="15" customHeight="1" spans="1:19">
      <c r="A55" s="98" t="s">
        <v>42</v>
      </c>
      <c r="B55" s="100">
        <f t="shared" ref="B55:S55" si="2">IFERROR(B7/B47,"")</f>
        <v>0.29287271024334</v>
      </c>
      <c r="C55" s="100">
        <f t="shared" si="2"/>
        <v>0.287344131149528</v>
      </c>
      <c r="D55" s="100">
        <f t="shared" si="2"/>
        <v>0.310965608289216</v>
      </c>
      <c r="E55" s="100">
        <f t="shared" si="2"/>
        <v>0.299705334987593</v>
      </c>
      <c r="F55" s="100">
        <f t="shared" si="2"/>
        <v>0.292778855261377</v>
      </c>
      <c r="G55" s="100">
        <f t="shared" si="2"/>
        <v>0.315285157763176</v>
      </c>
      <c r="H55" s="100">
        <f t="shared" si="2"/>
        <v>0.30273018775833</v>
      </c>
      <c r="I55" s="100">
        <f t="shared" si="2"/>
        <v>0.299166698625409</v>
      </c>
      <c r="J55" s="100">
        <f t="shared" si="2"/>
        <v>0.356528759456134</v>
      </c>
      <c r="K55" s="100">
        <f t="shared" si="2"/>
        <v>0.292392057588143</v>
      </c>
      <c r="L55" s="100">
        <f t="shared" si="2"/>
        <v>0.311840829684379</v>
      </c>
      <c r="M55" s="100">
        <f t="shared" si="2"/>
        <v>0.346447896965299</v>
      </c>
      <c r="N55" s="100">
        <f t="shared" si="2"/>
        <v>0.346056459700722</v>
      </c>
      <c r="O55" s="100">
        <f t="shared" si="2"/>
        <v>0.341343885689201</v>
      </c>
      <c r="P55" s="100">
        <f t="shared" si="2"/>
        <v>0.325672166752897</v>
      </c>
      <c r="Q55" s="100">
        <f t="shared" si="2"/>
        <v>0.303334168259265</v>
      </c>
      <c r="R55" s="100">
        <f t="shared" si="2"/>
        <v>0.284571659969908</v>
      </c>
      <c r="S55" s="100">
        <f t="shared" si="2"/>
        <v>0.274826763315796</v>
      </c>
    </row>
    <row r="56" ht="15" customHeight="1" spans="1:19">
      <c r="A56" s="98" t="s">
        <v>48</v>
      </c>
      <c r="B56" s="100">
        <f t="shared" ref="B56:S56" si="3">IFERROR(B8/B48,"")</f>
        <v>0.35619918699187</v>
      </c>
      <c r="C56" s="100">
        <f t="shared" si="3"/>
        <v>0.400609658270496</v>
      </c>
      <c r="D56" s="100">
        <f t="shared" si="3"/>
        <v>0.347222222222222</v>
      </c>
      <c r="E56" s="100">
        <f t="shared" si="3"/>
        <v>0.449634561111513</v>
      </c>
      <c r="F56" s="100">
        <f t="shared" si="3"/>
        <v>0.496962093818414</v>
      </c>
      <c r="G56" s="100">
        <f t="shared" si="3"/>
        <v>0.446165693613668</v>
      </c>
      <c r="H56" s="100">
        <f t="shared" si="3"/>
        <v>0.341700381788136</v>
      </c>
      <c r="I56" s="100">
        <f t="shared" si="3"/>
        <v>0.385153137009879</v>
      </c>
      <c r="J56" s="100">
        <f t="shared" si="3"/>
        <v>0.404245384981194</v>
      </c>
      <c r="K56" s="100">
        <f t="shared" si="3"/>
        <v>0.252896461336828</v>
      </c>
      <c r="L56" s="100">
        <f t="shared" si="3"/>
        <v>0.351495421259191</v>
      </c>
      <c r="M56" s="100">
        <f t="shared" si="3"/>
        <v>0.427335160604847</v>
      </c>
      <c r="N56" s="100">
        <f t="shared" si="3"/>
        <v>0.418979769469559</v>
      </c>
      <c r="O56" s="100">
        <f t="shared" si="3"/>
        <v>0.351757405498234</v>
      </c>
      <c r="P56" s="100">
        <f t="shared" si="3"/>
        <v>0.343681164636708</v>
      </c>
      <c r="Q56" s="100">
        <f t="shared" si="3"/>
        <v>0.344239135459254</v>
      </c>
      <c r="R56" s="100">
        <f t="shared" si="3"/>
        <v>0.350873631230578</v>
      </c>
      <c r="S56" s="100">
        <f t="shared" si="3"/>
        <v>0.361019179226023</v>
      </c>
    </row>
    <row r="57" ht="15" customHeight="1" spans="1:19">
      <c r="A57" s="98" t="s">
        <v>55</v>
      </c>
      <c r="B57" s="100">
        <f t="shared" ref="B57:S57" si="4">IFERROR(B9/B49,"")</f>
        <v>0.394943518020441</v>
      </c>
      <c r="C57" s="100">
        <f t="shared" si="4"/>
        <v>0.385578053559765</v>
      </c>
      <c r="D57" s="100">
        <f t="shared" si="4"/>
        <v>0.36284204468163</v>
      </c>
      <c r="E57" s="100">
        <f t="shared" si="4"/>
        <v>0.340216481766405</v>
      </c>
      <c r="F57" s="100">
        <f t="shared" si="4"/>
        <v>0.336885072094996</v>
      </c>
      <c r="G57" s="100">
        <f t="shared" si="4"/>
        <v>0.336795063860041</v>
      </c>
      <c r="H57" s="100">
        <f t="shared" si="4"/>
        <v>0.342606186402066</v>
      </c>
      <c r="I57" s="100">
        <f t="shared" si="4"/>
        <v>0.355713115593324</v>
      </c>
      <c r="J57" s="100">
        <f t="shared" si="4"/>
        <v>0.375849205761012</v>
      </c>
      <c r="K57" s="100">
        <f t="shared" si="4"/>
        <v>0.257469368520264</v>
      </c>
      <c r="L57" s="100">
        <f t="shared" si="4"/>
        <v>0.262121151459343</v>
      </c>
      <c r="M57" s="100">
        <f t="shared" si="4"/>
        <v>0.289911444270312</v>
      </c>
      <c r="N57" s="100">
        <f t="shared" si="4"/>
        <v>0.307984459659576</v>
      </c>
      <c r="O57" s="100">
        <f t="shared" si="4"/>
        <v>0.290466073367134</v>
      </c>
      <c r="P57" s="100">
        <f t="shared" si="4"/>
        <v>0.240742752336407</v>
      </c>
      <c r="Q57" s="100">
        <f t="shared" si="4"/>
        <v>0.281668436050548</v>
      </c>
      <c r="R57" s="100">
        <f t="shared" si="4"/>
        <v>0.28764145506331</v>
      </c>
      <c r="S57" s="100">
        <f t="shared" si="4"/>
        <v>0.258785897572834</v>
      </c>
    </row>
    <row r="59" ht="15" customHeight="1" spans="1:1">
      <c r="A59" s="12" t="s">
        <v>102</v>
      </c>
    </row>
    <row r="60" ht="15" customHeight="1" spans="1:19">
      <c r="A60" s="14" t="s">
        <v>69</v>
      </c>
      <c r="B60" s="15" t="s">
        <v>3</v>
      </c>
      <c r="C60" s="15" t="s">
        <v>4</v>
      </c>
      <c r="D60" s="15" t="s">
        <v>5</v>
      </c>
      <c r="E60" s="15" t="s">
        <v>6</v>
      </c>
      <c r="F60" s="15" t="s">
        <v>7</v>
      </c>
      <c r="G60" s="15" t="s">
        <v>8</v>
      </c>
      <c r="H60" s="15" t="s">
        <v>9</v>
      </c>
      <c r="I60" s="15" t="s">
        <v>10</v>
      </c>
      <c r="J60" s="15" t="s">
        <v>11</v>
      </c>
      <c r="K60" s="15" t="s">
        <v>12</v>
      </c>
      <c r="L60" s="15" t="s">
        <v>13</v>
      </c>
      <c r="M60" s="15" t="s">
        <v>14</v>
      </c>
      <c r="N60" s="15" t="s">
        <v>15</v>
      </c>
      <c r="O60" s="15" t="s">
        <v>16</v>
      </c>
      <c r="P60" s="15" t="s">
        <v>17</v>
      </c>
      <c r="Q60" s="15" t="s">
        <v>18</v>
      </c>
      <c r="R60" s="15" t="s">
        <v>19</v>
      </c>
      <c r="S60" s="15" t="s">
        <v>20</v>
      </c>
    </row>
    <row r="61" ht="15" customHeight="1" spans="1:19">
      <c r="A61" s="98" t="s">
        <v>22</v>
      </c>
      <c r="B61" s="100">
        <f t="shared" ref="B61:S61" si="5">IFERROR(B13/B45,"")</f>
        <v>0.280838546416781</v>
      </c>
      <c r="C61" s="100">
        <f t="shared" si="5"/>
        <v>0.25421210829984</v>
      </c>
      <c r="D61" s="100">
        <f t="shared" si="5"/>
        <v>0.130294934815131</v>
      </c>
      <c r="E61" s="100">
        <f t="shared" si="5"/>
        <v>0.184281545516379</v>
      </c>
      <c r="F61" s="100">
        <f t="shared" si="5"/>
        <v>0.219569021756014</v>
      </c>
      <c r="G61" s="100">
        <f t="shared" si="5"/>
        <v>0.150154041319319</v>
      </c>
      <c r="H61" s="100">
        <f t="shared" si="5"/>
        <v>0.311817105440907</v>
      </c>
      <c r="I61" s="100">
        <f t="shared" si="5"/>
        <v>0.3096248645247</v>
      </c>
      <c r="J61" s="100">
        <f t="shared" si="5"/>
        <v>0.364517395649898</v>
      </c>
      <c r="K61" s="100">
        <f t="shared" si="5"/>
        <v>0.366863368134362</v>
      </c>
      <c r="L61" s="100">
        <f t="shared" si="5"/>
        <v>0.341462378783946</v>
      </c>
      <c r="M61" s="100">
        <f t="shared" si="5"/>
        <v>0.35955972944085</v>
      </c>
      <c r="N61" s="100">
        <f t="shared" si="5"/>
        <v>0.361460152489671</v>
      </c>
      <c r="O61" s="100">
        <f t="shared" si="5"/>
        <v>0.402897795030817</v>
      </c>
      <c r="P61" s="100">
        <f t="shared" si="5"/>
        <v>0.386199839498899</v>
      </c>
      <c r="Q61" s="100">
        <f t="shared" si="5"/>
        <v>0.382512775854261</v>
      </c>
      <c r="R61" s="100">
        <f t="shared" si="5"/>
        <v>0.371487689008045</v>
      </c>
      <c r="S61" s="100">
        <f t="shared" si="5"/>
        <v>0.367521412370084</v>
      </c>
    </row>
    <row r="62" ht="15" customHeight="1" spans="1:19">
      <c r="A62" s="98" t="s">
        <v>38</v>
      </c>
      <c r="B62" s="100">
        <f t="shared" ref="B62:S62" si="6">IFERROR(B14/B46,"")</f>
        <v>0.0066167592368993</v>
      </c>
      <c r="C62" s="100">
        <f t="shared" si="6"/>
        <v>-0.00474092143053862</v>
      </c>
      <c r="D62" s="100">
        <f t="shared" si="6"/>
        <v>0.00935518302254034</v>
      </c>
      <c r="E62" s="100">
        <f t="shared" si="6"/>
        <v>0.0297173654195651</v>
      </c>
      <c r="F62" s="100">
        <f t="shared" si="6"/>
        <v>0.0211478654226746</v>
      </c>
      <c r="G62" s="100">
        <f t="shared" si="6"/>
        <v>0.0712547571551858</v>
      </c>
      <c r="H62" s="100">
        <f t="shared" si="6"/>
        <v>0.0678561599316051</v>
      </c>
      <c r="I62" s="100">
        <f t="shared" si="6"/>
        <v>0.090277718996792</v>
      </c>
      <c r="J62" s="100">
        <f t="shared" si="6"/>
        <v>0.0859155281900276</v>
      </c>
      <c r="K62" s="100">
        <f t="shared" si="6"/>
        <v>0.0231448651386603</v>
      </c>
      <c r="L62" s="100">
        <f t="shared" si="6"/>
        <v>0.0844405772784473</v>
      </c>
      <c r="M62" s="100">
        <f t="shared" si="6"/>
        <v>0.152899248252245</v>
      </c>
      <c r="N62" s="100">
        <f t="shared" si="6"/>
        <v>0.18219349995895</v>
      </c>
      <c r="O62" s="100">
        <f t="shared" si="6"/>
        <v>0.206864348902467</v>
      </c>
      <c r="P62" s="100">
        <f t="shared" si="6"/>
        <v>0.21203996154007</v>
      </c>
      <c r="Q62" s="100">
        <f t="shared" si="6"/>
        <v>0.249180190800382</v>
      </c>
      <c r="R62" s="100">
        <f t="shared" si="6"/>
        <v>0.27153088419359</v>
      </c>
      <c r="S62" s="100">
        <f t="shared" si="6"/>
        <v>0.309254658525714</v>
      </c>
    </row>
    <row r="63" ht="15" customHeight="1" spans="1:19">
      <c r="A63" s="98" t="s">
        <v>42</v>
      </c>
      <c r="B63" s="100">
        <f t="shared" ref="B63:S63" si="7">IFERROR(B15/B47,"")</f>
        <v>0.219996757866676</v>
      </c>
      <c r="C63" s="100">
        <f t="shared" si="7"/>
        <v>0.211027105649914</v>
      </c>
      <c r="D63" s="100">
        <f t="shared" si="7"/>
        <v>0.211044286495353</v>
      </c>
      <c r="E63" s="100">
        <f t="shared" si="7"/>
        <v>0.215770116979794</v>
      </c>
      <c r="F63" s="100">
        <f t="shared" si="7"/>
        <v>0.203139235938839</v>
      </c>
      <c r="G63" s="100">
        <f t="shared" si="7"/>
        <v>0.224647161578436</v>
      </c>
      <c r="H63" s="100">
        <f t="shared" si="7"/>
        <v>0.200843954849033</v>
      </c>
      <c r="I63" s="100">
        <f t="shared" si="7"/>
        <v>0.220619415209805</v>
      </c>
      <c r="J63" s="100">
        <f t="shared" si="7"/>
        <v>0.295116772823779</v>
      </c>
      <c r="K63" s="100">
        <f t="shared" si="7"/>
        <v>0.21203807153262</v>
      </c>
      <c r="L63" s="100">
        <f t="shared" si="7"/>
        <v>0.240066494466385</v>
      </c>
      <c r="M63" s="100">
        <f t="shared" si="7"/>
        <v>0.28603671811164</v>
      </c>
      <c r="N63" s="100">
        <f t="shared" si="7"/>
        <v>0.328098779652265</v>
      </c>
      <c r="O63" s="100">
        <f t="shared" si="7"/>
        <v>0.3589490479493</v>
      </c>
      <c r="P63" s="100">
        <f t="shared" si="7"/>
        <v>0.311300796153695</v>
      </c>
      <c r="Q63" s="100">
        <f t="shared" si="7"/>
        <v>0.31051045787243</v>
      </c>
      <c r="R63" s="100">
        <f t="shared" si="7"/>
        <v>0.326749923129397</v>
      </c>
      <c r="S63" s="100">
        <f t="shared" si="7"/>
        <v>0.342106256515015</v>
      </c>
    </row>
    <row r="64" ht="15" customHeight="1" spans="1:19">
      <c r="A64" s="98" t="s">
        <v>48</v>
      </c>
      <c r="B64" s="100">
        <f t="shared" ref="B64:S64" si="8">IFERROR(B16/B48,"")</f>
        <v>0.189405487804878</v>
      </c>
      <c r="C64" s="100">
        <f t="shared" si="8"/>
        <v>0.234638215947377</v>
      </c>
      <c r="D64" s="100">
        <f t="shared" si="8"/>
        <v>0.204651941097724</v>
      </c>
      <c r="E64" s="100">
        <f t="shared" si="8"/>
        <v>0.368622910485563</v>
      </c>
      <c r="F64" s="100">
        <f t="shared" si="8"/>
        <v>0.4474454529801</v>
      </c>
      <c r="G64" s="100">
        <f t="shared" si="8"/>
        <v>0.396002722160536</v>
      </c>
      <c r="H64" s="100">
        <f t="shared" si="8"/>
        <v>0.263334093110719</v>
      </c>
      <c r="I64" s="100">
        <f t="shared" si="8"/>
        <v>0.343597481904133</v>
      </c>
      <c r="J64" s="100">
        <f t="shared" si="8"/>
        <v>0.340408974968657</v>
      </c>
      <c r="K64" s="100">
        <f t="shared" si="8"/>
        <v>0.202708606378331</v>
      </c>
      <c r="L64" s="100">
        <f t="shared" si="8"/>
        <v>0.293956663609161</v>
      </c>
      <c r="M64" s="100">
        <f t="shared" si="8"/>
        <v>0.384096578485418</v>
      </c>
      <c r="N64" s="100">
        <f t="shared" si="8"/>
        <v>0.304177420896664</v>
      </c>
      <c r="O64" s="100">
        <f t="shared" si="8"/>
        <v>0.335299485928169</v>
      </c>
      <c r="P64" s="100">
        <f t="shared" si="8"/>
        <v>0.301203955250694</v>
      </c>
      <c r="Q64" s="100">
        <f t="shared" si="8"/>
        <v>0.302447065732146</v>
      </c>
      <c r="R64" s="100">
        <f t="shared" si="8"/>
        <v>0.31697499293417</v>
      </c>
      <c r="S64" s="100">
        <f t="shared" si="8"/>
        <v>0.325381051697574</v>
      </c>
    </row>
    <row r="65" ht="15" customHeight="1" spans="1:19">
      <c r="A65" s="98" t="s">
        <v>55</v>
      </c>
      <c r="B65" s="100">
        <f t="shared" ref="B65:S65" si="9">IFERROR(B17/B49,"")</f>
        <v>0.293867670790748</v>
      </c>
      <c r="C65" s="100">
        <f t="shared" si="9"/>
        <v>0.286218158066623</v>
      </c>
      <c r="D65" s="100">
        <f t="shared" si="9"/>
        <v>0.259980118244127</v>
      </c>
      <c r="E65" s="100">
        <f t="shared" si="9"/>
        <v>0.240262369422625</v>
      </c>
      <c r="F65" s="100">
        <f t="shared" si="9"/>
        <v>0.247428965224767</v>
      </c>
      <c r="G65" s="100">
        <f t="shared" si="9"/>
        <v>0.0971231241906406</v>
      </c>
      <c r="H65" s="100">
        <f t="shared" si="9"/>
        <v>0.280539664861034</v>
      </c>
      <c r="I65" s="100">
        <f t="shared" si="9"/>
        <v>0.259419473738098</v>
      </c>
      <c r="J65" s="100">
        <f t="shared" si="9"/>
        <v>0.339583487734381</v>
      </c>
      <c r="K65" s="100">
        <f t="shared" si="9"/>
        <v>0.158270499528746</v>
      </c>
      <c r="L65" s="100">
        <f t="shared" si="9"/>
        <v>0.17021659927133</v>
      </c>
      <c r="M65" s="100">
        <f t="shared" si="9"/>
        <v>0.197635996299164</v>
      </c>
      <c r="N65" s="100">
        <f t="shared" si="9"/>
        <v>0.216780780152964</v>
      </c>
      <c r="O65" s="100">
        <f t="shared" si="9"/>
        <v>0.256716219252452</v>
      </c>
      <c r="P65" s="100">
        <f t="shared" si="9"/>
        <v>0.215622668853581</v>
      </c>
      <c r="Q65" s="100">
        <f t="shared" si="9"/>
        <v>0.203992030449734</v>
      </c>
      <c r="R65" s="100">
        <f t="shared" si="9"/>
        <v>0.21438948362379</v>
      </c>
      <c r="S65" s="100">
        <f t="shared" si="9"/>
        <v>0.232026400914695</v>
      </c>
    </row>
    <row r="67" ht="15" customHeight="1" spans="1:1">
      <c r="A67" s="12" t="s">
        <v>103</v>
      </c>
    </row>
    <row r="68" ht="15" customHeight="1" spans="1:19">
      <c r="A68" s="14" t="s">
        <v>69</v>
      </c>
      <c r="B68" s="15" t="s">
        <v>3</v>
      </c>
      <c r="C68" s="15" t="s">
        <v>4</v>
      </c>
      <c r="D68" s="15" t="s">
        <v>5</v>
      </c>
      <c r="E68" s="15" t="s">
        <v>6</v>
      </c>
      <c r="F68" s="15" t="s">
        <v>7</v>
      </c>
      <c r="G68" s="15" t="s">
        <v>8</v>
      </c>
      <c r="H68" s="15" t="s">
        <v>9</v>
      </c>
      <c r="I68" s="15" t="s">
        <v>10</v>
      </c>
      <c r="J68" s="15" t="s">
        <v>11</v>
      </c>
      <c r="K68" s="15" t="s">
        <v>12</v>
      </c>
      <c r="L68" s="15" t="s">
        <v>13</v>
      </c>
      <c r="M68" s="15" t="s">
        <v>14</v>
      </c>
      <c r="N68" s="15" t="s">
        <v>15</v>
      </c>
      <c r="O68" s="15" t="s">
        <v>16</v>
      </c>
      <c r="P68" s="15" t="s">
        <v>17</v>
      </c>
      <c r="Q68" s="15" t="s">
        <v>18</v>
      </c>
      <c r="R68" s="15" t="s">
        <v>19</v>
      </c>
      <c r="S68" s="15" t="s">
        <v>20</v>
      </c>
    </row>
    <row r="69" ht="15" customHeight="1" spans="1:19">
      <c r="A69" s="98" t="s">
        <v>22</v>
      </c>
      <c r="B69" s="101"/>
      <c r="C69" s="100">
        <f t="shared" ref="C69:S69" si="10">IFERROR(C21/B21-1,"")</f>
        <v>0.0193798449612403</v>
      </c>
      <c r="D69" s="100">
        <f t="shared" si="10"/>
        <v>-0.437262357414449</v>
      </c>
      <c r="E69" s="100">
        <f t="shared" si="10"/>
        <v>0.418918918918919</v>
      </c>
      <c r="F69" s="100">
        <f t="shared" si="10"/>
        <v>0.29047619047619</v>
      </c>
      <c r="G69" s="100">
        <f t="shared" si="10"/>
        <v>-0.214022140221402</v>
      </c>
      <c r="H69" s="100">
        <f t="shared" si="10"/>
        <v>1.37558685446009</v>
      </c>
      <c r="I69" s="100">
        <f t="shared" si="10"/>
        <v>0.138339920948617</v>
      </c>
      <c r="J69" s="100">
        <f t="shared" si="10"/>
        <v>0.397569444444445</v>
      </c>
      <c r="K69" s="100">
        <f t="shared" si="10"/>
        <v>0.198757763975155</v>
      </c>
      <c r="L69" s="100">
        <f t="shared" si="10"/>
        <v>0.00310880829015536</v>
      </c>
      <c r="M69" s="100">
        <f t="shared" si="10"/>
        <v>0.21900826446281</v>
      </c>
      <c r="N69" s="100">
        <f t="shared" si="10"/>
        <v>0.15593220338983</v>
      </c>
      <c r="O69" s="100">
        <f t="shared" si="10"/>
        <v>0.266911045943304</v>
      </c>
      <c r="P69" s="100">
        <f t="shared" si="10"/>
        <v>0.123633898604</v>
      </c>
      <c r="Q69" s="100">
        <f t="shared" si="10"/>
        <v>0.174722876201687</v>
      </c>
      <c r="R69" s="100">
        <f t="shared" si="10"/>
        <v>0.183568824157127</v>
      </c>
      <c r="S69" s="100">
        <f t="shared" si="10"/>
        <v>0.166521825849099</v>
      </c>
    </row>
    <row r="70" ht="15" customHeight="1" spans="1:19">
      <c r="A70" s="98" t="s">
        <v>38</v>
      </c>
      <c r="B70" s="101"/>
      <c r="C70" s="100">
        <f t="shared" ref="C70:S70" si="11">IFERROR(C22/B22-1,"")</f>
        <v>-1.88135593220339</v>
      </c>
      <c r="D70" s="100">
        <f t="shared" si="11"/>
        <v>-3.40384615384615</v>
      </c>
      <c r="E70" s="100">
        <f t="shared" si="11"/>
        <v>2.92</v>
      </c>
      <c r="F70" s="100">
        <f t="shared" si="11"/>
        <v>-0.0714285714285714</v>
      </c>
      <c r="G70" s="100">
        <f t="shared" si="11"/>
        <v>3.42637362637363</v>
      </c>
      <c r="H70" s="100">
        <f t="shared" si="11"/>
        <v>0.142502482621649</v>
      </c>
      <c r="I70" s="100">
        <f t="shared" si="11"/>
        <v>0.817905258583224</v>
      </c>
      <c r="J70" s="100">
        <f t="shared" si="11"/>
        <v>0.116029046139135</v>
      </c>
      <c r="K70" s="100">
        <f t="shared" si="11"/>
        <v>-0.692594138463712</v>
      </c>
      <c r="L70" s="100">
        <f t="shared" si="11"/>
        <v>2.95740440589292</v>
      </c>
      <c r="M70" s="100">
        <f t="shared" si="11"/>
        <v>0.947462874948232</v>
      </c>
      <c r="N70" s="100">
        <f t="shared" si="11"/>
        <v>0.296564195298372</v>
      </c>
      <c r="O70" s="100">
        <f t="shared" si="11"/>
        <v>0.22638653965993</v>
      </c>
      <c r="P70" s="100">
        <f t="shared" si="11"/>
        <v>0.140448474289936</v>
      </c>
      <c r="Q70" s="100">
        <f t="shared" si="11"/>
        <v>0.287930378025567</v>
      </c>
      <c r="R70" s="100">
        <f t="shared" si="11"/>
        <v>0.110496397591076</v>
      </c>
      <c r="S70" s="100">
        <f t="shared" si="11"/>
        <v>0.19456592930637</v>
      </c>
    </row>
    <row r="71" ht="15" customHeight="1" spans="1:19">
      <c r="A71" s="98" t="s">
        <v>42</v>
      </c>
      <c r="B71" s="101"/>
      <c r="C71" s="100">
        <f t="shared" ref="C71:S71" si="12">IFERROR(C23/B23-1,"")</f>
        <v>0.124549237170597</v>
      </c>
      <c r="D71" s="100">
        <f t="shared" si="12"/>
        <v>0.126788357178095</v>
      </c>
      <c r="E71" s="100">
        <f t="shared" si="12"/>
        <v>0.219352014010508</v>
      </c>
      <c r="F71" s="100">
        <f t="shared" si="12"/>
        <v>0.149371633752244</v>
      </c>
      <c r="G71" s="100">
        <f t="shared" si="12"/>
        <v>0.365198375507654</v>
      </c>
      <c r="H71" s="100">
        <f t="shared" si="12"/>
        <v>0.0647597254004575</v>
      </c>
      <c r="I71" s="100">
        <f t="shared" si="12"/>
        <v>0.259617451106813</v>
      </c>
      <c r="J71" s="100">
        <f t="shared" si="12"/>
        <v>0.914349087186487</v>
      </c>
      <c r="K71" s="100">
        <f t="shared" si="12"/>
        <v>-0.18716577540107</v>
      </c>
      <c r="L71" s="100">
        <f t="shared" si="12"/>
        <v>0.271929824561404</v>
      </c>
      <c r="M71" s="100">
        <f t="shared" si="12"/>
        <v>0.386206896551724</v>
      </c>
      <c r="N71" s="100">
        <f t="shared" si="12"/>
        <v>0.34452736318408</v>
      </c>
      <c r="O71" s="100">
        <f t="shared" si="12"/>
        <v>0.312370410539408</v>
      </c>
      <c r="P71" s="100">
        <f t="shared" si="12"/>
        <v>0.0354751285198669</v>
      </c>
      <c r="Q71" s="100">
        <f t="shared" si="12"/>
        <v>0.181405615033935</v>
      </c>
      <c r="R71" s="100">
        <f t="shared" si="12"/>
        <v>0.224326447940493</v>
      </c>
      <c r="S71" s="100">
        <f t="shared" si="12"/>
        <v>0.225325408777969</v>
      </c>
    </row>
    <row r="72" ht="15" customHeight="1" spans="1:19">
      <c r="A72" s="98" t="s">
        <v>48</v>
      </c>
      <c r="B72" s="101"/>
      <c r="C72" s="100">
        <f t="shared" ref="C72:S72" si="13">IFERROR(C24/B24-1,"")</f>
        <v>0.833333333333333</v>
      </c>
      <c r="D72" s="100">
        <f t="shared" si="13"/>
        <v>0.172727272727273</v>
      </c>
      <c r="E72" s="100">
        <f t="shared" si="13"/>
        <v>1.70542635658915</v>
      </c>
      <c r="F72" s="100">
        <f t="shared" si="13"/>
        <v>0.765042979942693</v>
      </c>
      <c r="G72" s="100">
        <f t="shared" si="13"/>
        <v>0.228896103896104</v>
      </c>
      <c r="H72" s="100">
        <f t="shared" si="13"/>
        <v>0.130779392338177</v>
      </c>
      <c r="I72" s="100">
        <f t="shared" si="13"/>
        <v>0.142523364485981</v>
      </c>
      <c r="J72" s="100">
        <f t="shared" si="13"/>
        <v>0.407975460122699</v>
      </c>
      <c r="K72" s="100">
        <f t="shared" si="13"/>
        <v>-0.376180101670298</v>
      </c>
      <c r="L72" s="100">
        <f t="shared" si="13"/>
        <v>0.731082654249127</v>
      </c>
      <c r="M72" s="100">
        <f t="shared" si="13"/>
        <v>0.604572965702757</v>
      </c>
      <c r="N72" s="100">
        <f t="shared" si="13"/>
        <v>-0.0155071248952222</v>
      </c>
      <c r="O72" s="100">
        <f t="shared" si="13"/>
        <v>0.370802949779591</v>
      </c>
      <c r="P72" s="100">
        <f t="shared" si="13"/>
        <v>0.0839718311317972</v>
      </c>
      <c r="Q72" s="100">
        <f t="shared" si="13"/>
        <v>0.160299335385771</v>
      </c>
      <c r="R72" s="100">
        <f t="shared" si="13"/>
        <v>0.200605676950505</v>
      </c>
      <c r="S72" s="100">
        <f t="shared" si="13"/>
        <v>0.17220768812001</v>
      </c>
    </row>
    <row r="73" ht="15" customHeight="1" spans="1:19">
      <c r="A73" s="98" t="s">
        <v>55</v>
      </c>
      <c r="B73" s="101"/>
      <c r="C73" s="100">
        <f t="shared" ref="C73:S73" si="14">IFERROR(C25/B25-1,"")</f>
        <v>0.0530973451327434</v>
      </c>
      <c r="D73" s="100">
        <f t="shared" si="14"/>
        <v>-0.0714285714285714</v>
      </c>
      <c r="E73" s="100">
        <f t="shared" si="14"/>
        <v>-0.0633484162895929</v>
      </c>
      <c r="F73" s="100">
        <f t="shared" si="14"/>
        <v>0.067632850241546</v>
      </c>
      <c r="G73" s="100">
        <f t="shared" si="14"/>
        <v>-0.592760180995475</v>
      </c>
      <c r="H73" s="100">
        <f t="shared" si="14"/>
        <v>2.3</v>
      </c>
      <c r="I73" s="100">
        <f t="shared" si="14"/>
        <v>0.037037037037037</v>
      </c>
      <c r="J73" s="100">
        <f t="shared" si="14"/>
        <v>0.477272727272727</v>
      </c>
      <c r="K73" s="100">
        <f t="shared" si="14"/>
        <v>-0.47032967032967</v>
      </c>
      <c r="L73" s="100">
        <f t="shared" si="14"/>
        <v>0.273858921161826</v>
      </c>
      <c r="M73" s="100">
        <f t="shared" si="14"/>
        <v>0.208469055374593</v>
      </c>
      <c r="N73" s="100">
        <f t="shared" si="14"/>
        <v>0.169811320754717</v>
      </c>
      <c r="O73" s="100">
        <f t="shared" si="14"/>
        <v>0.347554630593131</v>
      </c>
      <c r="P73" s="100">
        <f t="shared" si="14"/>
        <v>0.0705943188086051</v>
      </c>
      <c r="Q73" s="100">
        <f t="shared" si="14"/>
        <v>0.403991334117108</v>
      </c>
      <c r="R73" s="100">
        <f t="shared" si="14"/>
        <v>0.466813250473984</v>
      </c>
      <c r="S73" s="100">
        <f t="shared" si="14"/>
        <v>0.299481362997431</v>
      </c>
    </row>
  </sheetData>
  <mergeCells count="10">
    <mergeCell ref="A1:S1"/>
    <mergeCell ref="A3:S3"/>
    <mergeCell ref="A11:S11"/>
    <mergeCell ref="A19:S19"/>
    <mergeCell ref="A27:S27"/>
    <mergeCell ref="A35:S35"/>
    <mergeCell ref="A43:S43"/>
    <mergeCell ref="A51:S51"/>
    <mergeCell ref="A59:S59"/>
    <mergeCell ref="A67:S67"/>
  </mergeCells>
  <conditionalFormatting sqref="B53:S57">
    <cfRule type="colorScale" priority="2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conditionalFormatting sqref="B61:S65">
    <cfRule type="colorScale" priority="3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conditionalFormatting sqref="B69:S73">
    <cfRule type="colorScale" priority="4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pageMargins left="0.75" right="0.75" top="1" bottom="1" header="0.511805555555556" footer="0.511805555555556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62"/>
  <sheetViews>
    <sheetView showGridLines="0" zoomScale="125" zoomScaleNormal="125" workbookViewId="0">
      <selection activeCell="K28" sqref="K28"/>
    </sheetView>
  </sheetViews>
  <sheetFormatPr defaultColWidth="8.6796875" defaultRowHeight="14"/>
  <cols>
    <col min="1" max="1" width="32" customWidth="1"/>
    <col min="2" max="17" width="11" customWidth="1"/>
  </cols>
  <sheetData>
    <row r="1" ht="25.5" customHeight="1" spans="1:1">
      <c r="A1" s="11" t="s">
        <v>104</v>
      </c>
    </row>
    <row r="2" ht="13" customHeight="1"/>
    <row r="4" ht="15" customHeight="1" spans="1:1">
      <c r="A4" s="12" t="s">
        <v>105</v>
      </c>
    </row>
    <row r="5" ht="39.75" customHeight="1" spans="1:8">
      <c r="A5" s="76" t="s">
        <v>69</v>
      </c>
      <c r="B5" s="77" t="s">
        <v>106</v>
      </c>
      <c r="C5" s="76" t="s">
        <v>107</v>
      </c>
      <c r="D5" s="77" t="s">
        <v>108</v>
      </c>
      <c r="E5" s="76" t="s">
        <v>109</v>
      </c>
      <c r="F5" s="76" t="s">
        <v>110</v>
      </c>
      <c r="G5" s="76" t="s">
        <v>111</v>
      </c>
      <c r="H5" s="76" t="s">
        <v>112</v>
      </c>
    </row>
    <row r="6" ht="36" customHeight="1" spans="1:8">
      <c r="A6" s="78" t="s">
        <v>22</v>
      </c>
      <c r="B6" s="79">
        <v>0.59</v>
      </c>
      <c r="C6" s="80" t="s">
        <v>113</v>
      </c>
      <c r="D6" s="81">
        <v>6</v>
      </c>
      <c r="E6" s="79">
        <v>0.34</v>
      </c>
      <c r="F6" s="81">
        <v>15</v>
      </c>
      <c r="G6" s="79">
        <v>0.07</v>
      </c>
      <c r="H6" s="81">
        <v>10</v>
      </c>
    </row>
    <row r="7" ht="36" customHeight="1" spans="1:8">
      <c r="A7" s="78" t="s">
        <v>38</v>
      </c>
      <c r="B7" s="79">
        <v>0.37</v>
      </c>
      <c r="C7" s="80" t="s">
        <v>114</v>
      </c>
      <c r="D7" s="81">
        <v>5.5</v>
      </c>
      <c r="E7" s="79">
        <v>0.34</v>
      </c>
      <c r="F7" s="81">
        <v>30</v>
      </c>
      <c r="G7" s="79">
        <v>0.29</v>
      </c>
      <c r="H7" s="81">
        <v>8</v>
      </c>
    </row>
    <row r="8" ht="36" customHeight="1" spans="1:8">
      <c r="A8" s="78" t="s">
        <v>42</v>
      </c>
      <c r="B8" s="79">
        <v>0.46</v>
      </c>
      <c r="C8" s="80" t="s">
        <v>115</v>
      </c>
      <c r="D8" s="81">
        <v>6</v>
      </c>
      <c r="E8" s="79">
        <v>0.31</v>
      </c>
      <c r="F8" s="81">
        <v>30</v>
      </c>
      <c r="G8" s="79">
        <v>0.23</v>
      </c>
      <c r="H8" s="81">
        <v>10</v>
      </c>
    </row>
    <row r="9" ht="36" customHeight="1" spans="1:8">
      <c r="A9" s="78" t="s">
        <v>48</v>
      </c>
      <c r="B9" s="79">
        <v>0.54</v>
      </c>
      <c r="C9" s="80" t="s">
        <v>116</v>
      </c>
      <c r="D9" s="81">
        <v>5.5</v>
      </c>
      <c r="E9" s="79">
        <v>0.3</v>
      </c>
      <c r="F9" s="81">
        <v>27</v>
      </c>
      <c r="G9" s="79">
        <v>0.16</v>
      </c>
      <c r="H9" s="81">
        <v>10</v>
      </c>
    </row>
    <row r="10" ht="36" customHeight="1" spans="1:8">
      <c r="A10" s="78" t="s">
        <v>55</v>
      </c>
      <c r="B10" s="79">
        <v>0.71</v>
      </c>
      <c r="C10" s="80" t="s">
        <v>117</v>
      </c>
      <c r="D10" s="81">
        <v>5</v>
      </c>
      <c r="E10" s="79">
        <v>0.25</v>
      </c>
      <c r="F10" s="81">
        <v>25</v>
      </c>
      <c r="G10" s="79">
        <v>0.01</v>
      </c>
      <c r="H10" s="81">
        <v>10</v>
      </c>
    </row>
    <row r="13" ht="15" customHeight="1" spans="1:1">
      <c r="A13" s="12" t="s">
        <v>118</v>
      </c>
    </row>
    <row r="14" ht="36" customHeight="1" spans="1:12">
      <c r="A14" s="76" t="s">
        <v>69</v>
      </c>
      <c r="B14" s="77" t="s">
        <v>119</v>
      </c>
      <c r="C14" s="77" t="s">
        <v>120</v>
      </c>
      <c r="D14" s="77" t="s">
        <v>121</v>
      </c>
      <c r="E14" s="77" t="s">
        <v>122</v>
      </c>
      <c r="F14" s="77" t="s">
        <v>123</v>
      </c>
      <c r="G14" s="77" t="s">
        <v>124</v>
      </c>
      <c r="H14" s="77" t="s">
        <v>125</v>
      </c>
      <c r="I14" s="77" t="s">
        <v>126</v>
      </c>
      <c r="J14" s="77" t="s">
        <v>127</v>
      </c>
      <c r="K14" s="77" t="s">
        <v>128</v>
      </c>
      <c r="L14" s="77" t="s">
        <v>129</v>
      </c>
    </row>
    <row r="15" ht="15" customHeight="1" spans="1:12">
      <c r="A15" s="78" t="s">
        <v>22</v>
      </c>
      <c r="B15" s="82">
        <f>'0. Database'!P12</f>
        <v>117213.775</v>
      </c>
      <c r="C15" s="36">
        <f>'0. Database'!P11</f>
        <v>42005.1089988491</v>
      </c>
      <c r="D15" s="82">
        <f>'0. Database'!P7</f>
        <v>128773.529411765</v>
      </c>
      <c r="E15" s="88">
        <f>'0. Database'!P8</f>
        <v>17.2806666666667</v>
      </c>
      <c r="F15" s="82">
        <f>'0. Database'!P9</f>
        <v>7449.90168628124</v>
      </c>
      <c r="G15" s="89">
        <v>0.18</v>
      </c>
      <c r="H15" s="90">
        <v>439440</v>
      </c>
      <c r="I15" s="92">
        <v>6</v>
      </c>
      <c r="J15" s="93">
        <v>0.69</v>
      </c>
      <c r="K15" s="94">
        <f>'0. Database'!Q7</f>
        <v>144093.728813559</v>
      </c>
      <c r="L15" s="95">
        <f>'0. Database'!Q8</f>
        <v>19.4171428571429</v>
      </c>
    </row>
    <row r="16" ht="15" customHeight="1" spans="1:12">
      <c r="A16" s="78" t="s">
        <v>38</v>
      </c>
      <c r="B16" s="82">
        <f>'0. Database'!P28</f>
        <v>199073.703703704</v>
      </c>
      <c r="C16" s="36">
        <f>'0. Database'!P27</f>
        <v>84391.5805352369</v>
      </c>
      <c r="D16" s="82">
        <f>'0. Database'!P23</f>
        <v>95381.3695652174</v>
      </c>
      <c r="E16" s="88">
        <f>'0. Database'!P24</f>
        <v>8.7931914893617</v>
      </c>
      <c r="F16" s="82">
        <f>'0. Database'!P25</f>
        <v>10899.3092734652</v>
      </c>
      <c r="G16" s="89">
        <v>0.2</v>
      </c>
      <c r="H16" s="90">
        <v>732526</v>
      </c>
      <c r="I16" s="92">
        <v>5.5</v>
      </c>
      <c r="J16" s="93">
        <v>0.61</v>
      </c>
      <c r="K16" s="94">
        <f>'0. Database'!Q23</f>
        <v>109556.177777778</v>
      </c>
      <c r="L16" s="95">
        <f>'0. Database'!Q24</f>
        <v>10.0281818181818</v>
      </c>
    </row>
    <row r="17" ht="15" customHeight="1" spans="1:12">
      <c r="A17" s="78" t="s">
        <v>42</v>
      </c>
      <c r="B17" s="82">
        <f>'0. Database'!P43</f>
        <v>186454.019348801</v>
      </c>
      <c r="C17" s="36">
        <f>'0. Database'!P42</f>
        <v>42874.7</v>
      </c>
      <c r="D17" s="82">
        <f>'0. Database'!P38</f>
        <v>174612.843137255</v>
      </c>
      <c r="E17" s="88">
        <f>'0. Database'!P39</f>
        <v>14.186724137931</v>
      </c>
      <c r="F17" s="82">
        <f>'0. Database'!P40</f>
        <v>12208.5642860298</v>
      </c>
      <c r="G17" s="89">
        <v>0.16</v>
      </c>
      <c r="H17" s="90">
        <v>380000</v>
      </c>
      <c r="I17" s="92">
        <v>6</v>
      </c>
      <c r="J17" s="93">
        <v>0.7</v>
      </c>
      <c r="K17" s="94">
        <f>'0. Database'!Q38</f>
        <v>180090.274509804</v>
      </c>
      <c r="L17" s="95">
        <f>'0. Database'!Q39</f>
        <v>14.69</v>
      </c>
    </row>
    <row r="18" ht="15" customHeight="1" spans="1:12">
      <c r="A18" s="78" t="s">
        <v>48</v>
      </c>
      <c r="B18" s="82">
        <f>'0. Database'!P60</f>
        <v>134391.333333333</v>
      </c>
      <c r="C18" s="36">
        <f>'0. Database'!P59</f>
        <v>29596.5475823982</v>
      </c>
      <c r="D18" s="82">
        <f>'0. Database'!P55</f>
        <v>83760.9672131148</v>
      </c>
      <c r="E18" s="88">
        <f>'0. Database'!P56</f>
        <v>32.2001612903226</v>
      </c>
      <c r="F18" s="82">
        <f>'0. Database'!P57</f>
        <v>2561.93273191366</v>
      </c>
      <c r="G18" s="89">
        <v>0.13</v>
      </c>
      <c r="H18" s="90">
        <v>361870</v>
      </c>
      <c r="I18" s="92">
        <v>5.25</v>
      </c>
      <c r="J18" s="93">
        <v>0.8</v>
      </c>
      <c r="K18" s="94">
        <f>'0. Database'!Q55</f>
        <v>89664.3103448276</v>
      </c>
      <c r="L18" s="95">
        <f>'0. Database'!Q56</f>
        <v>34.9040677966102</v>
      </c>
    </row>
    <row r="19" ht="15" customHeight="1" spans="1:12">
      <c r="A19" s="78" t="s">
        <v>55</v>
      </c>
      <c r="B19" s="82">
        <f>'0. Database'!P78</f>
        <v>50345.5172413793</v>
      </c>
      <c r="C19" s="36">
        <f>'0. Database'!P77</f>
        <v>9142.31704315117</v>
      </c>
      <c r="D19" s="82">
        <f>'0. Database'!P73</f>
        <v>17201.0588235294</v>
      </c>
      <c r="E19" s="88">
        <f>'0. Database'!P87</f>
        <v>5.84838709677419</v>
      </c>
      <c r="F19" s="82">
        <f>'0. Database'!P75</f>
        <v>2920.24011673071</v>
      </c>
      <c r="G19" s="89">
        <v>0.2</v>
      </c>
      <c r="H19" s="90">
        <v>118000</v>
      </c>
      <c r="I19" s="92">
        <v>5</v>
      </c>
      <c r="J19" s="93">
        <v>0.92</v>
      </c>
      <c r="K19" s="94">
        <f>'0. Database'!Q73</f>
        <v>18923.5882352941</v>
      </c>
      <c r="L19" s="95">
        <f>'0. Database'!Q74</f>
        <v>6.26125</v>
      </c>
    </row>
    <row r="22" ht="15" customHeight="1" spans="1:1">
      <c r="A22" s="12" t="s">
        <v>130</v>
      </c>
    </row>
    <row r="23" ht="15" customHeight="1" spans="1:1">
      <c r="A23" s="83" t="s">
        <v>131</v>
      </c>
    </row>
    <row r="24" ht="15" customHeight="1" spans="1:12">
      <c r="A24" s="84" t="s">
        <v>132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ht="31.5" customHeight="1" spans="1:10">
      <c r="A25" s="76" t="s">
        <v>69</v>
      </c>
      <c r="B25" s="77" t="s">
        <v>133</v>
      </c>
      <c r="C25" s="76" t="s">
        <v>134</v>
      </c>
      <c r="D25" s="76" t="s">
        <v>135</v>
      </c>
      <c r="E25" s="76" t="s">
        <v>136</v>
      </c>
      <c r="F25" s="77" t="s">
        <v>137</v>
      </c>
      <c r="G25" s="77" t="s">
        <v>138</v>
      </c>
      <c r="H25" s="76" t="s">
        <v>139</v>
      </c>
      <c r="I25" s="76" t="s">
        <v>140</v>
      </c>
      <c r="J25" s="77" t="s">
        <v>141</v>
      </c>
    </row>
    <row r="26" ht="15" customHeight="1" spans="1:10">
      <c r="A26" s="85" t="s">
        <v>22</v>
      </c>
      <c r="B26" s="36">
        <f>$C$15*$J$15*($I$15/6)</f>
        <v>28983.5252092059</v>
      </c>
      <c r="C26" s="36">
        <f>$C$15*(1-$J$15)</f>
        <v>13021.5837896432</v>
      </c>
      <c r="D26" s="36">
        <f>B26+C26</f>
        <v>42005.1089988491</v>
      </c>
      <c r="E26" s="36">
        <f>$C$15</f>
        <v>42005.1089988491</v>
      </c>
      <c r="F26" s="91">
        <f>D26-E26</f>
        <v>0</v>
      </c>
      <c r="G26" s="91">
        <f>F26*(1-$G$15)</f>
        <v>0</v>
      </c>
      <c r="H26" s="91">
        <f>$D$15-G26</f>
        <v>128773.529411765</v>
      </c>
      <c r="I26" s="96">
        <f>H26/$F$15</f>
        <v>17.285265609464</v>
      </c>
      <c r="J26" s="32">
        <f>IFERROR(I26/$E$15-1,"")</f>
        <v>0.000266132255543949</v>
      </c>
    </row>
    <row r="27" ht="15" customHeight="1" spans="1:10">
      <c r="A27" s="85" t="s">
        <v>38</v>
      </c>
      <c r="B27" s="36">
        <f>$C$16*$J$16*($I$16/6)</f>
        <v>47188.95878262</v>
      </c>
      <c r="C27" s="36">
        <f>$C$16*(1-$J$16)</f>
        <v>32912.7164087424</v>
      </c>
      <c r="D27" s="36">
        <f>B27+C27</f>
        <v>80101.6751913624</v>
      </c>
      <c r="E27" s="36">
        <f>$C$16</f>
        <v>84391.5805352369</v>
      </c>
      <c r="F27" s="91">
        <f>D27-E27</f>
        <v>-4289.9053438745</v>
      </c>
      <c r="G27" s="91">
        <f>F27*(1-$G$16)</f>
        <v>-3431.9242750996</v>
      </c>
      <c r="H27" s="91">
        <f>$D$16-G27</f>
        <v>98813.293840317</v>
      </c>
      <c r="I27" s="96">
        <f>H27/$F$16</f>
        <v>9.06601430981337</v>
      </c>
      <c r="J27" s="32">
        <f>IFERROR(I27/$E$16-1,"")</f>
        <v>0.0310265983382412</v>
      </c>
    </row>
    <row r="28" ht="15" customHeight="1" spans="1:10">
      <c r="A28" s="85" t="s">
        <v>42</v>
      </c>
      <c r="B28" s="36">
        <f>$C$17*$J$17*($I$17/6)</f>
        <v>30012.29</v>
      </c>
      <c r="C28" s="36">
        <f>$C$17*(1-$J$17)</f>
        <v>12862.41</v>
      </c>
      <c r="D28" s="36">
        <f>B28+C28</f>
        <v>42874.7</v>
      </c>
      <c r="E28" s="36">
        <f>$C$17</f>
        <v>42874.7</v>
      </c>
      <c r="F28" s="91">
        <f>D28-E28</f>
        <v>0</v>
      </c>
      <c r="G28" s="91">
        <f>F28*(1-$G$17)</f>
        <v>0</v>
      </c>
      <c r="H28" s="91">
        <f>$D$17-G28</f>
        <v>174612.843137255</v>
      </c>
      <c r="I28" s="96">
        <f>H28/$F$17</f>
        <v>14.3024879131008</v>
      </c>
      <c r="J28" s="32">
        <f>IFERROR(I28/$E$17-1,"")</f>
        <v>0.00816000748617385</v>
      </c>
    </row>
    <row r="29" ht="15" customHeight="1" spans="1:10">
      <c r="A29" s="85" t="s">
        <v>48</v>
      </c>
      <c r="B29" s="36">
        <f>$C$18*$J$18*($I$18/6)</f>
        <v>20717.5833076787</v>
      </c>
      <c r="C29" s="36">
        <f>$C$18*(1-$J$18)</f>
        <v>5919.30951647964</v>
      </c>
      <c r="D29" s="36">
        <f>B29+C29</f>
        <v>26636.8928241583</v>
      </c>
      <c r="E29" s="36">
        <f>$C$18</f>
        <v>29596.5475823982</v>
      </c>
      <c r="F29" s="91">
        <f>D29-E29</f>
        <v>-2959.65475823986</v>
      </c>
      <c r="G29" s="91">
        <f>F29*(1-$G$18)</f>
        <v>-2574.89963966868</v>
      </c>
      <c r="H29" s="91">
        <f>$D$18-G29</f>
        <v>86335.8668527835</v>
      </c>
      <c r="I29" s="96">
        <f>H29/$F$18</f>
        <v>33.6995057588003</v>
      </c>
      <c r="J29" s="32">
        <f>IFERROR(I29/$E$18-1,"")</f>
        <v>0.0465632595737449</v>
      </c>
    </row>
    <row r="30" ht="15" customHeight="1" spans="1:10">
      <c r="A30" s="85" t="s">
        <v>55</v>
      </c>
      <c r="B30" s="36">
        <f>$C$19*$J$19*($I$19/6)</f>
        <v>7009.10973308256</v>
      </c>
      <c r="C30" s="36">
        <f>$C$19*(1-$J$19)</f>
        <v>731.385363452093</v>
      </c>
      <c r="D30" s="36">
        <f>B30+C30</f>
        <v>7740.49509653465</v>
      </c>
      <c r="E30" s="36">
        <f>$C$19</f>
        <v>9142.31704315117</v>
      </c>
      <c r="F30" s="91">
        <f>D30-E30</f>
        <v>-1401.82194661652</v>
      </c>
      <c r="G30" s="91">
        <f>F30*(1-$G$19)</f>
        <v>-1121.45755729321</v>
      </c>
      <c r="H30" s="91">
        <f>$D$19-G30</f>
        <v>18322.5163808226</v>
      </c>
      <c r="I30" s="96">
        <f>H30/$F$19</f>
        <v>6.27431842876509</v>
      </c>
      <c r="J30" s="32">
        <f>IFERROR(I30/$E$19-1,"")</f>
        <v>0.0728288543393159</v>
      </c>
    </row>
    <row r="32" ht="15" customHeight="1" spans="1:12">
      <c r="A32" s="84" t="s">
        <v>142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ht="31.5" customHeight="1" spans="1:10">
      <c r="A33" s="76" t="s">
        <v>69</v>
      </c>
      <c r="B33" s="77" t="s">
        <v>133</v>
      </c>
      <c r="C33" s="76" t="s">
        <v>134</v>
      </c>
      <c r="D33" s="76" t="s">
        <v>135</v>
      </c>
      <c r="E33" s="76" t="s">
        <v>136</v>
      </c>
      <c r="F33" s="77" t="s">
        <v>137</v>
      </c>
      <c r="G33" s="77" t="s">
        <v>138</v>
      </c>
      <c r="H33" s="76" t="s">
        <v>139</v>
      </c>
      <c r="I33" s="76" t="s">
        <v>140</v>
      </c>
      <c r="J33" s="77" t="s">
        <v>141</v>
      </c>
    </row>
    <row r="34" ht="15" customHeight="1" spans="1:10">
      <c r="A34" s="85" t="s">
        <v>22</v>
      </c>
      <c r="B34" s="36">
        <f>$C$15*$J$15*($I$15/5)</f>
        <v>34780.230251047</v>
      </c>
      <c r="C34" s="36">
        <f>$C$15*(1-$J$15)</f>
        <v>13021.5837896432</v>
      </c>
      <c r="D34" s="36">
        <f>B34+C34</f>
        <v>47801.8140406902</v>
      </c>
      <c r="E34" s="36">
        <f>$C$15</f>
        <v>42005.1089988491</v>
      </c>
      <c r="F34" s="91">
        <f>D34-E34</f>
        <v>5796.7050418411</v>
      </c>
      <c r="G34" s="91">
        <f>F34*(1-$G$15)</f>
        <v>4753.2981343097</v>
      </c>
      <c r="H34" s="91">
        <f>$D$15-G34</f>
        <v>124020.231277455</v>
      </c>
      <c r="I34" s="96">
        <f>H34/$F$15</f>
        <v>16.6472305944432</v>
      </c>
      <c r="J34" s="32">
        <f>IFERROR(I34/$E$15-1,"")</f>
        <v>-0.0366557659170246</v>
      </c>
    </row>
    <row r="35" ht="15" customHeight="1" spans="1:10">
      <c r="A35" s="85" t="s">
        <v>38</v>
      </c>
      <c r="B35" s="36">
        <f>$C$16*$J$16*($I$16/5)</f>
        <v>56626.750539144</v>
      </c>
      <c r="C35" s="36">
        <f>$C$16*(1-$J$16)</f>
        <v>32912.7164087424</v>
      </c>
      <c r="D35" s="36">
        <f>B35+C35</f>
        <v>89539.4669478864</v>
      </c>
      <c r="E35" s="36">
        <f>$C$16</f>
        <v>84391.5805352369</v>
      </c>
      <c r="F35" s="91">
        <f>D35-E35</f>
        <v>5147.88641264949</v>
      </c>
      <c r="G35" s="91">
        <f>F35*(1-$G$16)</f>
        <v>4118.30913011959</v>
      </c>
      <c r="H35" s="91">
        <f>$D$16-G35</f>
        <v>91263.0604350978</v>
      </c>
      <c r="I35" s="96">
        <f>H35/$F$16</f>
        <v>8.37328844840483</v>
      </c>
      <c r="J35" s="32">
        <f>IFERROR(I35/$E$16-1,"")</f>
        <v>-0.0477532010379715</v>
      </c>
    </row>
    <row r="36" ht="15" customHeight="1" spans="1:10">
      <c r="A36" s="85" t="s">
        <v>42</v>
      </c>
      <c r="B36" s="36">
        <f>$C$17*$J$17*($I$17/5)</f>
        <v>36014.748</v>
      </c>
      <c r="C36" s="36">
        <f>$C$17*(1-$J$17)</f>
        <v>12862.41</v>
      </c>
      <c r="D36" s="36">
        <f>B36+C36</f>
        <v>48877.158</v>
      </c>
      <c r="E36" s="36">
        <f>$C$17</f>
        <v>42874.7</v>
      </c>
      <c r="F36" s="91">
        <f>D36-E36</f>
        <v>6002.458</v>
      </c>
      <c r="G36" s="91">
        <f>F36*(1-$G$17)</f>
        <v>5042.06472</v>
      </c>
      <c r="H36" s="91">
        <f>$D$17-G36</f>
        <v>169570.778417255</v>
      </c>
      <c r="I36" s="96">
        <f>H36/$F$17</f>
        <v>13.889493837641</v>
      </c>
      <c r="J36" s="32">
        <f>IFERROR(I36/$E$17-1,"")</f>
        <v>-0.0209512990737084</v>
      </c>
    </row>
    <row r="37" ht="15" customHeight="1" spans="1:10">
      <c r="A37" s="85" t="s">
        <v>48</v>
      </c>
      <c r="B37" s="36">
        <f>$C$18*$J$18*($I$18/5)</f>
        <v>24861.0999692145</v>
      </c>
      <c r="C37" s="36">
        <f>$C$18*(1-$J$18)</f>
        <v>5919.30951647964</v>
      </c>
      <c r="D37" s="36">
        <f>B37+C37</f>
        <v>30780.4094856941</v>
      </c>
      <c r="E37" s="36">
        <f>$C$18</f>
        <v>29596.5475823982</v>
      </c>
      <c r="F37" s="91">
        <f>D37-E37</f>
        <v>1183.86190329594</v>
      </c>
      <c r="G37" s="91">
        <f>F37*(1-$G$18)</f>
        <v>1029.95985586747</v>
      </c>
      <c r="H37" s="91">
        <f>$D$18-G37</f>
        <v>82731.0073572473</v>
      </c>
      <c r="I37" s="96">
        <f>H37/$F$18</f>
        <v>32.292419830809</v>
      </c>
      <c r="J37" s="32">
        <f>IFERROR(I37/$E$18-1,"")</f>
        <v>0.00286515771317353</v>
      </c>
    </row>
    <row r="38" ht="15" customHeight="1" spans="1:10">
      <c r="A38" s="85" t="s">
        <v>55</v>
      </c>
      <c r="B38" s="36">
        <f>$C$19*$J$19*($I$19/5)</f>
        <v>8410.93167969908</v>
      </c>
      <c r="C38" s="36">
        <f>$C$19*(1-$J$19)</f>
        <v>731.385363452093</v>
      </c>
      <c r="D38" s="36">
        <f>B38+C38</f>
        <v>9142.31704315117</v>
      </c>
      <c r="E38" s="36">
        <f>$C$19</f>
        <v>9142.31704315117</v>
      </c>
      <c r="F38" s="91">
        <f>D38-E38</f>
        <v>0</v>
      </c>
      <c r="G38" s="91">
        <f>F38*(1-$G$19)</f>
        <v>0</v>
      </c>
      <c r="H38" s="91">
        <f>$D$19-G38</f>
        <v>17201.0588235294</v>
      </c>
      <c r="I38" s="96">
        <f>H38/$F$19</f>
        <v>5.89028920087108</v>
      </c>
      <c r="J38" s="32">
        <f>IFERROR(I38/$E$19-1,"")</f>
        <v>0.00716472822395797</v>
      </c>
    </row>
    <row r="40" ht="15" customHeight="1" spans="1:12">
      <c r="A40" s="86" t="s">
        <v>143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ht="31.5" customHeight="1" spans="1:10">
      <c r="A41" s="76" t="s">
        <v>69</v>
      </c>
      <c r="B41" s="77" t="s">
        <v>133</v>
      </c>
      <c r="C41" s="76" t="s">
        <v>134</v>
      </c>
      <c r="D41" s="76" t="s">
        <v>135</v>
      </c>
      <c r="E41" s="76" t="s">
        <v>136</v>
      </c>
      <c r="F41" s="77" t="s">
        <v>137</v>
      </c>
      <c r="G41" s="77" t="s">
        <v>138</v>
      </c>
      <c r="H41" s="76" t="s">
        <v>139</v>
      </c>
      <c r="I41" s="76" t="s">
        <v>140</v>
      </c>
      <c r="J41" s="77" t="s">
        <v>141</v>
      </c>
    </row>
    <row r="42" ht="15" customHeight="1" spans="1:10">
      <c r="A42" s="85" t="s">
        <v>22</v>
      </c>
      <c r="B42" s="36">
        <f>$C$15*$J$15*($I$15/4)</f>
        <v>43475.2878138088</v>
      </c>
      <c r="C42" s="36">
        <f>$C$15*(1-$J$15)</f>
        <v>13021.5837896432</v>
      </c>
      <c r="D42" s="36">
        <f>B42+C42</f>
        <v>56496.871603452</v>
      </c>
      <c r="E42" s="36">
        <f>$C$15</f>
        <v>42005.1089988491</v>
      </c>
      <c r="F42" s="91">
        <f>D42-E42</f>
        <v>14491.7626046029</v>
      </c>
      <c r="G42" s="91">
        <f>F42*(1-$G$15)</f>
        <v>11883.2453357744</v>
      </c>
      <c r="H42" s="91">
        <f>$D$15-G42</f>
        <v>116890.284075991</v>
      </c>
      <c r="I42" s="96">
        <f>H42/$F$15</f>
        <v>15.6901780719121</v>
      </c>
      <c r="J42" s="32">
        <f>IFERROR(I42/$E$15-1,"")</f>
        <v>-0.0920386131758786</v>
      </c>
    </row>
    <row r="43" ht="15" customHeight="1" spans="1:10">
      <c r="A43" s="85" t="s">
        <v>38</v>
      </c>
      <c r="B43" s="36">
        <f>$C$16*$J$16*($I$16/4)</f>
        <v>70783.43817393</v>
      </c>
      <c r="C43" s="36">
        <f>$C$16*(1-$J$16)</f>
        <v>32912.7164087424</v>
      </c>
      <c r="D43" s="36">
        <f>B43+C43</f>
        <v>103696.154582672</v>
      </c>
      <c r="E43" s="36">
        <f>$C$16</f>
        <v>84391.5805352369</v>
      </c>
      <c r="F43" s="91">
        <f>D43-E43</f>
        <v>19304.5740474355</v>
      </c>
      <c r="G43" s="91">
        <f>F43*(1-$G$16)</f>
        <v>15443.6592379484</v>
      </c>
      <c r="H43" s="91">
        <f>$D$16-G43</f>
        <v>79937.710327269</v>
      </c>
      <c r="I43" s="96">
        <f>H43/$F$16</f>
        <v>7.33419965629203</v>
      </c>
      <c r="J43" s="32">
        <f>IFERROR(I43/$E$16-1,"")</f>
        <v>-0.16592290010229</v>
      </c>
    </row>
    <row r="44" ht="15" customHeight="1" spans="1:10">
      <c r="A44" s="85" t="s">
        <v>42</v>
      </c>
      <c r="B44" s="36">
        <f>$C$17*$J$17*($I$17/4)</f>
        <v>45018.435</v>
      </c>
      <c r="C44" s="36">
        <f>$C$17*(1-$J$17)</f>
        <v>12862.41</v>
      </c>
      <c r="D44" s="36">
        <f>B44+C44</f>
        <v>57880.845</v>
      </c>
      <c r="E44" s="36">
        <f>$C$17</f>
        <v>42874.7</v>
      </c>
      <c r="F44" s="91">
        <f>D44-E44</f>
        <v>15006.145</v>
      </c>
      <c r="G44" s="91">
        <f>F44*(1-$G$17)</f>
        <v>12605.1618</v>
      </c>
      <c r="H44" s="91">
        <f>$D$17-G44</f>
        <v>162007.681337255</v>
      </c>
      <c r="I44" s="96">
        <f>H44/$F$17</f>
        <v>13.2700027244514</v>
      </c>
      <c r="J44" s="32">
        <f>IFERROR(I44/$E$17-1,"")</f>
        <v>-0.0646182589135292</v>
      </c>
    </row>
    <row r="45" ht="15" customHeight="1" spans="1:10">
      <c r="A45" s="85" t="s">
        <v>48</v>
      </c>
      <c r="B45" s="36">
        <f>$C$18*$J$18*($I$18/4)</f>
        <v>31076.3749615181</v>
      </c>
      <c r="C45" s="36">
        <f>$C$18*(1-$J$18)</f>
        <v>5919.30951647964</v>
      </c>
      <c r="D45" s="36">
        <f>B45+C45</f>
        <v>36995.6844779977</v>
      </c>
      <c r="E45" s="36">
        <f>$C$18</f>
        <v>29596.5475823982</v>
      </c>
      <c r="F45" s="91">
        <f>D45-E45</f>
        <v>7399.13689559954</v>
      </c>
      <c r="G45" s="91">
        <f>F45*(1-$G$18)</f>
        <v>6437.2490991716</v>
      </c>
      <c r="H45" s="91">
        <f>$D$18-G45</f>
        <v>77323.7181139432</v>
      </c>
      <c r="I45" s="96">
        <f>H45/$F$18</f>
        <v>30.181790938822</v>
      </c>
      <c r="J45" s="32">
        <f>IFERROR(I45/$E$18-1,"")</f>
        <v>-0.062681995077683</v>
      </c>
    </row>
    <row r="46" ht="15" customHeight="1" spans="1:10">
      <c r="A46" s="85" t="s">
        <v>55</v>
      </c>
      <c r="B46" s="36">
        <f>$C$19*$J$19*($I$19/4)</f>
        <v>10513.6645996238</v>
      </c>
      <c r="C46" s="36">
        <f>$C$19*(1-$J$19)</f>
        <v>731.385363452093</v>
      </c>
      <c r="D46" s="36">
        <f>B46+C46</f>
        <v>11245.0499630759</v>
      </c>
      <c r="E46" s="36">
        <f>$C$19</f>
        <v>9142.31704315117</v>
      </c>
      <c r="F46" s="91">
        <f>D46-E46</f>
        <v>2102.73291992472</v>
      </c>
      <c r="G46" s="91">
        <f>F46*(1-$G$19)</f>
        <v>1682.18633593978</v>
      </c>
      <c r="H46" s="91">
        <f>$D$19-G46</f>
        <v>15518.8724875896</v>
      </c>
      <c r="I46" s="96">
        <f>H46/$F$19</f>
        <v>5.31424535903008</v>
      </c>
      <c r="J46" s="32">
        <f>IFERROR(I46/$E$19-1,"")</f>
        <v>-0.0913314609490763</v>
      </c>
    </row>
    <row r="48" ht="15" customHeight="1" spans="1:12">
      <c r="A48" s="87" t="s">
        <v>144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ht="31.5" customHeight="1" spans="1:10">
      <c r="A49" s="76" t="s">
        <v>69</v>
      </c>
      <c r="B49" s="77" t="s">
        <v>133</v>
      </c>
      <c r="C49" s="76" t="s">
        <v>134</v>
      </c>
      <c r="D49" s="76" t="s">
        <v>135</v>
      </c>
      <c r="E49" s="76" t="s">
        <v>136</v>
      </c>
      <c r="F49" s="77" t="s">
        <v>137</v>
      </c>
      <c r="G49" s="77" t="s">
        <v>138</v>
      </c>
      <c r="H49" s="76" t="s">
        <v>139</v>
      </c>
      <c r="I49" s="76" t="s">
        <v>140</v>
      </c>
      <c r="J49" s="77" t="s">
        <v>141</v>
      </c>
    </row>
    <row r="50" ht="15" customHeight="1" spans="1:10">
      <c r="A50" s="85" t="s">
        <v>22</v>
      </c>
      <c r="B50" s="36">
        <f>$C$15*$J$15*($I$15/3)</f>
        <v>57967.0504184118</v>
      </c>
      <c r="C50" s="36">
        <f>$C$15*(1-$J$15)</f>
        <v>13021.5837896432</v>
      </c>
      <c r="D50" s="36">
        <f>B50+C50</f>
        <v>70988.634208055</v>
      </c>
      <c r="E50" s="36">
        <f>$C$15</f>
        <v>42005.1089988491</v>
      </c>
      <c r="F50" s="91">
        <f>D50-E50</f>
        <v>28983.5252092059</v>
      </c>
      <c r="G50" s="91">
        <f>F50*(1-$G$15)</f>
        <v>23766.4906715488</v>
      </c>
      <c r="H50" s="91">
        <f>$D$15-G50</f>
        <v>105007.038740216</v>
      </c>
      <c r="I50" s="96">
        <f>H50/$F$15</f>
        <v>14.0950905343601</v>
      </c>
      <c r="J50" s="32">
        <f>IFERROR(I50/$E$15-1,"")</f>
        <v>-0.184343358607302</v>
      </c>
    </row>
    <row r="51" ht="15" customHeight="1" spans="1:10">
      <c r="A51" s="85" t="s">
        <v>38</v>
      </c>
      <c r="B51" s="36">
        <f>$C$16*$J$16*($I$16/3)</f>
        <v>94377.9175652399</v>
      </c>
      <c r="C51" s="36">
        <f>$C$16*(1-$J$16)</f>
        <v>32912.7164087424</v>
      </c>
      <c r="D51" s="36">
        <f>B51+C51</f>
        <v>127290.633973982</v>
      </c>
      <c r="E51" s="36">
        <f>$C$16</f>
        <v>84391.5805352369</v>
      </c>
      <c r="F51" s="91">
        <f>D51-E51</f>
        <v>42899.0534387454</v>
      </c>
      <c r="G51" s="91">
        <f>F51*(1-$G$16)</f>
        <v>34319.2427509963</v>
      </c>
      <c r="H51" s="91">
        <f>$D$16-G51</f>
        <v>61062.1268142211</v>
      </c>
      <c r="I51" s="96">
        <f>H51/$F$16</f>
        <v>5.6023850027707</v>
      </c>
      <c r="J51" s="32">
        <f>IFERROR(I51/$E$16-1,"")</f>
        <v>-0.36287239854282</v>
      </c>
    </row>
    <row r="52" ht="15" customHeight="1" spans="1:10">
      <c r="A52" s="85" t="s">
        <v>42</v>
      </c>
      <c r="B52" s="36">
        <f>$C$17*$J$17*($I$17/3)</f>
        <v>60024.58</v>
      </c>
      <c r="C52" s="36">
        <f>$C$17*(1-$J$17)</f>
        <v>12862.41</v>
      </c>
      <c r="D52" s="36">
        <f>B52+C52</f>
        <v>72886.99</v>
      </c>
      <c r="E52" s="36">
        <f>$C$17</f>
        <v>42874.7</v>
      </c>
      <c r="F52" s="91">
        <f>D52-E52</f>
        <v>30012.29</v>
      </c>
      <c r="G52" s="91">
        <f>F52*(1-$G$17)</f>
        <v>25210.3236</v>
      </c>
      <c r="H52" s="91">
        <f>$D$17-G52</f>
        <v>149402.519537255</v>
      </c>
      <c r="I52" s="96">
        <f>H52/$F$17</f>
        <v>12.2375175358019</v>
      </c>
      <c r="J52" s="32">
        <f>IFERROR(I52/$E$17-1,"")</f>
        <v>-0.137396525313231</v>
      </c>
    </row>
    <row r="53" ht="15" customHeight="1" spans="1:10">
      <c r="A53" s="85" t="s">
        <v>48</v>
      </c>
      <c r="B53" s="36">
        <f>$C$18*$J$18*($I$18/3)</f>
        <v>41435.1666153575</v>
      </c>
      <c r="C53" s="36">
        <f>$C$18*(1-$J$18)</f>
        <v>5919.30951647964</v>
      </c>
      <c r="D53" s="36">
        <f>B53+C53</f>
        <v>47354.4761318371</v>
      </c>
      <c r="E53" s="36">
        <f>$C$18</f>
        <v>29596.5475823982</v>
      </c>
      <c r="F53" s="91">
        <f>D53-E53</f>
        <v>17757.9285494389</v>
      </c>
      <c r="G53" s="91">
        <f>F53*(1-$G$18)</f>
        <v>15449.3978380119</v>
      </c>
      <c r="H53" s="91">
        <f>$D$18-G53</f>
        <v>68311.5693751029</v>
      </c>
      <c r="I53" s="96">
        <f>H53/$F$18</f>
        <v>26.6640761188437</v>
      </c>
      <c r="J53" s="32">
        <f>IFERROR(I53/$E$18-1,"")</f>
        <v>-0.171927249729111</v>
      </c>
    </row>
    <row r="54" ht="15" customHeight="1" spans="1:10">
      <c r="A54" s="85" t="s">
        <v>55</v>
      </c>
      <c r="B54" s="36">
        <f>$C$19*$J$19*($I$19/3)</f>
        <v>14018.2194661651</v>
      </c>
      <c r="C54" s="36">
        <f>$C$19*(1-$J$19)</f>
        <v>731.385363452093</v>
      </c>
      <c r="D54" s="36">
        <f>B54+C54</f>
        <v>14749.6048296172</v>
      </c>
      <c r="E54" s="36">
        <f>$C$19</f>
        <v>9142.31704315117</v>
      </c>
      <c r="F54" s="91">
        <f>D54-E54</f>
        <v>5607.28778646602</v>
      </c>
      <c r="G54" s="91">
        <f>F54*(1-$G$19)</f>
        <v>4485.83022917282</v>
      </c>
      <c r="H54" s="91">
        <f>$D$19-G54</f>
        <v>12715.2285943566</v>
      </c>
      <c r="I54" s="96">
        <f>H54/$F$19</f>
        <v>4.35417228929504</v>
      </c>
      <c r="J54" s="32">
        <f>IFERROR(I54/$E$19-1,"")</f>
        <v>-0.255491776237471</v>
      </c>
    </row>
    <row r="56" ht="15" customHeight="1" spans="1:12">
      <c r="A56" s="87" t="s">
        <v>145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ht="31.5" customHeight="1" spans="1:10">
      <c r="A57" s="76" t="s">
        <v>69</v>
      </c>
      <c r="B57" s="77" t="s">
        <v>133</v>
      </c>
      <c r="C57" s="76" t="s">
        <v>134</v>
      </c>
      <c r="D57" s="76" t="s">
        <v>135</v>
      </c>
      <c r="E57" s="76" t="s">
        <v>136</v>
      </c>
      <c r="F57" s="77" t="s">
        <v>137</v>
      </c>
      <c r="G57" s="77" t="s">
        <v>138</v>
      </c>
      <c r="H57" s="76" t="s">
        <v>139</v>
      </c>
      <c r="I57" s="76" t="s">
        <v>140</v>
      </c>
      <c r="J57" s="77" t="s">
        <v>141</v>
      </c>
    </row>
    <row r="58" ht="15" customHeight="1" spans="1:10">
      <c r="A58" s="85" t="s">
        <v>22</v>
      </c>
      <c r="B58" s="36">
        <f>$C$15*$J$15*($I$15/2)</f>
        <v>86950.5756276176</v>
      </c>
      <c r="C58" s="36">
        <f>$C$15*(1-$J$15)</f>
        <v>13021.5837896432</v>
      </c>
      <c r="D58" s="36">
        <f>B58+C58</f>
        <v>99972.1594172608</v>
      </c>
      <c r="E58" s="36">
        <f>$C$15</f>
        <v>42005.1089988491</v>
      </c>
      <c r="F58" s="91">
        <f>D58-E58</f>
        <v>57967.0504184117</v>
      </c>
      <c r="G58" s="91">
        <f>F58*(1-$G$15)</f>
        <v>47532.9813430976</v>
      </c>
      <c r="H58" s="91">
        <f>$D$15-G58</f>
        <v>81240.5480686674</v>
      </c>
      <c r="I58" s="96">
        <f>H58/$F$15</f>
        <v>10.9049154592562</v>
      </c>
      <c r="J58" s="32">
        <f>IFERROR(I58/$E$15-1,"")</f>
        <v>-0.368952849470147</v>
      </c>
    </row>
    <row r="59" ht="15" customHeight="1" spans="1:10">
      <c r="A59" s="85" t="s">
        <v>38</v>
      </c>
      <c r="B59" s="36">
        <f>$C$16*$J$16*($I$16/2)</f>
        <v>141566.87634786</v>
      </c>
      <c r="C59" s="36">
        <f>$C$16*(1-$J$16)</f>
        <v>32912.7164087424</v>
      </c>
      <c r="D59" s="36">
        <f>B59+C59</f>
        <v>174479.592756602</v>
      </c>
      <c r="E59" s="36">
        <f>$C$16</f>
        <v>84391.5805352369</v>
      </c>
      <c r="F59" s="91">
        <f>D59-E59</f>
        <v>90088.0122213655</v>
      </c>
      <c r="G59" s="91">
        <f>F59*(1-$G$16)</f>
        <v>72070.4097770924</v>
      </c>
      <c r="H59" s="91">
        <f>$D$16-G59</f>
        <v>23310.959788125</v>
      </c>
      <c r="I59" s="96">
        <f>H59/$F$16</f>
        <v>2.13875569572803</v>
      </c>
      <c r="J59" s="32">
        <f>IFERROR(I59/$E$16-1,"")</f>
        <v>-0.756771395423884</v>
      </c>
    </row>
    <row r="60" ht="15" customHeight="1" spans="1:10">
      <c r="A60" s="85" t="s">
        <v>42</v>
      </c>
      <c r="B60" s="36">
        <f>$C$17*$J$17*($I$17/2)</f>
        <v>90036.87</v>
      </c>
      <c r="C60" s="36">
        <f>$C$17*(1-$J$17)</f>
        <v>12862.41</v>
      </c>
      <c r="D60" s="36">
        <f>B60+C60</f>
        <v>102899.28</v>
      </c>
      <c r="E60" s="36">
        <f>$C$17</f>
        <v>42874.7</v>
      </c>
      <c r="F60" s="91">
        <f>D60-E60</f>
        <v>60024.58</v>
      </c>
      <c r="G60" s="91">
        <f>F60*(1-$G$17)</f>
        <v>50420.6472</v>
      </c>
      <c r="H60" s="91">
        <f>$D$17-G60</f>
        <v>124192.195937255</v>
      </c>
      <c r="I60" s="96">
        <f>H60/$F$17</f>
        <v>10.1725471585031</v>
      </c>
      <c r="J60" s="32">
        <f>IFERROR(I60/$E$17-1,"")</f>
        <v>-0.282953058112633</v>
      </c>
    </row>
    <row r="61" ht="15" customHeight="1" spans="1:10">
      <c r="A61" s="85" t="s">
        <v>48</v>
      </c>
      <c r="B61" s="36">
        <f>$C$18*$J$18*($I$18/2)</f>
        <v>62152.7499230362</v>
      </c>
      <c r="C61" s="36">
        <f>$C$18*(1-$J$18)</f>
        <v>5919.30951647964</v>
      </c>
      <c r="D61" s="36">
        <f>B61+C61</f>
        <v>68072.0594395158</v>
      </c>
      <c r="E61" s="36">
        <f>$C$18</f>
        <v>29596.5475823982</v>
      </c>
      <c r="F61" s="91">
        <f>D61-E61</f>
        <v>38475.5118571176</v>
      </c>
      <c r="G61" s="91">
        <f>F61*(1-$G$18)</f>
        <v>33473.6953156923</v>
      </c>
      <c r="H61" s="91">
        <f>$D$18-G61</f>
        <v>50287.2718974224</v>
      </c>
      <c r="I61" s="96">
        <f>H61/$F$18</f>
        <v>19.628646478887</v>
      </c>
      <c r="J61" s="32">
        <f>IFERROR(I61/$E$18-1,"")</f>
        <v>-0.390417759031965</v>
      </c>
    </row>
    <row r="62" ht="15" customHeight="1" spans="1:10">
      <c r="A62" s="85" t="s">
        <v>55</v>
      </c>
      <c r="B62" s="36">
        <f>$C$19*$J$19*($I$19/2)</f>
        <v>21027.3291992477</v>
      </c>
      <c r="C62" s="36">
        <f>$C$19*(1-$J$19)</f>
        <v>731.385363452093</v>
      </c>
      <c r="D62" s="36">
        <f>B62+C62</f>
        <v>21758.7145626998</v>
      </c>
      <c r="E62" s="36">
        <f>$C$19</f>
        <v>9142.31704315117</v>
      </c>
      <c r="F62" s="91">
        <f>D62-E62</f>
        <v>12616.3975195486</v>
      </c>
      <c r="G62" s="91">
        <f>F62*(1-$G$19)</f>
        <v>10093.1180156389</v>
      </c>
      <c r="H62" s="91">
        <f>$D$19-G62</f>
        <v>7107.9408078905</v>
      </c>
      <c r="I62" s="96">
        <f>H62/$F$19</f>
        <v>2.43402614982498</v>
      </c>
      <c r="J62" s="32">
        <f>IFERROR(I62/$E$19-1,"")</f>
        <v>-0.583812406814261</v>
      </c>
    </row>
  </sheetData>
  <mergeCells count="10">
    <mergeCell ref="A1:P1"/>
    <mergeCell ref="A4:P4"/>
    <mergeCell ref="A13:L13"/>
    <mergeCell ref="A22:L22"/>
    <mergeCell ref="A23:L23"/>
    <mergeCell ref="A24:L24"/>
    <mergeCell ref="A32:L32"/>
    <mergeCell ref="A40:L40"/>
    <mergeCell ref="A48:L48"/>
    <mergeCell ref="A56:L56"/>
  </mergeCells>
  <conditionalFormatting sqref="J26:J30">
    <cfRule type="colorScale" priority="2">
      <colorScale>
        <cfvo type="num" val="-0.4"/>
        <cfvo type="num" val="-0.1"/>
        <cfvo type="num" val="0.05"/>
        <color rgb="FFF8696B"/>
        <color rgb="FFFFEB84"/>
        <color rgb="FF63BE7B"/>
      </colorScale>
    </cfRule>
  </conditionalFormatting>
  <conditionalFormatting sqref="J34:J38">
    <cfRule type="colorScale" priority="3">
      <colorScale>
        <cfvo type="num" val="-0.4"/>
        <cfvo type="num" val="-0.1"/>
        <cfvo type="num" val="0.05"/>
        <color rgb="FFF8696B"/>
        <color rgb="FFFFEB84"/>
        <color rgb="FF63BE7B"/>
      </colorScale>
    </cfRule>
  </conditionalFormatting>
  <conditionalFormatting sqref="J42:J46">
    <cfRule type="colorScale" priority="4">
      <colorScale>
        <cfvo type="num" val="-0.4"/>
        <cfvo type="num" val="-0.1"/>
        <cfvo type="num" val="0.05"/>
        <color rgb="FFF8696B"/>
        <color rgb="FFFFEB84"/>
        <color rgb="FF63BE7B"/>
      </colorScale>
    </cfRule>
  </conditionalFormatting>
  <conditionalFormatting sqref="J50:J54">
    <cfRule type="colorScale" priority="5">
      <colorScale>
        <cfvo type="num" val="-0.4"/>
        <cfvo type="num" val="-0.1"/>
        <cfvo type="num" val="0.05"/>
        <color rgb="FFF8696B"/>
        <color rgb="FFFFEB84"/>
        <color rgb="FF63BE7B"/>
      </colorScale>
    </cfRule>
  </conditionalFormatting>
  <conditionalFormatting sqref="J58:J62">
    <cfRule type="colorScale" priority="6">
      <colorScale>
        <cfvo type="num" val="-0.4"/>
        <cfvo type="num" val="-0.1"/>
        <cfvo type="num" val="0.05"/>
        <color rgb="FFF8696B"/>
        <color rgb="FFFFEB84"/>
        <color rgb="FF63BE7B"/>
      </colorScale>
    </cfRule>
  </conditionalFormatting>
  <pageMargins left="0.75" right="0.75" top="1" bottom="1" header="0.511805555555556" footer="0.511805555555556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96"/>
  <sheetViews>
    <sheetView zoomScale="99" zoomScaleNormal="99" workbookViewId="0">
      <selection activeCell="E38" sqref="E38"/>
    </sheetView>
  </sheetViews>
  <sheetFormatPr defaultColWidth="9" defaultRowHeight="14"/>
  <cols>
    <col min="1" max="1" width="35" customWidth="1"/>
    <col min="2" max="2" width="14" customWidth="1"/>
    <col min="3" max="3" width="12" customWidth="1"/>
    <col min="4" max="4" width="14" customWidth="1"/>
    <col min="5" max="5" width="50" customWidth="1"/>
    <col min="6" max="7" width="14" customWidth="1"/>
    <col min="8" max="8" width="40" customWidth="1"/>
  </cols>
  <sheetData>
    <row r="1" customFormat="1" ht="16.4" spans="1:1">
      <c r="A1" s="55" t="s">
        <v>146</v>
      </c>
    </row>
    <row r="2" customFormat="1" spans="1:1">
      <c r="A2" s="56" t="s">
        <v>147</v>
      </c>
    </row>
    <row r="4" customFormat="1" spans="1:1">
      <c r="A4" s="57" t="s">
        <v>148</v>
      </c>
    </row>
    <row r="5" customFormat="1" spans="1:1">
      <c r="A5" s="56" t="s">
        <v>149</v>
      </c>
    </row>
    <row r="6" customFormat="1" spans="1:1">
      <c r="A6" s="56" t="s">
        <v>150</v>
      </c>
    </row>
    <row r="7" customFormat="1" spans="1:1">
      <c r="A7" s="56" t="s">
        <v>151</v>
      </c>
    </row>
    <row r="8" customFormat="1" spans="1:1">
      <c r="A8" s="56" t="s">
        <v>152</v>
      </c>
    </row>
    <row r="9" customFormat="1" spans="1:1">
      <c r="A9" s="56" t="s">
        <v>153</v>
      </c>
    </row>
    <row r="10" customFormat="1" spans="1:1">
      <c r="A10" s="56" t="s">
        <v>154</v>
      </c>
    </row>
    <row r="13" customFormat="1" spans="1:1">
      <c r="A13" s="58" t="s">
        <v>155</v>
      </c>
    </row>
    <row r="14" customFormat="1" spans="1:1">
      <c r="A14" s="56" t="s">
        <v>156</v>
      </c>
    </row>
    <row r="16" customFormat="1" ht="27" spans="1:5">
      <c r="A16" s="59" t="s">
        <v>157</v>
      </c>
      <c r="B16" s="59" t="s">
        <v>158</v>
      </c>
      <c r="C16" s="59" t="s">
        <v>159</v>
      </c>
      <c r="D16" s="59" t="s">
        <v>160</v>
      </c>
      <c r="E16" s="59" t="s">
        <v>161</v>
      </c>
    </row>
    <row r="17" customFormat="1" spans="1:5">
      <c r="A17" s="60" t="s">
        <v>162</v>
      </c>
      <c r="B17" s="61">
        <v>131852.85</v>
      </c>
      <c r="C17" s="62">
        <v>35</v>
      </c>
      <c r="D17" s="63">
        <f t="shared" ref="D17:D21" si="0">B17/C17</f>
        <v>3767.22428571429</v>
      </c>
      <c r="E17" s="56" t="s">
        <v>163</v>
      </c>
    </row>
    <row r="18" customFormat="1" spans="1:5">
      <c r="A18" s="60" t="s">
        <v>164</v>
      </c>
      <c r="B18" s="61">
        <v>172492</v>
      </c>
      <c r="C18" s="62">
        <v>5.5</v>
      </c>
      <c r="D18" s="63">
        <f t="shared" si="0"/>
        <v>31362.1818181818</v>
      </c>
      <c r="E18" s="56" t="s">
        <v>165</v>
      </c>
    </row>
    <row r="19" customFormat="1" spans="1:5">
      <c r="A19" s="60" t="s">
        <v>166</v>
      </c>
      <c r="B19" s="61">
        <v>65545</v>
      </c>
      <c r="C19" s="62">
        <v>11.5</v>
      </c>
      <c r="D19" s="63">
        <f t="shared" si="0"/>
        <v>5699.5652173913</v>
      </c>
      <c r="E19" s="56" t="s">
        <v>167</v>
      </c>
    </row>
    <row r="20" customFormat="1" spans="1:5">
      <c r="A20" s="60" t="s">
        <v>168</v>
      </c>
      <c r="B20" s="61">
        <v>63376</v>
      </c>
      <c r="C20" s="62">
        <v>6.5</v>
      </c>
      <c r="D20" s="63">
        <f t="shared" si="0"/>
        <v>9750.15384615385</v>
      </c>
      <c r="E20" s="56" t="s">
        <v>169</v>
      </c>
    </row>
    <row r="21" customFormat="1" spans="1:5">
      <c r="A21" s="60" t="s">
        <v>170</v>
      </c>
      <c r="B21" s="61">
        <v>5819</v>
      </c>
      <c r="C21" s="62">
        <v>7</v>
      </c>
      <c r="D21" s="63">
        <f t="shared" si="0"/>
        <v>831.285714285714</v>
      </c>
      <c r="E21" s="56" t="s">
        <v>171</v>
      </c>
    </row>
    <row r="22" customFormat="1" spans="1:4">
      <c r="A22" s="64" t="s">
        <v>172</v>
      </c>
      <c r="D22" s="65">
        <f>SUM(D17:D21)</f>
        <v>51410.410881727</v>
      </c>
    </row>
    <row r="23" customFormat="1" spans="1:4">
      <c r="A23" s="60" t="s">
        <v>173</v>
      </c>
      <c r="D23" s="61">
        <v>41900</v>
      </c>
    </row>
    <row r="24" customFormat="1" spans="1:4">
      <c r="A24" s="60" t="s">
        <v>174</v>
      </c>
      <c r="D24" s="66">
        <f>D23/D22</f>
        <v>0.815010019982017</v>
      </c>
    </row>
    <row r="25" customFormat="1" spans="1:4">
      <c r="A25" s="60" t="s">
        <v>175</v>
      </c>
      <c r="D25" s="63">
        <f>D18*D24</f>
        <v>25560.492430316</v>
      </c>
    </row>
    <row r="26" customFormat="1" spans="1:5">
      <c r="A26" s="67" t="s">
        <v>176</v>
      </c>
      <c r="D26" s="68">
        <f>D25/D23</f>
        <v>0.610035618861957</v>
      </c>
      <c r="E26" s="69"/>
    </row>
    <row r="31" customFormat="1" spans="1:1">
      <c r="A31" s="58" t="s">
        <v>177</v>
      </c>
    </row>
    <row r="32" customFormat="1" spans="1:1">
      <c r="A32" s="56" t="s">
        <v>178</v>
      </c>
    </row>
    <row r="34" customFormat="1" ht="27" spans="1:5">
      <c r="A34" s="59" t="s">
        <v>157</v>
      </c>
      <c r="B34" s="59" t="s">
        <v>158</v>
      </c>
      <c r="C34" s="59" t="s">
        <v>159</v>
      </c>
      <c r="D34" s="59" t="s">
        <v>160</v>
      </c>
      <c r="E34" s="59" t="s">
        <v>161</v>
      </c>
    </row>
    <row r="35" customFormat="1" spans="1:5">
      <c r="A35" s="60" t="s">
        <v>179</v>
      </c>
      <c r="B35" s="61">
        <v>203700</v>
      </c>
      <c r="E35" s="56" t="s">
        <v>180</v>
      </c>
    </row>
    <row r="36" customFormat="1" spans="1:5">
      <c r="A36" s="60" t="s">
        <v>181</v>
      </c>
      <c r="B36" s="61">
        <v>122220</v>
      </c>
      <c r="C36" s="62">
        <v>6</v>
      </c>
      <c r="D36" s="63">
        <f t="shared" ref="D36:D39" si="1">B36/C36</f>
        <v>20370</v>
      </c>
      <c r="E36" s="56" t="s">
        <v>182</v>
      </c>
    </row>
    <row r="37" customFormat="1" spans="1:5">
      <c r="A37" s="60" t="s">
        <v>183</v>
      </c>
      <c r="B37" s="61">
        <v>81480</v>
      </c>
      <c r="C37" s="62">
        <v>25</v>
      </c>
      <c r="D37" s="63">
        <f t="shared" si="1"/>
        <v>3259.2</v>
      </c>
      <c r="E37" s="56" t="s">
        <v>184</v>
      </c>
    </row>
    <row r="38" customFormat="1" spans="1:5">
      <c r="A38" s="60" t="s">
        <v>185</v>
      </c>
      <c r="B38" s="61">
        <v>33000</v>
      </c>
      <c r="C38" s="62">
        <v>28</v>
      </c>
      <c r="D38" s="63">
        <f t="shared" si="1"/>
        <v>1178.57142857143</v>
      </c>
      <c r="E38" s="56" t="s">
        <v>186</v>
      </c>
    </row>
    <row r="39" customFormat="1" spans="1:5">
      <c r="A39" s="60" t="s">
        <v>187</v>
      </c>
      <c r="B39" s="61">
        <v>29800</v>
      </c>
      <c r="C39" s="62">
        <v>7</v>
      </c>
      <c r="D39" s="63">
        <f t="shared" si="1"/>
        <v>4257.14285714286</v>
      </c>
      <c r="E39" s="56" t="s">
        <v>188</v>
      </c>
    </row>
    <row r="40" customFormat="1" spans="1:4">
      <c r="A40" s="64" t="s">
        <v>172</v>
      </c>
      <c r="D40" s="65">
        <f>SUM(D35:D39)</f>
        <v>29064.9142857143</v>
      </c>
    </row>
    <row r="41" customFormat="1" spans="1:4">
      <c r="A41" s="60" t="s">
        <v>173</v>
      </c>
      <c r="D41" s="61">
        <v>17000</v>
      </c>
    </row>
    <row r="42" customFormat="1" spans="1:4">
      <c r="A42" s="60" t="s">
        <v>174</v>
      </c>
      <c r="D42" s="66">
        <f>D41/D40</f>
        <v>0.584897647826737</v>
      </c>
    </row>
    <row r="43" customFormat="1" spans="1:4">
      <c r="A43" s="60" t="s">
        <v>175</v>
      </c>
      <c r="D43" s="63">
        <f>D36*D42</f>
        <v>11914.3650862306</v>
      </c>
    </row>
    <row r="44" customFormat="1" spans="1:5">
      <c r="A44" s="67" t="s">
        <v>176</v>
      </c>
      <c r="D44" s="68">
        <f>D43/D41</f>
        <v>0.70084500507239</v>
      </c>
      <c r="E44" s="69"/>
    </row>
    <row r="45" customFormat="1" spans="1:1">
      <c r="A45" s="56" t="s">
        <v>189</v>
      </c>
    </row>
    <row r="48" customFormat="1" spans="1:1">
      <c r="A48" s="58" t="s">
        <v>190</v>
      </c>
    </row>
    <row r="49" customFormat="1" spans="1:1">
      <c r="A49" s="56" t="s">
        <v>191</v>
      </c>
    </row>
    <row r="51" customFormat="1" ht="27" spans="1:5">
      <c r="A51" s="59" t="s">
        <v>157</v>
      </c>
      <c r="B51" s="59" t="s">
        <v>158</v>
      </c>
      <c r="C51" s="59" t="s">
        <v>159</v>
      </c>
      <c r="D51" s="59" t="s">
        <v>160</v>
      </c>
      <c r="E51" s="59" t="s">
        <v>161</v>
      </c>
    </row>
    <row r="52" customFormat="1" spans="1:5">
      <c r="A52" s="60" t="s">
        <v>164</v>
      </c>
      <c r="B52" s="61">
        <v>106000</v>
      </c>
      <c r="C52" s="62">
        <v>5.25</v>
      </c>
      <c r="D52" s="63">
        <f t="shared" ref="D52:D55" si="2">B52/C52</f>
        <v>20190.4761904762</v>
      </c>
      <c r="E52" s="56" t="s">
        <v>192</v>
      </c>
    </row>
    <row r="53" customFormat="1" spans="1:5">
      <c r="A53" s="60" t="s">
        <v>193</v>
      </c>
      <c r="B53" s="61">
        <v>50000</v>
      </c>
      <c r="C53" s="62">
        <v>30</v>
      </c>
      <c r="D53" s="63">
        <f t="shared" si="2"/>
        <v>1666.66666666667</v>
      </c>
      <c r="E53" s="56" t="s">
        <v>194</v>
      </c>
    </row>
    <row r="54" customFormat="1" spans="1:5">
      <c r="A54" s="60" t="s">
        <v>195</v>
      </c>
      <c r="B54" s="61">
        <v>15000</v>
      </c>
      <c r="C54" s="62">
        <v>15</v>
      </c>
      <c r="D54" s="63">
        <f t="shared" si="2"/>
        <v>1000</v>
      </c>
      <c r="E54" s="56" t="s">
        <v>196</v>
      </c>
    </row>
    <row r="55" customFormat="1" spans="1:5">
      <c r="A55" s="60" t="s">
        <v>197</v>
      </c>
      <c r="B55" s="61">
        <v>5000</v>
      </c>
      <c r="C55" s="62">
        <v>5</v>
      </c>
      <c r="D55" s="63">
        <f t="shared" si="2"/>
        <v>1000</v>
      </c>
      <c r="E55" s="56" t="s">
        <v>198</v>
      </c>
    </row>
    <row r="56" customFormat="1" spans="1:5">
      <c r="A56" s="60" t="s">
        <v>199</v>
      </c>
      <c r="B56" s="61">
        <v>2000</v>
      </c>
      <c r="E56" s="56" t="s">
        <v>200</v>
      </c>
    </row>
    <row r="57" customFormat="1" spans="1:5">
      <c r="A57" s="60" t="s">
        <v>201</v>
      </c>
      <c r="B57" s="61">
        <v>17000</v>
      </c>
      <c r="C57" s="62">
        <v>12</v>
      </c>
      <c r="D57" s="63">
        <f>B57/C57</f>
        <v>1416.66666666667</v>
      </c>
      <c r="E57" s="56" t="s">
        <v>202</v>
      </c>
    </row>
    <row r="58" customFormat="1" spans="1:4">
      <c r="A58" s="64" t="s">
        <v>172</v>
      </c>
      <c r="D58" s="65">
        <f>SUM(D52:D57)</f>
        <v>25273.8095238095</v>
      </c>
    </row>
    <row r="59" customFormat="1" spans="1:4">
      <c r="A59" s="60" t="s">
        <v>173</v>
      </c>
      <c r="D59" s="61">
        <v>18000</v>
      </c>
    </row>
    <row r="60" customFormat="1" spans="1:4">
      <c r="A60" s="60" t="s">
        <v>174</v>
      </c>
      <c r="D60" s="66">
        <f>D59/D58</f>
        <v>0.712199717381064</v>
      </c>
    </row>
    <row r="61" customFormat="1" spans="1:4">
      <c r="A61" s="60" t="s">
        <v>175</v>
      </c>
      <c r="D61" s="63">
        <f>D52*D60</f>
        <v>14379.6514366463</v>
      </c>
    </row>
    <row r="62" customFormat="1" spans="1:5">
      <c r="A62" s="67" t="s">
        <v>176</v>
      </c>
      <c r="D62" s="68">
        <f>D61/D59</f>
        <v>0.798869524258125</v>
      </c>
      <c r="E62" s="69"/>
    </row>
    <row r="63" customFormat="1" spans="1:1">
      <c r="A63" s="56" t="s">
        <v>203</v>
      </c>
    </row>
    <row r="66" customFormat="1" spans="1:1">
      <c r="A66" s="58" t="s">
        <v>204</v>
      </c>
    </row>
    <row r="67" customFormat="1" spans="1:1">
      <c r="A67" s="56" t="s">
        <v>205</v>
      </c>
    </row>
    <row r="69" customFormat="1" ht="27" spans="1:5">
      <c r="A69" s="59" t="s">
        <v>157</v>
      </c>
      <c r="B69" s="59" t="s">
        <v>158</v>
      </c>
      <c r="C69" s="59" t="s">
        <v>159</v>
      </c>
      <c r="D69" s="59" t="s">
        <v>160</v>
      </c>
      <c r="E69" s="59" t="s">
        <v>161</v>
      </c>
    </row>
    <row r="70" customFormat="1" spans="1:5">
      <c r="A70" s="60" t="s">
        <v>206</v>
      </c>
      <c r="B70" s="61">
        <v>30300</v>
      </c>
      <c r="C70" s="62">
        <v>5</v>
      </c>
      <c r="D70" s="63">
        <f t="shared" ref="D70:D72" si="3">B70/C70</f>
        <v>6060</v>
      </c>
      <c r="E70" s="56" t="s">
        <v>207</v>
      </c>
    </row>
    <row r="71" customFormat="1" spans="1:5">
      <c r="A71" s="60" t="s">
        <v>208</v>
      </c>
      <c r="B71" s="61">
        <v>9600</v>
      </c>
      <c r="C71" s="62">
        <v>25</v>
      </c>
      <c r="D71" s="63">
        <f t="shared" si="3"/>
        <v>384</v>
      </c>
      <c r="E71" s="56" t="s">
        <v>209</v>
      </c>
    </row>
    <row r="72" customFormat="1" spans="1:5">
      <c r="A72" s="60" t="s">
        <v>210</v>
      </c>
      <c r="B72" s="61">
        <v>800</v>
      </c>
      <c r="C72" s="62">
        <v>5</v>
      </c>
      <c r="D72" s="63">
        <f t="shared" si="3"/>
        <v>160</v>
      </c>
      <c r="E72" s="56" t="s">
        <v>211</v>
      </c>
    </row>
    <row r="73" customFormat="1" spans="1:5">
      <c r="A73" s="60" t="s">
        <v>199</v>
      </c>
      <c r="B73" s="61">
        <v>1100</v>
      </c>
      <c r="E73" s="56" t="s">
        <v>200</v>
      </c>
    </row>
    <row r="74" customFormat="1" spans="1:4">
      <c r="A74" s="64" t="s">
        <v>172</v>
      </c>
      <c r="D74" s="65">
        <f>SUM(D70:D73)</f>
        <v>6604</v>
      </c>
    </row>
    <row r="75" customFormat="1" spans="1:4">
      <c r="A75" s="60" t="s">
        <v>173</v>
      </c>
      <c r="D75" s="61">
        <v>9100</v>
      </c>
    </row>
    <row r="76" customFormat="1" spans="1:4">
      <c r="A76" s="60" t="s">
        <v>174</v>
      </c>
      <c r="D76" s="66">
        <f>D75/D74</f>
        <v>1.37795275590551</v>
      </c>
    </row>
    <row r="77" customFormat="1" spans="1:4">
      <c r="A77" s="60" t="s">
        <v>175</v>
      </c>
      <c r="D77" s="63">
        <f>D70*D76</f>
        <v>8350.3937007874</v>
      </c>
    </row>
    <row r="78" customFormat="1" spans="1:5">
      <c r="A78" s="67" t="s">
        <v>176</v>
      </c>
      <c r="D78" s="68">
        <f>D77/D75</f>
        <v>0.917625681405209</v>
      </c>
      <c r="E78" s="69"/>
    </row>
    <row r="79" customFormat="1" spans="1:1">
      <c r="A79" s="56" t="s">
        <v>212</v>
      </c>
    </row>
    <row r="81" customFormat="1" ht="15" customHeight="1" spans="1:1">
      <c r="A81" s="12" t="s">
        <v>213</v>
      </c>
    </row>
    <row r="82" ht="15" customHeight="1" spans="1:8">
      <c r="A82" s="14" t="s">
        <v>214</v>
      </c>
      <c r="B82" s="15" t="s">
        <v>215</v>
      </c>
      <c r="C82" s="15" t="s">
        <v>216</v>
      </c>
      <c r="D82" s="15" t="s">
        <v>217</v>
      </c>
      <c r="E82" s="15" t="s">
        <v>218</v>
      </c>
      <c r="F82" s="15" t="s">
        <v>219</v>
      </c>
      <c r="G82" s="15" t="s">
        <v>220</v>
      </c>
      <c r="H82" s="15" t="s">
        <v>221</v>
      </c>
    </row>
    <row r="83" ht="15" customHeight="1" spans="1:8">
      <c r="A83" s="19" t="s">
        <v>222</v>
      </c>
      <c r="B83" s="18">
        <v>7438</v>
      </c>
      <c r="C83" s="18">
        <v>9989</v>
      </c>
      <c r="D83" s="18">
        <v>9381</v>
      </c>
      <c r="E83" s="18">
        <v>14330</v>
      </c>
      <c r="F83" s="18">
        <v>18819</v>
      </c>
      <c r="G83" s="18">
        <v>41432</v>
      </c>
      <c r="H83" s="18">
        <v>85947</v>
      </c>
    </row>
    <row r="84" ht="15" customHeight="1" spans="1:8">
      <c r="A84" s="16" t="s">
        <v>223</v>
      </c>
      <c r="B84" s="18">
        <v>4377</v>
      </c>
      <c r="C84" s="18">
        <v>6197</v>
      </c>
      <c r="D84" s="18">
        <v>7805</v>
      </c>
      <c r="E84" s="18">
        <v>10301</v>
      </c>
      <c r="F84" s="18">
        <v>13768</v>
      </c>
      <c r="G84" s="18">
        <v>36747</v>
      </c>
      <c r="H84" s="18">
        <v>50201</v>
      </c>
    </row>
    <row r="85" ht="15" customHeight="1" spans="1:8">
      <c r="A85" s="16" t="s">
        <v>224</v>
      </c>
      <c r="B85" s="18">
        <v>3330</v>
      </c>
      <c r="C85" s="18">
        <v>3736</v>
      </c>
      <c r="D85" s="18">
        <v>3281</v>
      </c>
      <c r="E85" s="18">
        <v>3150</v>
      </c>
      <c r="F85" s="18">
        <v>11710</v>
      </c>
      <c r="G85" s="18">
        <v>21628</v>
      </c>
      <c r="H85" s="18">
        <v>32878</v>
      </c>
    </row>
    <row r="86" ht="15" customHeight="1" spans="1:8">
      <c r="A86" s="16" t="s">
        <v>225</v>
      </c>
      <c r="B86" s="18">
        <v>396</v>
      </c>
      <c r="C86" s="18">
        <v>2380</v>
      </c>
      <c r="D86" s="18">
        <v>2525</v>
      </c>
      <c r="E86" s="18">
        <v>2053</v>
      </c>
      <c r="F86" s="18">
        <v>3823</v>
      </c>
      <c r="G86" s="18">
        <v>10020</v>
      </c>
      <c r="H86" s="18">
        <v>9745</v>
      </c>
    </row>
    <row r="87" ht="15" customHeight="1" spans="1:8">
      <c r="A87" s="16" t="s">
        <v>226</v>
      </c>
      <c r="B87" s="18">
        <v>19000</v>
      </c>
      <c r="C87" s="18">
        <v>24200</v>
      </c>
      <c r="D87" s="18">
        <v>29200</v>
      </c>
      <c r="E87" s="18">
        <v>31900</v>
      </c>
      <c r="F87" s="18">
        <v>55700</v>
      </c>
      <c r="G87" s="18">
        <v>88200</v>
      </c>
      <c r="H87" s="18">
        <v>145871</v>
      </c>
    </row>
    <row r="88" ht="15" customHeight="1" spans="1:8">
      <c r="A88" s="19" t="s">
        <v>227</v>
      </c>
      <c r="B88" s="70">
        <v>0.39</v>
      </c>
      <c r="C88" s="70">
        <v>0.41</v>
      </c>
      <c r="D88" s="70">
        <v>0.32</v>
      </c>
      <c r="E88" s="70">
        <v>0.45</v>
      </c>
      <c r="F88" s="70">
        <v>0.34</v>
      </c>
      <c r="G88" s="70">
        <v>0.47</v>
      </c>
      <c r="H88" s="70">
        <v>0.59</v>
      </c>
    </row>
    <row r="89" ht="15" customHeight="1" spans="1:8">
      <c r="A89" s="19" t="s">
        <v>228</v>
      </c>
      <c r="B89" s="71"/>
      <c r="C89" s="71"/>
      <c r="D89" s="71"/>
      <c r="E89" s="18">
        <v>2231</v>
      </c>
      <c r="F89" s="18">
        <v>10063</v>
      </c>
      <c r="G89" s="18">
        <v>14563</v>
      </c>
      <c r="H89" s="18">
        <v>23911</v>
      </c>
    </row>
    <row r="90" ht="15" customHeight="1" spans="1:8">
      <c r="A90" s="16" t="s">
        <v>229</v>
      </c>
      <c r="B90" s="71"/>
      <c r="C90" s="71"/>
      <c r="D90" s="71"/>
      <c r="E90" s="18">
        <v>680</v>
      </c>
      <c r="F90" s="18">
        <v>3304</v>
      </c>
      <c r="G90" s="18">
        <v>5132</v>
      </c>
      <c r="H90" s="18">
        <v>8149</v>
      </c>
    </row>
    <row r="91" ht="15" customHeight="1" spans="1:8">
      <c r="A91" s="16" t="s">
        <v>230</v>
      </c>
      <c r="B91" s="18">
        <v>10700</v>
      </c>
      <c r="C91" s="18">
        <v>9300</v>
      </c>
      <c r="D91" s="18">
        <v>12600</v>
      </c>
      <c r="E91" s="18">
        <v>11000</v>
      </c>
      <c r="F91" s="18">
        <v>15200</v>
      </c>
      <c r="G91" s="18">
        <v>22000</v>
      </c>
      <c r="H91" s="18">
        <v>34839</v>
      </c>
    </row>
    <row r="92" ht="15" customHeight="1" spans="1:8">
      <c r="A92" s="19" t="s">
        <v>231</v>
      </c>
      <c r="B92" s="71"/>
      <c r="C92" s="71"/>
      <c r="D92" s="71"/>
      <c r="E92" s="70">
        <v>0.2</v>
      </c>
      <c r="F92" s="70">
        <v>0.66</v>
      </c>
      <c r="G92" s="70">
        <v>0.66</v>
      </c>
      <c r="H92" s="70">
        <v>0.69</v>
      </c>
    </row>
    <row r="93" ht="15" customHeight="1" spans="1:8">
      <c r="A93" s="72" t="s">
        <v>232</v>
      </c>
      <c r="B93" s="73">
        <v>6</v>
      </c>
      <c r="C93" s="73">
        <v>6</v>
      </c>
      <c r="D93" s="73">
        <v>6</v>
      </c>
      <c r="E93" s="73">
        <v>6</v>
      </c>
      <c r="F93" s="73">
        <v>6</v>
      </c>
      <c r="G93" s="73">
        <v>6</v>
      </c>
      <c r="H93" s="73">
        <v>6</v>
      </c>
    </row>
    <row r="94" ht="15" customHeight="1" spans="1:8">
      <c r="A94" s="74" t="s">
        <v>233</v>
      </c>
      <c r="B94" s="73">
        <v>15</v>
      </c>
      <c r="C94" s="73">
        <v>15</v>
      </c>
      <c r="D94" s="73">
        <v>15</v>
      </c>
      <c r="E94" s="73">
        <v>15</v>
      </c>
      <c r="F94" s="73">
        <v>15</v>
      </c>
      <c r="G94" s="73">
        <v>15</v>
      </c>
      <c r="H94" s="73">
        <v>15</v>
      </c>
    </row>
    <row r="96" customFormat="1" ht="30" customHeight="1" spans="1:1">
      <c r="A96" s="75" t="s">
        <v>234</v>
      </c>
    </row>
  </sheetData>
  <mergeCells count="2">
    <mergeCell ref="A81:P81"/>
    <mergeCell ref="A96:P96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72"/>
  <sheetViews>
    <sheetView showGridLines="0" zoomScale="94" zoomScaleNormal="94" topLeftCell="A15" workbookViewId="0">
      <pane xSplit="1" topLeftCell="B1" activePane="topRight" state="frozen"/>
      <selection/>
      <selection pane="topRight" activeCell="F25" sqref="F25"/>
    </sheetView>
  </sheetViews>
  <sheetFormatPr defaultColWidth="8.6796875" defaultRowHeight="14"/>
  <cols>
    <col min="1" max="1" width="38" customWidth="1"/>
    <col min="2" max="17" width="11" customWidth="1"/>
  </cols>
  <sheetData>
    <row r="1" ht="25.5" customHeight="1" spans="1:1">
      <c r="A1" s="11" t="s">
        <v>235</v>
      </c>
    </row>
    <row r="3" ht="15" customHeight="1" spans="1:1">
      <c r="A3" s="12" t="s">
        <v>236</v>
      </c>
    </row>
    <row r="4" ht="15" customHeight="1" spans="1:1">
      <c r="A4" s="13" t="s">
        <v>237</v>
      </c>
    </row>
    <row r="5" ht="15" customHeight="1" spans="1:14">
      <c r="A5" s="14" t="s">
        <v>2</v>
      </c>
      <c r="B5" s="15" t="s">
        <v>8</v>
      </c>
      <c r="C5" s="15" t="s">
        <v>9</v>
      </c>
      <c r="D5" s="15" t="s">
        <v>10</v>
      </c>
      <c r="E5" s="15" t="s">
        <v>11</v>
      </c>
      <c r="F5" s="15" t="s">
        <v>12</v>
      </c>
      <c r="G5" s="15" t="s">
        <v>13</v>
      </c>
      <c r="H5" s="15" t="s">
        <v>14</v>
      </c>
      <c r="I5" s="15" t="s">
        <v>238</v>
      </c>
      <c r="J5" s="15" t="s">
        <v>16</v>
      </c>
      <c r="K5" s="15" t="s">
        <v>17</v>
      </c>
      <c r="L5" s="15" t="s">
        <v>239</v>
      </c>
      <c r="M5" s="15" t="s">
        <v>240</v>
      </c>
      <c r="N5" s="15" t="s">
        <v>241</v>
      </c>
    </row>
    <row r="6" ht="15" customHeight="1" spans="1:14">
      <c r="A6" s="16" t="s">
        <v>242</v>
      </c>
      <c r="B6" s="17">
        <v>160</v>
      </c>
      <c r="C6" s="17">
        <v>165</v>
      </c>
      <c r="D6" s="17">
        <v>142</v>
      </c>
      <c r="E6" s="17">
        <v>200</v>
      </c>
      <c r="F6" s="17">
        <v>224</v>
      </c>
      <c r="G6" s="17">
        <v>222</v>
      </c>
      <c r="H6" s="17">
        <v>239</v>
      </c>
      <c r="I6" s="17">
        <v>269</v>
      </c>
      <c r="J6" s="17">
        <v>337</v>
      </c>
      <c r="K6" s="17">
        <v>386</v>
      </c>
      <c r="L6" s="17">
        <v>420</v>
      </c>
      <c r="M6" s="17">
        <v>450</v>
      </c>
      <c r="N6" s="17">
        <v>478</v>
      </c>
    </row>
    <row r="7" ht="15" customHeight="1" spans="1:14">
      <c r="A7" s="16" t="s">
        <v>243</v>
      </c>
      <c r="B7" s="18">
        <v>644</v>
      </c>
      <c r="C7" s="18">
        <v>697</v>
      </c>
      <c r="D7" s="18">
        <v>591</v>
      </c>
      <c r="E7" s="18">
        <v>739</v>
      </c>
      <c r="F7" s="18">
        <v>892</v>
      </c>
      <c r="G7" s="18">
        <v>958</v>
      </c>
      <c r="H7" s="18">
        <v>1077</v>
      </c>
      <c r="I7" s="18">
        <v>1296</v>
      </c>
      <c r="J7" s="18">
        <v>1724</v>
      </c>
      <c r="K7" s="18">
        <v>2103</v>
      </c>
      <c r="L7" s="18">
        <v>2400</v>
      </c>
      <c r="M7" s="18">
        <v>2600</v>
      </c>
      <c r="N7" s="18">
        <v>2750</v>
      </c>
    </row>
    <row r="8" ht="15" customHeight="1" spans="1:14">
      <c r="A8" s="16" t="s">
        <v>244</v>
      </c>
      <c r="B8" s="18">
        <v>50</v>
      </c>
      <c r="C8" s="18">
        <v>55</v>
      </c>
      <c r="D8" s="18">
        <v>60</v>
      </c>
      <c r="E8" s="18">
        <v>86</v>
      </c>
      <c r="F8" s="18">
        <v>158</v>
      </c>
      <c r="G8" s="18">
        <v>154</v>
      </c>
      <c r="H8" s="18">
        <v>237</v>
      </c>
      <c r="I8" s="18">
        <v>412</v>
      </c>
      <c r="J8" s="18">
        <v>755</v>
      </c>
      <c r="K8" s="18">
        <v>892</v>
      </c>
      <c r="L8" s="18">
        <v>950</v>
      </c>
      <c r="M8" s="18">
        <v>980</v>
      </c>
      <c r="N8" s="18">
        <v>1000</v>
      </c>
    </row>
    <row r="9" ht="15" customHeight="1" spans="1:14">
      <c r="A9" s="19" t="s">
        <v>245</v>
      </c>
      <c r="B9" s="18">
        <v>770</v>
      </c>
      <c r="C9" s="18">
        <v>729</v>
      </c>
      <c r="D9" s="18">
        <v>520</v>
      </c>
      <c r="E9" s="18">
        <v>919</v>
      </c>
      <c r="F9" s="18">
        <v>950</v>
      </c>
      <c r="G9" s="18">
        <v>823</v>
      </c>
      <c r="H9" s="18">
        <v>982</v>
      </c>
      <c r="I9" s="18">
        <v>1066</v>
      </c>
      <c r="J9" s="18">
        <v>1098</v>
      </c>
      <c r="K9" s="18">
        <v>1153</v>
      </c>
      <c r="L9" s="18">
        <v>1200</v>
      </c>
      <c r="M9" s="18">
        <v>1250</v>
      </c>
      <c r="N9" s="18">
        <v>1300</v>
      </c>
    </row>
    <row r="11" ht="15" customHeight="1" spans="1:1">
      <c r="A11" s="20" t="s">
        <v>246</v>
      </c>
    </row>
    <row r="12" ht="15" customHeight="1" spans="1:1">
      <c r="A12" s="21" t="s">
        <v>247</v>
      </c>
    </row>
    <row r="13" ht="15" customHeight="1" spans="1:14">
      <c r="A13" s="22" t="s">
        <v>2</v>
      </c>
      <c r="B13" s="22" t="s">
        <v>8</v>
      </c>
      <c r="C13" s="22" t="s">
        <v>9</v>
      </c>
      <c r="D13" s="22" t="s">
        <v>10</v>
      </c>
      <c r="E13" s="22" t="s">
        <v>11</v>
      </c>
      <c r="F13" s="22" t="s">
        <v>12</v>
      </c>
      <c r="G13" s="22" t="s">
        <v>13</v>
      </c>
      <c r="H13" s="22" t="s">
        <v>14</v>
      </c>
      <c r="I13" s="22" t="s">
        <v>238</v>
      </c>
      <c r="J13" s="22" t="s">
        <v>16</v>
      </c>
      <c r="K13" s="22" t="s">
        <v>17</v>
      </c>
      <c r="L13" s="22" t="s">
        <v>18</v>
      </c>
      <c r="M13" s="22" t="s">
        <v>19</v>
      </c>
      <c r="N13" s="22" t="s">
        <v>20</v>
      </c>
    </row>
    <row r="14" ht="21.75" customHeight="1" spans="1:14">
      <c r="A14" s="23" t="s">
        <v>248</v>
      </c>
      <c r="B14" s="24">
        <v>3085</v>
      </c>
      <c r="C14" s="24">
        <v>4143</v>
      </c>
      <c r="D14" s="24">
        <v>4247</v>
      </c>
      <c r="E14" s="24">
        <v>7381</v>
      </c>
      <c r="F14" s="24">
        <v>11259</v>
      </c>
      <c r="G14" s="24">
        <v>8366</v>
      </c>
      <c r="H14" s="24">
        <v>32312</v>
      </c>
      <c r="I14" s="24">
        <v>74265</v>
      </c>
      <c r="J14" s="24">
        <v>116997</v>
      </c>
      <c r="K14" s="24">
        <v>212170</v>
      </c>
      <c r="L14" s="24">
        <v>291644</v>
      </c>
      <c r="M14" s="24">
        <v>328664</v>
      </c>
      <c r="N14" s="24">
        <v>366752</v>
      </c>
    </row>
    <row r="15" ht="21.75" customHeight="1" spans="1:14">
      <c r="A15" s="23" t="s">
        <v>249</v>
      </c>
      <c r="B15" s="24">
        <v>9391</v>
      </c>
      <c r="C15" s="24">
        <v>9452</v>
      </c>
      <c r="D15" s="24">
        <v>9993</v>
      </c>
      <c r="E15" s="24">
        <v>12578</v>
      </c>
      <c r="F15" s="24">
        <v>16526</v>
      </c>
      <c r="G15" s="24">
        <v>18378</v>
      </c>
      <c r="H15" s="24">
        <v>23733</v>
      </c>
      <c r="I15" s="24">
        <v>33728</v>
      </c>
      <c r="J15" s="24">
        <v>55026</v>
      </c>
      <c r="K15" s="24">
        <v>87678</v>
      </c>
      <c r="L15" s="24">
        <v>110964</v>
      </c>
      <c r="M15" s="24">
        <v>140835</v>
      </c>
      <c r="N15" s="24">
        <v>148395</v>
      </c>
    </row>
    <row r="16" ht="15" customHeight="1" spans="1:14">
      <c r="A16" s="23" t="s">
        <v>250</v>
      </c>
      <c r="B16" s="24">
        <v>14700</v>
      </c>
      <c r="C16" s="24">
        <v>7314</v>
      </c>
      <c r="D16" s="24">
        <v>3235</v>
      </c>
      <c r="E16" s="24">
        <v>6976</v>
      </c>
      <c r="F16" s="24">
        <v>9475</v>
      </c>
      <c r="G16" s="24">
        <v>-4862</v>
      </c>
      <c r="H16" s="24">
        <v>1472</v>
      </c>
      <c r="I16" s="24">
        <v>9470</v>
      </c>
      <c r="J16" s="24">
        <v>67762</v>
      </c>
      <c r="K16" s="24">
        <v>118946</v>
      </c>
      <c r="L16" s="24">
        <v>105153</v>
      </c>
      <c r="M16" s="24">
        <v>142465</v>
      </c>
      <c r="N16" s="24">
        <v>116649</v>
      </c>
    </row>
    <row r="17" ht="15" customHeight="1" spans="1:14">
      <c r="A17" s="23" t="s">
        <v>251</v>
      </c>
      <c r="B17" s="24">
        <v>514</v>
      </c>
      <c r="C17" s="24">
        <v>756</v>
      </c>
      <c r="D17" s="24">
        <v>1575</v>
      </c>
      <c r="E17" s="24">
        <v>3435</v>
      </c>
      <c r="F17" s="24">
        <v>5504</v>
      </c>
      <c r="G17" s="24">
        <v>4302</v>
      </c>
      <c r="H17" s="24">
        <v>5420</v>
      </c>
      <c r="I17" s="24">
        <v>6831</v>
      </c>
      <c r="J17" s="24">
        <v>12025</v>
      </c>
      <c r="K17" s="24">
        <v>21710</v>
      </c>
      <c r="L17" s="24">
        <v>29961</v>
      </c>
      <c r="M17" s="24">
        <v>40615</v>
      </c>
      <c r="N17" s="24">
        <v>52584</v>
      </c>
    </row>
    <row r="18" ht="15" customHeight="1" spans="1:14">
      <c r="A18" s="23" t="s">
        <v>252</v>
      </c>
      <c r="B18" s="24">
        <v>5443</v>
      </c>
      <c r="C18" s="24">
        <v>4323</v>
      </c>
      <c r="D18" s="24">
        <v>4816</v>
      </c>
      <c r="E18" s="24">
        <v>9811</v>
      </c>
      <c r="F18" s="24">
        <v>14254</v>
      </c>
      <c r="G18" s="24">
        <v>9486</v>
      </c>
      <c r="H18" s="24">
        <v>11545</v>
      </c>
      <c r="I18" s="24">
        <v>13298</v>
      </c>
      <c r="J18" s="24">
        <v>11507.2727272727</v>
      </c>
      <c r="K18" s="24">
        <v>11056.7941176471</v>
      </c>
      <c r="L18" s="24">
        <v>12247.9411764706</v>
      </c>
      <c r="M18" s="24">
        <v>13921.6666666667</v>
      </c>
      <c r="N18" s="24">
        <v>16849</v>
      </c>
    </row>
    <row r="19" ht="15" customHeight="1" spans="1:14">
      <c r="A19" s="23" t="s">
        <v>253</v>
      </c>
      <c r="B19" s="24">
        <v>4569</v>
      </c>
      <c r="C19" s="24">
        <v>2875</v>
      </c>
      <c r="D19" s="24">
        <v>3845</v>
      </c>
      <c r="E19" s="24">
        <v>6287</v>
      </c>
      <c r="F19" s="24">
        <v>6756</v>
      </c>
      <c r="G19" s="24">
        <v>6802</v>
      </c>
      <c r="H19" s="24">
        <v>7210</v>
      </c>
      <c r="I19" s="24">
        <v>7607</v>
      </c>
      <c r="J19" s="24">
        <v>9591</v>
      </c>
      <c r="K19" s="24">
        <v>12654</v>
      </c>
      <c r="L19" s="24">
        <v>14184</v>
      </c>
      <c r="M19" s="24">
        <v>13978</v>
      </c>
      <c r="N19" s="24">
        <v>14450</v>
      </c>
    </row>
    <row r="20" ht="15" customHeight="1" spans="1:14">
      <c r="A20" s="23" t="s">
        <v>254</v>
      </c>
      <c r="B20" s="24">
        <v>643</v>
      </c>
      <c r="C20" s="24">
        <v>787</v>
      </c>
      <c r="D20" s="24">
        <v>827</v>
      </c>
      <c r="E20" s="24">
        <v>915</v>
      </c>
      <c r="F20" s="24">
        <v>1448</v>
      </c>
      <c r="G20" s="24">
        <v>2199</v>
      </c>
      <c r="H20" s="24">
        <v>2910</v>
      </c>
      <c r="I20" s="24">
        <v>3806</v>
      </c>
      <c r="J20" s="24">
        <v>4636</v>
      </c>
      <c r="K20" s="24">
        <v>5714</v>
      </c>
      <c r="L20" s="24">
        <v>6899</v>
      </c>
      <c r="M20" s="24">
        <v>8592</v>
      </c>
      <c r="N20" s="24">
        <v>9652</v>
      </c>
    </row>
    <row r="21" ht="15" customHeight="1" spans="1:14">
      <c r="A21" s="23" t="s">
        <v>255</v>
      </c>
      <c r="B21" s="24">
        <v>616</v>
      </c>
      <c r="C21" s="24">
        <v>716</v>
      </c>
      <c r="D21" s="24">
        <v>1827</v>
      </c>
      <c r="E21" s="24">
        <v>627</v>
      </c>
      <c r="F21" s="24">
        <v>1279</v>
      </c>
      <c r="G21" s="24">
        <v>1822</v>
      </c>
      <c r="H21" s="24">
        <v>1310</v>
      </c>
      <c r="I21" s="24">
        <v>1377</v>
      </c>
      <c r="J21" s="24">
        <v>2466</v>
      </c>
      <c r="K21" s="24">
        <v>3358</v>
      </c>
      <c r="L21" s="24">
        <v>4806</v>
      </c>
      <c r="M21" s="24">
        <v>6530</v>
      </c>
      <c r="N21" s="24">
        <v>7352</v>
      </c>
    </row>
    <row r="22" ht="15" customHeight="1" spans="1:14">
      <c r="A22" s="23" t="s">
        <v>256</v>
      </c>
      <c r="B22" s="24">
        <v>21525</v>
      </c>
      <c r="C22" s="24">
        <v>21784</v>
      </c>
      <c r="D22" s="24">
        <v>22431</v>
      </c>
      <c r="E22" s="24">
        <v>22356</v>
      </c>
      <c r="F22" s="24">
        <v>7594</v>
      </c>
      <c r="G22" s="24">
        <v>4423</v>
      </c>
      <c r="H22" s="24">
        <v>-566</v>
      </c>
      <c r="I22" s="24">
        <v>1929</v>
      </c>
      <c r="J22" s="24">
        <v>5578</v>
      </c>
      <c r="K22" s="24">
        <v>7876</v>
      </c>
      <c r="L22" s="24">
        <v>11373</v>
      </c>
      <c r="M22" s="24">
        <v>18425</v>
      </c>
      <c r="N22" s="24">
        <v>24941</v>
      </c>
    </row>
    <row r="23" spans="1:14">
      <c r="A23" s="25" t="s">
        <v>257</v>
      </c>
      <c r="B23" s="24">
        <v>46</v>
      </c>
      <c r="C23" s="24">
        <v>72</v>
      </c>
      <c r="D23" s="24">
        <v>150</v>
      </c>
      <c r="E23" s="24">
        <v>136</v>
      </c>
      <c r="F23" s="24">
        <v>311</v>
      </c>
      <c r="G23" s="24">
        <v>673</v>
      </c>
      <c r="H23" s="24">
        <v>1345</v>
      </c>
      <c r="I23" s="24">
        <v>1316</v>
      </c>
      <c r="J23" s="24">
        <v>1825</v>
      </c>
      <c r="K23" s="24">
        <v>2299</v>
      </c>
      <c r="L23" s="24">
        <v>1191</v>
      </c>
      <c r="M23" s="24">
        <v>2839</v>
      </c>
      <c r="N23" s="24">
        <v>3602</v>
      </c>
    </row>
    <row r="24" ht="15" customHeight="1" spans="1:14">
      <c r="A24" s="26" t="s">
        <v>258</v>
      </c>
      <c r="B24" s="27">
        <f t="shared" ref="B24:N24" si="0">SUM(B14:B23)</f>
        <v>60532</v>
      </c>
      <c r="C24" s="27">
        <f t="shared" si="0"/>
        <v>52222</v>
      </c>
      <c r="D24" s="27">
        <f t="shared" si="0"/>
        <v>52946</v>
      </c>
      <c r="E24" s="27">
        <f t="shared" si="0"/>
        <v>70502</v>
      </c>
      <c r="F24" s="27">
        <f t="shared" si="0"/>
        <v>74406</v>
      </c>
      <c r="G24" s="27">
        <f t="shared" si="0"/>
        <v>51589</v>
      </c>
      <c r="H24" s="27">
        <f t="shared" si="0"/>
        <v>86691</v>
      </c>
      <c r="I24" s="27">
        <f t="shared" si="0"/>
        <v>153627</v>
      </c>
      <c r="J24" s="27">
        <f t="shared" si="0"/>
        <v>287413.272727273</v>
      </c>
      <c r="K24" s="27">
        <f t="shared" si="0"/>
        <v>483461.794117647</v>
      </c>
      <c r="L24" s="27">
        <f t="shared" si="0"/>
        <v>588422.941176471</v>
      </c>
      <c r="M24" s="27">
        <f t="shared" si="0"/>
        <v>716864.666666667</v>
      </c>
      <c r="N24" s="27">
        <f t="shared" si="0"/>
        <v>761226</v>
      </c>
    </row>
    <row r="25" ht="15" customHeight="1" spans="1:14">
      <c r="A25" s="26" t="s">
        <v>259</v>
      </c>
      <c r="B25" s="28">
        <f t="shared" ref="B25:N25" si="1">B24/8800</f>
        <v>6.87863636363636</v>
      </c>
      <c r="C25" s="28">
        <f t="shared" si="1"/>
        <v>5.93431818181818</v>
      </c>
      <c r="D25" s="28">
        <f t="shared" si="1"/>
        <v>6.01659090909091</v>
      </c>
      <c r="E25" s="28">
        <f t="shared" si="1"/>
        <v>8.01159090909091</v>
      </c>
      <c r="F25" s="28">
        <f t="shared" si="1"/>
        <v>8.45522727272727</v>
      </c>
      <c r="G25" s="28">
        <f t="shared" si="1"/>
        <v>5.86238636363636</v>
      </c>
      <c r="H25" s="28">
        <f t="shared" si="1"/>
        <v>9.85125</v>
      </c>
      <c r="I25" s="28">
        <f t="shared" si="1"/>
        <v>17.4576136363636</v>
      </c>
      <c r="J25" s="28">
        <f t="shared" si="1"/>
        <v>32.6605991735537</v>
      </c>
      <c r="K25" s="28">
        <f t="shared" si="1"/>
        <v>54.9388402406417</v>
      </c>
      <c r="L25" s="28">
        <f t="shared" si="1"/>
        <v>66.866243315508</v>
      </c>
      <c r="M25" s="28">
        <f t="shared" si="1"/>
        <v>81.4618939393939</v>
      </c>
      <c r="N25" s="28">
        <f t="shared" si="1"/>
        <v>86.5029545454545</v>
      </c>
    </row>
    <row r="26" ht="15" customHeight="1" spans="1:14">
      <c r="A26" s="29" t="s">
        <v>260</v>
      </c>
      <c r="B26" s="30">
        <f t="shared" ref="B26:N26" si="2">B6-B25</f>
        <v>153.121363636364</v>
      </c>
      <c r="C26" s="30">
        <f t="shared" si="2"/>
        <v>159.065681818182</v>
      </c>
      <c r="D26" s="30">
        <f t="shared" si="2"/>
        <v>135.983409090909</v>
      </c>
      <c r="E26" s="30">
        <f t="shared" si="2"/>
        <v>191.988409090909</v>
      </c>
      <c r="F26" s="30">
        <f t="shared" si="2"/>
        <v>215.544772727273</v>
      </c>
      <c r="G26" s="30">
        <f t="shared" si="2"/>
        <v>216.137613636364</v>
      </c>
      <c r="H26" s="30">
        <f t="shared" si="2"/>
        <v>229.14875</v>
      </c>
      <c r="I26" s="30">
        <f t="shared" si="2"/>
        <v>251.542386363636</v>
      </c>
      <c r="J26" s="30">
        <f t="shared" si="2"/>
        <v>304.339400826446</v>
      </c>
      <c r="K26" s="30">
        <f t="shared" si="2"/>
        <v>331.061159759358</v>
      </c>
      <c r="L26" s="30">
        <f t="shared" si="2"/>
        <v>353.133756684492</v>
      </c>
      <c r="M26" s="30">
        <f t="shared" si="2"/>
        <v>368.538106060606</v>
      </c>
      <c r="N26" s="30">
        <f t="shared" si="2"/>
        <v>391.497045454546</v>
      </c>
    </row>
    <row r="27" spans="1:14">
      <c r="A27" s="25" t="s">
        <v>261</v>
      </c>
      <c r="B27" s="31">
        <f t="shared" ref="B27:N27" si="3">IFERROR(B25/B6,"")</f>
        <v>0.0429914772727273</v>
      </c>
      <c r="C27" s="31">
        <f t="shared" si="3"/>
        <v>0.035965564738292</v>
      </c>
      <c r="D27" s="31">
        <f t="shared" si="3"/>
        <v>0.0423703585147247</v>
      </c>
      <c r="E27" s="31">
        <f t="shared" si="3"/>
        <v>0.0400579545454545</v>
      </c>
      <c r="F27" s="31">
        <f t="shared" si="3"/>
        <v>0.0377465503246753</v>
      </c>
      <c r="G27" s="31">
        <f t="shared" si="3"/>
        <v>0.0264071457821458</v>
      </c>
      <c r="H27" s="31">
        <f t="shared" si="3"/>
        <v>0.0412186192468619</v>
      </c>
      <c r="I27" s="31">
        <f t="shared" si="3"/>
        <v>0.064898191956742</v>
      </c>
      <c r="J27" s="31">
        <f t="shared" si="3"/>
        <v>0.0969157245506044</v>
      </c>
      <c r="K27" s="31">
        <f t="shared" si="3"/>
        <v>0.142328601659694</v>
      </c>
      <c r="L27" s="31">
        <f t="shared" si="3"/>
        <v>0.1592053412274</v>
      </c>
      <c r="M27" s="31">
        <f t="shared" si="3"/>
        <v>0.181026430976431</v>
      </c>
      <c r="N27" s="31">
        <f t="shared" si="3"/>
        <v>0.180968524153671</v>
      </c>
    </row>
    <row r="28" ht="15" customHeight="1" spans="1:14">
      <c r="A28" s="25" t="s">
        <v>262</v>
      </c>
      <c r="C28" s="32">
        <f t="shared" ref="C28:N28" si="4">IFERROR(C25/B25-1,"")</f>
        <v>-0.137282759532148</v>
      </c>
      <c r="D28" s="32">
        <f t="shared" si="4"/>
        <v>0.0138638887825058</v>
      </c>
      <c r="E28" s="32">
        <f t="shared" si="4"/>
        <v>0.331583122426623</v>
      </c>
      <c r="F28" s="32">
        <f t="shared" si="4"/>
        <v>0.0553743156222517</v>
      </c>
      <c r="G28" s="32">
        <f t="shared" si="4"/>
        <v>-0.306655377254523</v>
      </c>
      <c r="H28" s="32">
        <f t="shared" si="4"/>
        <v>0.680416367830353</v>
      </c>
      <c r="I28" s="32">
        <f t="shared" si="4"/>
        <v>0.772121673530121</v>
      </c>
      <c r="J28" s="32">
        <f t="shared" si="4"/>
        <v>0.870851300404702</v>
      </c>
      <c r="K28" s="32">
        <f t="shared" si="4"/>
        <v>0.682113666950954</v>
      </c>
      <c r="L28" s="32">
        <f t="shared" si="4"/>
        <v>0.217103291999289</v>
      </c>
      <c r="M28" s="32">
        <f t="shared" si="4"/>
        <v>0.218281301598123</v>
      </c>
      <c r="N28" s="32">
        <f t="shared" si="4"/>
        <v>0.0618824380612983</v>
      </c>
    </row>
    <row r="29" ht="15" customHeight="1" spans="1:1">
      <c r="A29" s="33" t="s">
        <v>263</v>
      </c>
    </row>
    <row r="30" ht="15" customHeight="1" spans="1:2">
      <c r="A30" s="29" t="s">
        <v>264</v>
      </c>
      <c r="B30" s="34">
        <v>21</v>
      </c>
    </row>
    <row r="31" ht="15" customHeight="1" spans="1:2">
      <c r="A31" s="29" t="s">
        <v>265</v>
      </c>
      <c r="B31" s="34">
        <v>40</v>
      </c>
    </row>
    <row r="32" ht="15" customHeight="1"/>
    <row r="33" spans="1:8">
      <c r="A33" s="35" t="s">
        <v>266</v>
      </c>
      <c r="B33" s="35" t="s">
        <v>14</v>
      </c>
      <c r="C33" s="35" t="s">
        <v>238</v>
      </c>
      <c r="D33" s="35" t="s">
        <v>16</v>
      </c>
      <c r="E33" s="35" t="s">
        <v>17</v>
      </c>
      <c r="F33" s="35" t="s">
        <v>18</v>
      </c>
      <c r="G33" s="35" t="s">
        <v>19</v>
      </c>
      <c r="H33" s="35" t="s">
        <v>20</v>
      </c>
    </row>
    <row r="34" ht="15" customHeight="1" spans="1:8">
      <c r="A34" s="25" t="s">
        <v>267</v>
      </c>
      <c r="B34" s="36">
        <f>H26*$B$30</f>
        <v>4812.12375</v>
      </c>
      <c r="C34" s="36">
        <f>I26*$B$30</f>
        <v>5282.39011363636</v>
      </c>
      <c r="D34" s="36">
        <f>J26*$B$30</f>
        <v>6391.12741735537</v>
      </c>
      <c r="E34" s="36">
        <f>K26*$B$30</f>
        <v>6952.28435494652</v>
      </c>
      <c r="F34" s="36">
        <f>L26*$B$30</f>
        <v>7415.80889037433</v>
      </c>
      <c r="G34" s="36">
        <f>M26*$B$30</f>
        <v>7739.30022727273</v>
      </c>
      <c r="H34" s="36">
        <f>N26*$B$30</f>
        <v>8221.43795454546</v>
      </c>
    </row>
    <row r="35" ht="15" customHeight="1" spans="1:8">
      <c r="A35" s="25" t="s">
        <v>268</v>
      </c>
      <c r="B35" s="36">
        <f>H25*$B$31</f>
        <v>394.05</v>
      </c>
      <c r="C35" s="36">
        <f>I25*$B$31</f>
        <v>698.304545454545</v>
      </c>
      <c r="D35" s="36">
        <f>J25*$B$31</f>
        <v>1306.42396694215</v>
      </c>
      <c r="E35" s="36">
        <f>K25*$B$31</f>
        <v>2197.55360962567</v>
      </c>
      <c r="F35" s="36">
        <f>L25*$B$31</f>
        <v>2674.64973262032</v>
      </c>
      <c r="G35" s="36">
        <f>M25*$B$31</f>
        <v>3258.47575757576</v>
      </c>
      <c r="H35" s="36">
        <f>N25*$B$31</f>
        <v>3460.11818181818</v>
      </c>
    </row>
    <row r="36" ht="15" customHeight="1" spans="1:8">
      <c r="A36" s="37" t="s">
        <v>269</v>
      </c>
      <c r="B36" s="38">
        <f t="shared" ref="B36:H36" si="5">B34+B35</f>
        <v>5206.17375</v>
      </c>
      <c r="C36" s="38">
        <f t="shared" si="5"/>
        <v>5980.69465909091</v>
      </c>
      <c r="D36" s="38">
        <f t="shared" si="5"/>
        <v>7697.55138429752</v>
      </c>
      <c r="E36" s="38">
        <f t="shared" si="5"/>
        <v>9149.83796457219</v>
      </c>
      <c r="F36" s="38">
        <f t="shared" si="5"/>
        <v>10090.4586229947</v>
      </c>
      <c r="G36" s="38">
        <f t="shared" si="5"/>
        <v>10997.7759848485</v>
      </c>
      <c r="H36" s="38">
        <f t="shared" si="5"/>
        <v>11681.5561363636</v>
      </c>
    </row>
    <row r="37" ht="15" customHeight="1" spans="1:8">
      <c r="A37" s="25" t="s">
        <v>270</v>
      </c>
      <c r="B37" s="39">
        <f t="shared" ref="B37:H37" si="6">IFERROR(B36/H6,"")</f>
        <v>21.7831537656904</v>
      </c>
      <c r="C37" s="39">
        <f t="shared" si="6"/>
        <v>22.2330656471781</v>
      </c>
      <c r="D37" s="39">
        <f t="shared" si="6"/>
        <v>22.8413987664615</v>
      </c>
      <c r="E37" s="39">
        <f t="shared" si="6"/>
        <v>23.7042434315342</v>
      </c>
      <c r="F37" s="39">
        <f t="shared" si="6"/>
        <v>24.0249014833206</v>
      </c>
      <c r="G37" s="39">
        <f t="shared" si="6"/>
        <v>24.4395021885522</v>
      </c>
      <c r="H37" s="39">
        <f t="shared" si="6"/>
        <v>24.4384019589197</v>
      </c>
    </row>
    <row r="38" ht="15" customHeight="1"/>
    <row r="39" ht="15" customHeight="1" spans="1:1">
      <c r="A39" s="33" t="s">
        <v>271</v>
      </c>
    </row>
    <row r="40" ht="15" customHeight="1" spans="1:1">
      <c r="A40" s="40" t="s">
        <v>272</v>
      </c>
    </row>
    <row r="41" ht="15" customHeight="1" spans="1:6">
      <c r="A41" s="35" t="s">
        <v>273</v>
      </c>
      <c r="B41" s="35" t="s">
        <v>274</v>
      </c>
      <c r="C41" s="35" t="s">
        <v>275</v>
      </c>
      <c r="D41" s="35" t="s">
        <v>276</v>
      </c>
      <c r="E41" s="35" t="s">
        <v>277</v>
      </c>
      <c r="F41" s="35" t="s">
        <v>278</v>
      </c>
    </row>
    <row r="42" ht="15" customHeight="1" spans="1:6">
      <c r="A42" s="41" t="s">
        <v>279</v>
      </c>
      <c r="B42" s="42">
        <f>J26*22+J25*40</f>
        <v>8001.89078512397</v>
      </c>
      <c r="C42" s="42">
        <f>J26*20+J25*40</f>
        <v>7393.21198347107</v>
      </c>
      <c r="D42" s="42">
        <f>J26*18+J25*40</f>
        <v>6784.53318181818</v>
      </c>
      <c r="E42" s="42">
        <f>J26*16+J25*40</f>
        <v>6175.85438016529</v>
      </c>
      <c r="F42" s="42">
        <f>J26*14+J25*40</f>
        <v>5567.1755785124</v>
      </c>
    </row>
    <row r="43" ht="15" customHeight="1" spans="1:6">
      <c r="A43" s="41" t="s">
        <v>280</v>
      </c>
      <c r="B43" s="42">
        <f>J26*22+J25*35</f>
        <v>7838.5877892562</v>
      </c>
      <c r="C43" s="42">
        <f>J26*20+J25*35</f>
        <v>7229.90898760331</v>
      </c>
      <c r="D43" s="42">
        <f>J26*18+J25*35</f>
        <v>6621.23018595041</v>
      </c>
      <c r="E43" s="42">
        <f>J26*16+J25*35</f>
        <v>6012.55138429752</v>
      </c>
      <c r="F43" s="42">
        <f>J26*14+J25*35</f>
        <v>5403.87258264463</v>
      </c>
    </row>
    <row r="44" spans="1:6">
      <c r="A44" s="41" t="s">
        <v>281</v>
      </c>
      <c r="B44" s="42">
        <f>J26*22+J25*30</f>
        <v>7675.28479338843</v>
      </c>
      <c r="C44" s="42">
        <f>J26*20+J25*30</f>
        <v>7066.60599173554</v>
      </c>
      <c r="D44" s="42">
        <f>J26*18+J25*30</f>
        <v>6457.92719008264</v>
      </c>
      <c r="E44" s="42">
        <f>J26*16+J25*30</f>
        <v>5849.24838842975</v>
      </c>
      <c r="F44" s="42">
        <f>J26*14+J25*30</f>
        <v>5240.56958677686</v>
      </c>
    </row>
    <row r="45" ht="15" customHeight="1" spans="1:6">
      <c r="A45" s="41" t="s">
        <v>282</v>
      </c>
      <c r="B45" s="42">
        <f>J26*22+J25*25</f>
        <v>7511.98179752066</v>
      </c>
      <c r="C45" s="42">
        <f>J26*20+J25*25</f>
        <v>6903.30299586777</v>
      </c>
      <c r="D45" s="42">
        <f>J26*18+J25*25</f>
        <v>6294.62419421488</v>
      </c>
      <c r="E45" s="42">
        <f>J26*16+J25*25</f>
        <v>5685.94539256198</v>
      </c>
      <c r="F45" s="42">
        <f>J26*14+J25*25</f>
        <v>5077.26659090909</v>
      </c>
    </row>
    <row r="46" ht="15" customHeight="1" spans="1:6">
      <c r="A46" s="41" t="s">
        <v>275</v>
      </c>
      <c r="B46" s="42">
        <f>J26*22+J25*20</f>
        <v>7348.67880165289</v>
      </c>
      <c r="C46" s="42">
        <f>J26*20+J25*20</f>
        <v>6740</v>
      </c>
      <c r="D46" s="42">
        <f>J26*18+J25*20</f>
        <v>6131.32119834711</v>
      </c>
      <c r="E46" s="42">
        <f>J26*16+J25*20</f>
        <v>5522.64239669421</v>
      </c>
      <c r="F46" s="42">
        <f>J26*14+J25*20</f>
        <v>4913.96359504132</v>
      </c>
    </row>
    <row r="47" ht="15" customHeight="1" spans="1:6">
      <c r="A47" s="41" t="s">
        <v>283</v>
      </c>
      <c r="B47" s="42">
        <f>J26*22+J25*15</f>
        <v>7185.37580578512</v>
      </c>
      <c r="C47" s="42">
        <f>J26*20+J25*15</f>
        <v>6576.69700413223</v>
      </c>
      <c r="D47" s="42">
        <f>J26*18+J25*15</f>
        <v>5968.01820247934</v>
      </c>
      <c r="E47" s="42">
        <f>J26*16+J25*15</f>
        <v>5359.33940082645</v>
      </c>
      <c r="F47" s="42">
        <f>J26*14+J25*15</f>
        <v>4750.66059917355</v>
      </c>
    </row>
    <row r="48" ht="15" customHeight="1" spans="1:6">
      <c r="A48" s="41" t="s">
        <v>284</v>
      </c>
      <c r="B48" s="42">
        <f>J26*22+J25*10</f>
        <v>7022.07280991736</v>
      </c>
      <c r="C48" s="42">
        <f>J26*20+J25*10</f>
        <v>6413.39400826446</v>
      </c>
      <c r="D48" s="42">
        <f>J26*18+J25*10</f>
        <v>5804.71520661157</v>
      </c>
      <c r="E48" s="42">
        <f>J26*16+J25*10</f>
        <v>5196.03640495868</v>
      </c>
      <c r="F48" s="42">
        <f>J26*14+J25*10</f>
        <v>4587.35760330579</v>
      </c>
    </row>
    <row r="49" ht="15" customHeight="1"/>
    <row r="50" ht="15" customHeight="1" spans="1:1">
      <c r="A50" s="33" t="s">
        <v>285</v>
      </c>
    </row>
    <row r="51" ht="15" customHeight="1" spans="1:1">
      <c r="A51" s="43" t="s">
        <v>286</v>
      </c>
    </row>
    <row r="52" spans="1:1">
      <c r="A52" s="40" t="s">
        <v>287</v>
      </c>
    </row>
    <row r="53" ht="15" customHeight="1" spans="1:12">
      <c r="A53" s="35" t="s">
        <v>2</v>
      </c>
      <c r="B53" s="35" t="s">
        <v>14</v>
      </c>
      <c r="C53" s="35" t="s">
        <v>238</v>
      </c>
      <c r="D53" s="35" t="s">
        <v>16</v>
      </c>
      <c r="E53" s="35" t="s">
        <v>17</v>
      </c>
      <c r="F53" s="35" t="s">
        <v>18</v>
      </c>
      <c r="G53" s="35" t="s">
        <v>19</v>
      </c>
      <c r="H53" s="35" t="s">
        <v>20</v>
      </c>
      <c r="I53" s="50" t="s">
        <v>288</v>
      </c>
      <c r="J53" s="51">
        <v>40</v>
      </c>
      <c r="K53" s="50" t="s">
        <v>289</v>
      </c>
      <c r="L53" s="51">
        <v>21</v>
      </c>
    </row>
    <row r="54" ht="15" customHeight="1" spans="1:8">
      <c r="A54" s="25" t="s">
        <v>290</v>
      </c>
      <c r="B54" s="30">
        <f t="shared" ref="B54:H54" si="7">H25</f>
        <v>9.85125</v>
      </c>
      <c r="C54" s="30">
        <f t="shared" si="7"/>
        <v>17.4576136363636</v>
      </c>
      <c r="D54" s="30">
        <f t="shared" si="7"/>
        <v>32.6605991735537</v>
      </c>
      <c r="E54" s="30">
        <f t="shared" si="7"/>
        <v>54.9388402406417</v>
      </c>
      <c r="F54" s="30">
        <f t="shared" si="7"/>
        <v>66.866243315508</v>
      </c>
      <c r="G54" s="30">
        <f t="shared" si="7"/>
        <v>81.4618939393939</v>
      </c>
      <c r="H54" s="30">
        <f t="shared" si="7"/>
        <v>86.5029545454545</v>
      </c>
    </row>
    <row r="55" ht="15" customHeight="1" spans="1:8">
      <c r="A55" s="25" t="s">
        <v>291</v>
      </c>
      <c r="B55" s="30">
        <f t="shared" ref="B55:H55" si="8">H26</f>
        <v>229.14875</v>
      </c>
      <c r="C55" s="30">
        <f t="shared" si="8"/>
        <v>251.542386363636</v>
      </c>
      <c r="D55" s="30">
        <f t="shared" si="8"/>
        <v>304.339400826446</v>
      </c>
      <c r="E55" s="30">
        <f t="shared" si="8"/>
        <v>331.061159759358</v>
      </c>
      <c r="F55" s="30">
        <f t="shared" si="8"/>
        <v>353.133756684492</v>
      </c>
      <c r="G55" s="30">
        <f t="shared" si="8"/>
        <v>368.538106060606</v>
      </c>
      <c r="H55" s="30">
        <f t="shared" si="8"/>
        <v>391.497045454546</v>
      </c>
    </row>
    <row r="56" ht="15" customHeight="1" spans="1:8">
      <c r="A56" s="44" t="s">
        <v>292</v>
      </c>
      <c r="B56" s="45">
        <f t="shared" ref="B56:H56" si="9">B54*$J$53+B55*$L$53</f>
        <v>5206.17375</v>
      </c>
      <c r="C56" s="45">
        <f t="shared" si="9"/>
        <v>5980.69465909091</v>
      </c>
      <c r="D56" s="45">
        <f t="shared" si="9"/>
        <v>7697.55138429752</v>
      </c>
      <c r="E56" s="45">
        <f t="shared" si="9"/>
        <v>9149.83796457219</v>
      </c>
      <c r="F56" s="45">
        <f t="shared" si="9"/>
        <v>10090.4586229947</v>
      </c>
      <c r="G56" s="45">
        <f t="shared" si="9"/>
        <v>10997.7759848485</v>
      </c>
      <c r="H56" s="45">
        <f t="shared" si="9"/>
        <v>11681.5561363636</v>
      </c>
    </row>
    <row r="57" ht="15" customHeight="1"/>
    <row r="58" ht="15" customHeight="1" spans="1:1">
      <c r="A58" s="46" t="s">
        <v>293</v>
      </c>
    </row>
    <row r="59" ht="15" customHeight="1" spans="1:1">
      <c r="A59" s="40" t="s">
        <v>294</v>
      </c>
    </row>
    <row r="60" spans="1:12">
      <c r="A60" s="35" t="s">
        <v>2</v>
      </c>
      <c r="B60" s="35" t="s">
        <v>14</v>
      </c>
      <c r="C60" s="35" t="s">
        <v>238</v>
      </c>
      <c r="D60" s="35" t="s">
        <v>16</v>
      </c>
      <c r="E60" s="35" t="s">
        <v>17</v>
      </c>
      <c r="F60" s="35" t="s">
        <v>18</v>
      </c>
      <c r="G60" s="35" t="s">
        <v>19</v>
      </c>
      <c r="H60" s="35" t="s">
        <v>20</v>
      </c>
      <c r="I60" s="50" t="s">
        <v>288</v>
      </c>
      <c r="J60" s="51">
        <v>25</v>
      </c>
      <c r="K60" s="50" t="s">
        <v>289</v>
      </c>
      <c r="L60" s="51">
        <v>18</v>
      </c>
    </row>
    <row r="61" ht="15" customHeight="1" spans="1:8">
      <c r="A61" s="25" t="s">
        <v>290</v>
      </c>
      <c r="B61" s="30">
        <f>H25</f>
        <v>9.85125</v>
      </c>
      <c r="C61" s="30">
        <f>I25</f>
        <v>17.4576136363636</v>
      </c>
      <c r="D61" s="30">
        <f>J25*0.93</f>
        <v>30.3743572314049</v>
      </c>
      <c r="E61" s="30">
        <f>K25*0.93^2</f>
        <v>47.516602924131</v>
      </c>
      <c r="F61" s="30">
        <f>L25*0.93^3</f>
        <v>53.7843308745321</v>
      </c>
      <c r="G61" s="30">
        <f>M25*0.93^4</f>
        <v>60.9377334997704</v>
      </c>
      <c r="H61" s="30">
        <f>N25*0.93^5</f>
        <v>60.1790993873593</v>
      </c>
    </row>
    <row r="62" ht="15" customHeight="1" spans="1:8">
      <c r="A62" s="25" t="s">
        <v>291</v>
      </c>
      <c r="B62" s="30">
        <f t="shared" ref="B62:H62" si="10">H26</f>
        <v>229.14875</v>
      </c>
      <c r="C62" s="30">
        <f t="shared" si="10"/>
        <v>251.542386363636</v>
      </c>
      <c r="D62" s="30">
        <f t="shared" si="10"/>
        <v>304.339400826446</v>
      </c>
      <c r="E62" s="30">
        <f t="shared" si="10"/>
        <v>331.061159759358</v>
      </c>
      <c r="F62" s="30">
        <f t="shared" si="10"/>
        <v>353.133756684492</v>
      </c>
      <c r="G62" s="30">
        <f t="shared" si="10"/>
        <v>368.538106060606</v>
      </c>
      <c r="H62" s="30">
        <f t="shared" si="10"/>
        <v>391.497045454546</v>
      </c>
    </row>
    <row r="63" ht="15" customHeight="1" spans="1:8">
      <c r="A63" s="37" t="s">
        <v>292</v>
      </c>
      <c r="B63" s="47">
        <f t="shared" ref="B63:H63" si="11">B61*$J$60+B62*$L$60</f>
        <v>4370.95875</v>
      </c>
      <c r="C63" s="47">
        <f t="shared" si="11"/>
        <v>4964.20329545455</v>
      </c>
      <c r="D63" s="47">
        <f t="shared" si="11"/>
        <v>6237.46814566116</v>
      </c>
      <c r="E63" s="47">
        <f t="shared" si="11"/>
        <v>7147.01594877172</v>
      </c>
      <c r="F63" s="47">
        <f t="shared" si="11"/>
        <v>7701.01589218416</v>
      </c>
      <c r="G63" s="47">
        <f t="shared" si="11"/>
        <v>8157.12924658517</v>
      </c>
      <c r="H63" s="47">
        <f t="shared" si="11"/>
        <v>8551.4243028658</v>
      </c>
    </row>
    <row r="64" ht="15" customHeight="1" spans="1:8">
      <c r="A64" s="48" t="s">
        <v>295</v>
      </c>
      <c r="B64" s="49">
        <f t="shared" ref="B64:H64" si="12">IFERROR(B63/B56-1,"")</f>
        <v>-0.160427799782902</v>
      </c>
      <c r="C64" s="49">
        <f t="shared" si="12"/>
        <v>-0.169962089954091</v>
      </c>
      <c r="D64" s="49">
        <f t="shared" si="12"/>
        <v>-0.189681518932739</v>
      </c>
      <c r="E64" s="49">
        <f t="shared" si="12"/>
        <v>-0.218891528304142</v>
      </c>
      <c r="F64" s="49">
        <f t="shared" si="12"/>
        <v>-0.236802193050503</v>
      </c>
      <c r="G64" s="49">
        <f t="shared" si="12"/>
        <v>-0.258292835040179</v>
      </c>
      <c r="H64" s="49">
        <f t="shared" si="12"/>
        <v>-0.267955039290871</v>
      </c>
    </row>
    <row r="65" ht="15" customHeight="1"/>
    <row r="66" ht="15" customHeight="1" spans="1:1">
      <c r="A66" s="52" t="s">
        <v>296</v>
      </c>
    </row>
    <row r="67" ht="15" customHeight="1" spans="1:1">
      <c r="A67" s="40" t="s">
        <v>297</v>
      </c>
    </row>
    <row r="68" spans="1:12">
      <c r="A68" s="35" t="s">
        <v>2</v>
      </c>
      <c r="B68" s="35" t="s">
        <v>14</v>
      </c>
      <c r="C68" s="35" t="s">
        <v>238</v>
      </c>
      <c r="D68" s="35" t="s">
        <v>16</v>
      </c>
      <c r="E68" s="35" t="s">
        <v>17</v>
      </c>
      <c r="F68" s="35" t="s">
        <v>18</v>
      </c>
      <c r="G68" s="35" t="s">
        <v>19</v>
      </c>
      <c r="H68" s="35" t="s">
        <v>20</v>
      </c>
      <c r="I68" s="50" t="s">
        <v>288</v>
      </c>
      <c r="J68" s="51">
        <v>15</v>
      </c>
      <c r="K68" s="50" t="s">
        <v>289</v>
      </c>
      <c r="L68" s="51">
        <v>17</v>
      </c>
    </row>
    <row r="69" spans="1:8">
      <c r="A69" s="25" t="s">
        <v>290</v>
      </c>
      <c r="B69" s="30">
        <f>H25</f>
        <v>9.85125</v>
      </c>
      <c r="C69" s="30">
        <f>I25</f>
        <v>17.4576136363636</v>
      </c>
      <c r="D69" s="30">
        <f>J25*0.7</f>
        <v>22.8624194214876</v>
      </c>
      <c r="E69" s="30">
        <f>K25*0.7^2</f>
        <v>26.9200317179144</v>
      </c>
      <c r="F69" s="30">
        <f>L25*0.7^3</f>
        <v>22.9351214572192</v>
      </c>
      <c r="G69" s="30">
        <f>M25*0.7^4</f>
        <v>19.5590007348485</v>
      </c>
      <c r="H69" s="30">
        <f>N25*0.7^5</f>
        <v>14.5385515704545</v>
      </c>
    </row>
    <row r="70" spans="1:8">
      <c r="A70" s="25" t="s">
        <v>291</v>
      </c>
      <c r="B70" s="30">
        <f t="shared" ref="B70:H70" si="13">H26</f>
        <v>229.14875</v>
      </c>
      <c r="C70" s="30">
        <f t="shared" si="13"/>
        <v>251.542386363636</v>
      </c>
      <c r="D70" s="30">
        <f t="shared" si="13"/>
        <v>304.339400826446</v>
      </c>
      <c r="E70" s="30">
        <f t="shared" si="13"/>
        <v>331.061159759358</v>
      </c>
      <c r="F70" s="30">
        <f t="shared" si="13"/>
        <v>353.133756684492</v>
      </c>
      <c r="G70" s="30">
        <f t="shared" si="13"/>
        <v>368.538106060606</v>
      </c>
      <c r="H70" s="30">
        <f t="shared" si="13"/>
        <v>391.497045454546</v>
      </c>
    </row>
    <row r="71" spans="1:8">
      <c r="A71" s="53" t="s">
        <v>292</v>
      </c>
      <c r="B71" s="54">
        <f t="shared" ref="B71:H71" si="14">B69*$J$68+B70*$L$68</f>
        <v>4043.2975</v>
      </c>
      <c r="C71" s="54">
        <f t="shared" si="14"/>
        <v>4538.08477272727</v>
      </c>
      <c r="D71" s="54">
        <f t="shared" si="14"/>
        <v>5516.7061053719</v>
      </c>
      <c r="E71" s="54">
        <f t="shared" si="14"/>
        <v>6031.84019167781</v>
      </c>
      <c r="F71" s="54">
        <f t="shared" si="14"/>
        <v>6347.30068549465</v>
      </c>
      <c r="G71" s="54">
        <f t="shared" si="14"/>
        <v>6558.53281405303</v>
      </c>
      <c r="H71" s="54">
        <f t="shared" si="14"/>
        <v>6873.52804628409</v>
      </c>
    </row>
    <row r="72" spans="1:8">
      <c r="A72" s="48" t="s">
        <v>295</v>
      </c>
      <c r="B72" s="49">
        <f t="shared" ref="B72:H72" si="15">IFERROR(B71/B56-1,"")</f>
        <v>-0.223364856003893</v>
      </c>
      <c r="C72" s="49">
        <f t="shared" si="15"/>
        <v>-0.24121109145253</v>
      </c>
      <c r="D72" s="49">
        <f t="shared" si="15"/>
        <v>-0.283316754906553</v>
      </c>
      <c r="E72" s="49">
        <f t="shared" si="15"/>
        <v>-0.340770818561722</v>
      </c>
      <c r="F72" s="49">
        <f t="shared" si="15"/>
        <v>-0.370960139410304</v>
      </c>
      <c r="G72" s="49">
        <f t="shared" si="15"/>
        <v>-0.40364917206091</v>
      </c>
      <c r="H72" s="49">
        <f t="shared" si="15"/>
        <v>-0.41159140391515</v>
      </c>
    </row>
  </sheetData>
  <mergeCells count="15">
    <mergeCell ref="A1:N1"/>
    <mergeCell ref="A3:N3"/>
    <mergeCell ref="A4:N4"/>
    <mergeCell ref="A11:N11"/>
    <mergeCell ref="A12:N12"/>
    <mergeCell ref="A29:N29"/>
    <mergeCell ref="A39:N39"/>
    <mergeCell ref="A40:N40"/>
    <mergeCell ref="A50:N50"/>
    <mergeCell ref="A51:N51"/>
    <mergeCell ref="A52:N52"/>
    <mergeCell ref="A58:N58"/>
    <mergeCell ref="A59:N59"/>
    <mergeCell ref="A66:N66"/>
    <mergeCell ref="A67:N67"/>
  </mergeCells>
  <conditionalFormatting sqref="B37:F43">
    <cfRule type="colorScale" priority="2">
      <colorScale>
        <cfvo type="num" val="3500"/>
        <cfvo type="num" val="5500"/>
        <cfvo type="num" val="7500"/>
        <color rgb="FFF8696B"/>
        <color rgb="FFFFEB84"/>
        <color rgb="FF63BE7B"/>
      </colorScale>
    </cfRule>
  </conditionalFormatting>
  <conditionalFormatting sqref="B42:F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05555555556" footer="0.511805555555556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T14"/>
  <sheetViews>
    <sheetView showGridLines="0" workbookViewId="0">
      <selection activeCell="D24" sqref="D24"/>
    </sheetView>
  </sheetViews>
  <sheetFormatPr defaultColWidth="9" defaultRowHeight="14"/>
  <cols>
    <col min="1" max="1" width="28" customWidth="1"/>
    <col min="2" max="21" width="9.5" customWidth="1"/>
  </cols>
  <sheetData>
    <row r="1" spans="1:1">
      <c r="A1" s="1" t="s">
        <v>298</v>
      </c>
    </row>
    <row r="3" spans="1:20">
      <c r="A3" s="2" t="s">
        <v>2</v>
      </c>
      <c r="B3" s="3" t="s">
        <v>299</v>
      </c>
      <c r="C3" s="3" t="s">
        <v>300</v>
      </c>
      <c r="D3" s="3" t="s">
        <v>301</v>
      </c>
      <c r="E3" s="3" t="s">
        <v>302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238</v>
      </c>
      <c r="S3" s="3" t="s">
        <v>16</v>
      </c>
      <c r="T3" s="3" t="s">
        <v>17</v>
      </c>
    </row>
    <row r="4" spans="1:20">
      <c r="A4" s="4" t="s">
        <v>303</v>
      </c>
      <c r="B4" s="5">
        <v>859</v>
      </c>
      <c r="C4" s="5">
        <v>924</v>
      </c>
      <c r="D4" s="5">
        <v>1018</v>
      </c>
      <c r="E4" s="5">
        <v>1054</v>
      </c>
      <c r="F4" s="5">
        <v>1120</v>
      </c>
      <c r="G4" s="5">
        <v>1144</v>
      </c>
      <c r="H4" s="5">
        <v>1129</v>
      </c>
      <c r="I4" s="5">
        <v>1129</v>
      </c>
      <c r="J4" s="5">
        <v>1190</v>
      </c>
      <c r="K4" s="5">
        <v>1307</v>
      </c>
      <c r="L4" s="5">
        <v>1356</v>
      </c>
      <c r="M4" s="5">
        <v>1326</v>
      </c>
      <c r="N4" s="5">
        <v>1510</v>
      </c>
      <c r="O4" s="5">
        <v>1704</v>
      </c>
      <c r="P4" s="5">
        <v>1785</v>
      </c>
      <c r="Q4" s="5">
        <v>1864</v>
      </c>
      <c r="R4" s="5">
        <v>1947</v>
      </c>
      <c r="S4" s="5">
        <v>2180</v>
      </c>
      <c r="T4" s="5">
        <v>2339</v>
      </c>
    </row>
    <row r="5" spans="1:20">
      <c r="A5" s="4" t="s">
        <v>304</v>
      </c>
      <c r="B5" s="6">
        <v>33.1</v>
      </c>
      <c r="C5" s="6">
        <v>33.6</v>
      </c>
      <c r="D5" s="6">
        <v>32.6</v>
      </c>
      <c r="E5" s="6">
        <v>33.5</v>
      </c>
      <c r="F5" s="6">
        <v>33.6</v>
      </c>
      <c r="G5" s="6">
        <v>34.4</v>
      </c>
      <c r="H5" s="6">
        <v>34.9</v>
      </c>
      <c r="I5" s="6">
        <v>34.4</v>
      </c>
      <c r="J5" s="6">
        <v>35.2</v>
      </c>
      <c r="K5" s="6">
        <v>34.9</v>
      </c>
      <c r="L5" s="6">
        <v>35</v>
      </c>
      <c r="M5" s="6">
        <v>34</v>
      </c>
      <c r="N5" s="6">
        <v>35.5</v>
      </c>
      <c r="O5" s="6">
        <v>34.7</v>
      </c>
      <c r="P5" s="6">
        <v>33.6</v>
      </c>
      <c r="Q5" s="6">
        <v>33.8</v>
      </c>
      <c r="R5" s="6">
        <v>34.6</v>
      </c>
      <c r="S5" s="6">
        <v>38.6</v>
      </c>
      <c r="T5" s="6">
        <v>40.1</v>
      </c>
    </row>
    <row r="6" spans="1:20">
      <c r="A6" s="4" t="s">
        <v>305</v>
      </c>
      <c r="B6" s="6">
        <v>75.7</v>
      </c>
      <c r="C6" s="5">
        <v>116</v>
      </c>
      <c r="D6" s="5">
        <v>137</v>
      </c>
      <c r="E6" s="5">
        <v>136</v>
      </c>
      <c r="F6" s="5">
        <v>142</v>
      </c>
      <c r="G6" s="5">
        <v>160</v>
      </c>
      <c r="H6" s="5">
        <v>139</v>
      </c>
      <c r="I6" s="5">
        <v>139</v>
      </c>
      <c r="J6" s="5">
        <v>160</v>
      </c>
      <c r="K6" s="5">
        <v>179</v>
      </c>
      <c r="L6" s="5">
        <v>182</v>
      </c>
      <c r="M6" s="5">
        <v>146</v>
      </c>
      <c r="N6" s="5">
        <v>228</v>
      </c>
      <c r="O6" s="5">
        <v>251</v>
      </c>
      <c r="P6" s="5">
        <v>248</v>
      </c>
      <c r="Q6" s="5">
        <v>270</v>
      </c>
      <c r="R6" s="5">
        <v>303</v>
      </c>
      <c r="S6" s="5">
        <v>426</v>
      </c>
      <c r="T6" s="5">
        <v>495</v>
      </c>
    </row>
    <row r="7" spans="1:20">
      <c r="A7" s="4" t="s">
        <v>306</v>
      </c>
      <c r="B7" s="6">
        <v>8.7</v>
      </c>
      <c r="C7" s="6">
        <v>12.5</v>
      </c>
      <c r="D7" s="6">
        <v>13.3</v>
      </c>
      <c r="E7" s="6">
        <v>12.8</v>
      </c>
      <c r="F7" s="6">
        <v>12.6</v>
      </c>
      <c r="G7" s="6">
        <v>13.8</v>
      </c>
      <c r="H7" s="6">
        <v>12.2</v>
      </c>
      <c r="I7" s="6">
        <v>12.3</v>
      </c>
      <c r="J7" s="6">
        <v>13.3</v>
      </c>
      <c r="K7" s="6">
        <v>13.4</v>
      </c>
      <c r="L7" s="6">
        <v>13</v>
      </c>
      <c r="M7" s="6">
        <v>10.7</v>
      </c>
      <c r="N7" s="6">
        <v>14.9</v>
      </c>
      <c r="O7" s="6">
        <v>14.6</v>
      </c>
      <c r="P7" s="6">
        <v>13.5</v>
      </c>
      <c r="Q7" s="6">
        <v>13.9</v>
      </c>
      <c r="R7" s="6">
        <v>15</v>
      </c>
      <c r="S7" s="6">
        <v>19.5</v>
      </c>
      <c r="T7" s="6">
        <v>21.1</v>
      </c>
    </row>
    <row r="8" spans="1:20">
      <c r="A8" s="4" t="s">
        <v>307</v>
      </c>
      <c r="B8" s="5">
        <v>136</v>
      </c>
      <c r="C8" s="5">
        <v>166</v>
      </c>
      <c r="D8" s="5">
        <v>187</v>
      </c>
      <c r="E8" s="5">
        <v>188</v>
      </c>
      <c r="F8" s="5">
        <v>198</v>
      </c>
      <c r="G8" s="5">
        <v>219</v>
      </c>
      <c r="H8" s="5">
        <v>199</v>
      </c>
      <c r="I8" s="5">
        <v>200</v>
      </c>
      <c r="J8" s="5">
        <v>229</v>
      </c>
      <c r="K8" s="5">
        <v>255</v>
      </c>
      <c r="L8" s="5">
        <v>270</v>
      </c>
      <c r="M8" s="5">
        <v>238</v>
      </c>
      <c r="N8" s="5">
        <v>310</v>
      </c>
      <c r="O8" s="5">
        <v>341</v>
      </c>
      <c r="P8" s="5">
        <v>357</v>
      </c>
      <c r="Q8" s="5">
        <v>393</v>
      </c>
      <c r="R8" s="5">
        <v>425</v>
      </c>
      <c r="S8" s="5">
        <v>520</v>
      </c>
      <c r="T8" s="5">
        <v>601</v>
      </c>
    </row>
    <row r="9" spans="1:20">
      <c r="A9" s="4" t="s">
        <v>308</v>
      </c>
      <c r="B9" s="6">
        <v>57.6</v>
      </c>
      <c r="C9" s="6">
        <v>83.9</v>
      </c>
      <c r="D9" s="6">
        <v>99.6</v>
      </c>
      <c r="E9" s="5">
        <v>104</v>
      </c>
      <c r="F9" s="5">
        <v>112</v>
      </c>
      <c r="G9" s="5">
        <v>123</v>
      </c>
      <c r="H9" s="5">
        <v>120</v>
      </c>
      <c r="I9" s="5">
        <v>121</v>
      </c>
      <c r="J9" s="5">
        <v>129</v>
      </c>
      <c r="K9" s="5">
        <v>160</v>
      </c>
      <c r="L9" s="5">
        <v>165</v>
      </c>
      <c r="M9" s="5">
        <v>142</v>
      </c>
      <c r="N9" s="5">
        <v>200</v>
      </c>
      <c r="O9" s="5">
        <v>224</v>
      </c>
      <c r="P9" s="5">
        <v>222</v>
      </c>
      <c r="Q9" s="5">
        <v>239</v>
      </c>
      <c r="R9" s="5">
        <v>269</v>
      </c>
      <c r="S9" s="5">
        <v>337</v>
      </c>
      <c r="T9" s="5">
        <v>386</v>
      </c>
    </row>
    <row r="11" spans="1:20">
      <c r="A11" s="4" t="s">
        <v>309</v>
      </c>
      <c r="C11" s="7">
        <f t="shared" ref="C11:T11" si="0">IFERROR(C9/B9-1,NA())</f>
        <v>0.456597222222222</v>
      </c>
      <c r="D11" s="7">
        <f t="shared" si="0"/>
        <v>0.187127532777115</v>
      </c>
      <c r="E11" s="7">
        <f t="shared" si="0"/>
        <v>0.0441767068273093</v>
      </c>
      <c r="F11" s="7">
        <f t="shared" si="0"/>
        <v>0.0769230769230769</v>
      </c>
      <c r="G11" s="7">
        <f t="shared" si="0"/>
        <v>0.0982142857142858</v>
      </c>
      <c r="H11" s="7">
        <f t="shared" si="0"/>
        <v>-0.024390243902439</v>
      </c>
      <c r="I11" s="7">
        <f t="shared" si="0"/>
        <v>0.0083333333333333</v>
      </c>
      <c r="J11" s="7">
        <f t="shared" si="0"/>
        <v>0.0661157024793388</v>
      </c>
      <c r="K11" s="7">
        <f t="shared" si="0"/>
        <v>0.24031007751938</v>
      </c>
      <c r="L11" s="7">
        <f t="shared" si="0"/>
        <v>0.03125</v>
      </c>
      <c r="M11" s="7">
        <f t="shared" si="0"/>
        <v>-0.139393939393939</v>
      </c>
      <c r="N11" s="7">
        <f t="shared" si="0"/>
        <v>0.408450704225352</v>
      </c>
      <c r="O11" s="7">
        <f t="shared" si="0"/>
        <v>0.12</v>
      </c>
      <c r="P11" s="7">
        <f t="shared" si="0"/>
        <v>-0.0089285714285714</v>
      </c>
      <c r="Q11" s="7">
        <f t="shared" si="0"/>
        <v>0.0765765765765767</v>
      </c>
      <c r="R11" s="7">
        <f t="shared" si="0"/>
        <v>0.125523012552301</v>
      </c>
      <c r="S11" s="7">
        <f t="shared" si="0"/>
        <v>0.252788104089219</v>
      </c>
      <c r="T11" s="7">
        <f t="shared" si="0"/>
        <v>0.14540059347181</v>
      </c>
    </row>
    <row r="12" spans="1:20">
      <c r="A12" s="4" t="s">
        <v>310</v>
      </c>
      <c r="C12" s="7">
        <f t="shared" ref="C12:T12" si="1">IFERROR(C4/B4-1,NA())</f>
        <v>0.0756693830034925</v>
      </c>
      <c r="D12" s="7">
        <f t="shared" si="1"/>
        <v>0.101731601731602</v>
      </c>
      <c r="E12" s="7">
        <f t="shared" si="1"/>
        <v>0.0353634577603144</v>
      </c>
      <c r="F12" s="7">
        <f t="shared" si="1"/>
        <v>0.0626185958254268</v>
      </c>
      <c r="G12" s="7">
        <f t="shared" si="1"/>
        <v>0.0214285714285714</v>
      </c>
      <c r="H12" s="7">
        <f t="shared" si="1"/>
        <v>-0.0131118881118881</v>
      </c>
      <c r="I12" s="7">
        <f t="shared" si="1"/>
        <v>0</v>
      </c>
      <c r="J12" s="7">
        <f t="shared" si="1"/>
        <v>0.0540301151461471</v>
      </c>
      <c r="K12" s="7">
        <f t="shared" si="1"/>
        <v>0.0983193277310925</v>
      </c>
      <c r="L12" s="7">
        <f t="shared" si="1"/>
        <v>0.0374904361132364</v>
      </c>
      <c r="M12" s="7">
        <f t="shared" si="1"/>
        <v>-0.0221238938053098</v>
      </c>
      <c r="N12" s="7">
        <f t="shared" si="1"/>
        <v>0.138763197586727</v>
      </c>
      <c r="O12" s="7">
        <f t="shared" si="1"/>
        <v>0.128476821192053</v>
      </c>
      <c r="P12" s="7">
        <f t="shared" si="1"/>
        <v>0.0475352112676057</v>
      </c>
      <c r="Q12" s="7">
        <f t="shared" si="1"/>
        <v>0.0442577030812326</v>
      </c>
      <c r="R12" s="7">
        <f t="shared" si="1"/>
        <v>0.0445278969957081</v>
      </c>
      <c r="S12" s="7">
        <f t="shared" si="1"/>
        <v>0.119671289162815</v>
      </c>
      <c r="T12" s="7">
        <f t="shared" si="1"/>
        <v>0.0729357798165138</v>
      </c>
    </row>
    <row r="14" ht="36" customHeight="1" spans="1:20">
      <c r="A14" s="8" t="s">
        <v>311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</sheetData>
  <mergeCells count="2">
    <mergeCell ref="A1:T1"/>
    <mergeCell ref="A14:T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0. Database</vt:lpstr>
      <vt:lpstr>1. Revenue &amp; Growth</vt:lpstr>
      <vt:lpstr>2. Capex &amp; D&amp;A</vt:lpstr>
      <vt:lpstr>3. FCF &amp; Cash</vt:lpstr>
      <vt:lpstr>4. EPS &amp; Margins</vt:lpstr>
      <vt:lpstr>5. Depreciation Sensitivity</vt:lpstr>
      <vt:lpstr>IT_DA_Share_Derivation</vt:lpstr>
      <vt:lpstr>6. SP500 AI EPS Split</vt:lpstr>
      <vt:lpstr>7. SPX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17</cp:revision>
  <dcterms:created xsi:type="dcterms:W3CDTF">2026-05-03T22:12:00Z</dcterms:created>
  <dcterms:modified xsi:type="dcterms:W3CDTF">2026-05-26T16:50:45Z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2052-3.9.0.6159</vt:lpwstr>
  </property>
</Properties>
</file>
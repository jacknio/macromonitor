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 Split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<sst xmlns="http://schemas.openxmlformats.org/spreadsheetml/2006/main" count="40" uniqueCount="31">
  <si>
    <t xml:space="preserve">Fee Split Model – Sales / SWT / MGM</t>
  </si>
  <si>
    <t xml:space="preserve">Blue font = input cells (placeholders – replace with actual figures)  |  Black = formulas, do not overwrite</t>
  </si>
  <si>
    <t xml:space="preserve">1.  INPUTS</t>
  </si>
  <si>
    <t xml:space="preserve">Current</t>
  </si>
  <si>
    <t xml:space="preserve">New</t>
  </si>
  <si>
    <t xml:space="preserve">Total</t>
  </si>
  <si>
    <t xml:space="preserve">AUM ($mm)</t>
  </si>
  <si>
    <t xml:space="preserve">ACAC Fee (bps)</t>
  </si>
  <si>
    <t xml:space="preserve">Regular Fee (bps)</t>
  </si>
  <si>
    <t xml:space="preserve">Total Fee (bps)</t>
  </si>
  <si>
    <t xml:space="preserve">Current book: ACAC + Regular are inputs, Total is calculated.  New AUM: Total + ACAC are inputs, Regular = Total − ACAC.</t>
  </si>
  <si>
    <t xml:space="preserve">2.  SPLIT ASSUMPTIONS</t>
  </si>
  <si>
    <t xml:space="preserve">ACAC Fee → SWT Team</t>
  </si>
  <si>
    <t xml:space="preserve">ACAC Fee → PWM Management</t>
  </si>
  <si>
    <t xml:space="preserve">Regular Fee → Sales</t>
  </si>
  <si>
    <t xml:space="preserve">Regular Fee → MGM</t>
  </si>
  <si>
    <t xml:space="preserve">3.  FEE CALCULATION ($k)</t>
  </si>
  <si>
    <t xml:space="preserve">ACAC Fee</t>
  </si>
  <si>
    <t xml:space="preserve">SWT Team</t>
  </si>
  <si>
    <t xml:space="preserve">PWM Management</t>
  </si>
  <si>
    <t xml:space="preserve">Regular Fee</t>
  </si>
  <si>
    <t xml:space="preserve">Sales</t>
  </si>
  <si>
    <t xml:space="preserve">MGM</t>
  </si>
  <si>
    <t xml:space="preserve">Total Fees</t>
  </si>
  <si>
    <t xml:space="preserve">4.  SUMMARY BY TEAM ($k)</t>
  </si>
  <si>
    <t xml:space="preserve">MGM (incl. PWM Management)</t>
  </si>
  <si>
    <t xml:space="preserve">Check vs. Total Fees (should be OK / 0)</t>
  </si>
  <si>
    <t xml:space="preserve">Notes:</t>
  </si>
  <si>
    <t xml:space="preserve">1)  Fee ($k) = AUM ($mm) × Fee (bps) ÷ 10.   e.g. $500mm × 20bps = $1,000k</t>
  </si>
  <si>
    <t xml:space="preserve">2)  All figures shown are illustrative placeholders provided for structure – replace every blue cell with actuals.</t>
  </si>
  <si>
    <t xml:space="preserve">3)  MGM summary line aggregates PWM Management share of ACAC fee (70%) and MGM share of Regular fee (70%).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</si>
</sst>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"/>
    <numFmt numFmtId="167" formatCode="0.0%"/>
    <numFmt numFmtId="168" formatCode="\$#,##0;&quot;($&quot;#,##0\);\-"/>
    <numFmt numFmtId="169" formatCode="0.0;\(0.0\);&quot;OK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/>
      <c r="B5" s="5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A6" s="6" t="s">
        <v>6</v>
      </c>
      <c r="B6" s="7" t="n">
        <v>500</v>
      </c>
      <c r="C6" s="7" t="n">
        <v>100</v>
      </c>
      <c r="D6" s="8" t="n">
        <f aca="false">B6+C6</f>
        <v>600</v>
      </c>
    </row>
    <row r="7" customFormat="false" ht="15" hidden="false" customHeight="false" outlineLevel="0" collapsed="false">
      <c r="A7" s="6" t="s">
        <v>7</v>
      </c>
      <c r="B7" s="9" t="n">
        <v>20</v>
      </c>
      <c r="C7" s="9" t="n">
        <v>20</v>
      </c>
    </row>
    <row r="8" customFormat="false" ht="15" hidden="false" customHeight="false" outlineLevel="0" collapsed="false">
      <c r="A8" s="6" t="s">
        <v>8</v>
      </c>
      <c r="B8" s="9" t="n">
        <v>55</v>
      </c>
      <c r="C8" s="10" t="n">
        <f aca="false">C9-C7</f>
        <v>55</v>
      </c>
    </row>
    <row r="9" customFormat="false" ht="15" hidden="false" customHeight="false" outlineLevel="0" collapsed="false">
      <c r="A9" s="11" t="s">
        <v>9</v>
      </c>
      <c r="B9" s="12" t="n">
        <f aca="false">B7+B8</f>
        <v>75</v>
      </c>
      <c r="C9" s="13" t="n">
        <v>75</v>
      </c>
      <c r="D9" s="12" t="n">
        <f aca="false">IF(D6=0,0,(B6*B9+C6*C9)/D6)</f>
        <v>75</v>
      </c>
    </row>
    <row r="10" customFormat="false" ht="15" hidden="false" customHeight="false" outlineLevel="0" collapsed="false">
      <c r="A10" s="2" t="s">
        <v>10</v>
      </c>
    </row>
    <row r="12" customFormat="false" ht="15" hidden="false" customHeight="false" outlineLevel="0" collapsed="false">
      <c r="A12" s="3" t="s">
        <v>11</v>
      </c>
      <c r="B12" s="3"/>
      <c r="C12" s="3"/>
      <c r="D12" s="3"/>
    </row>
    <row r="13" customFormat="false" ht="15" hidden="false" customHeight="false" outlineLevel="0" collapsed="false">
      <c r="A13" s="6" t="s">
        <v>12</v>
      </c>
      <c r="B13" s="14" t="n">
        <v>0.3</v>
      </c>
    </row>
    <row r="14" customFormat="false" ht="15" hidden="false" customHeight="false" outlineLevel="0" collapsed="false">
      <c r="A14" s="6" t="s">
        <v>13</v>
      </c>
      <c r="B14" s="15" t="n">
        <f aca="false">1-B13</f>
        <v>0.7</v>
      </c>
    </row>
    <row r="15" customFormat="false" ht="15" hidden="false" customHeight="false" outlineLevel="0" collapsed="false">
      <c r="A15" s="6" t="s">
        <v>14</v>
      </c>
      <c r="B15" s="14" t="n">
        <v>0.3</v>
      </c>
    </row>
    <row r="16" customFormat="false" ht="15" hidden="false" customHeight="false" outlineLevel="0" collapsed="false">
      <c r="A16" s="6" t="s">
        <v>15</v>
      </c>
      <c r="B16" s="15" t="n">
        <f aca="false">1-B15</f>
        <v>0.7</v>
      </c>
    </row>
    <row r="18" customFormat="false" ht="15" hidden="false" customHeight="false" outlineLevel="0" collapsed="false">
      <c r="A18" s="3" t="s">
        <v>16</v>
      </c>
      <c r="B18" s="3"/>
      <c r="C18" s="3"/>
      <c r="D18" s="3"/>
    </row>
    <row r="19" customFormat="false" ht="15" hidden="false" customHeight="false" outlineLevel="0" collapsed="false">
      <c r="A19" s="4"/>
      <c r="B19" s="5" t="s">
        <v>3</v>
      </c>
      <c r="C19" s="5" t="s">
        <v>4</v>
      </c>
      <c r="D19" s="5" t="s">
        <v>5</v>
      </c>
    </row>
    <row r="20" customFormat="false" ht="15" hidden="false" customHeight="false" outlineLevel="0" collapsed="false">
      <c r="A20" s="11" t="s">
        <v>17</v>
      </c>
      <c r="B20" s="16" t="n">
        <f aca="false">B6*B7/10</f>
        <v>1000</v>
      </c>
      <c r="C20" s="16" t="n">
        <f aca="false">C6*C7/10</f>
        <v>200</v>
      </c>
      <c r="D20" s="16" t="n">
        <f aca="false">B20+C20</f>
        <v>1200</v>
      </c>
    </row>
    <row r="21" customFormat="false" ht="15" hidden="false" customHeight="false" outlineLevel="0" collapsed="false">
      <c r="A21" s="17" t="s">
        <v>18</v>
      </c>
      <c r="B21" s="18" t="n">
        <f aca="false">B20*$B$13</f>
        <v>300</v>
      </c>
      <c r="C21" s="18" t="n">
        <f aca="false">C20*$B$13</f>
        <v>60</v>
      </c>
      <c r="D21" s="18" t="n">
        <f aca="false">B21+C21</f>
        <v>360</v>
      </c>
    </row>
    <row r="22" customFormat="false" ht="15" hidden="false" customHeight="false" outlineLevel="0" collapsed="false">
      <c r="A22" s="17" t="s">
        <v>19</v>
      </c>
      <c r="B22" s="18" t="n">
        <f aca="false">B20*$B$14</f>
        <v>700</v>
      </c>
      <c r="C22" s="18" t="n">
        <f aca="false">C20*$B$14</f>
        <v>140</v>
      </c>
      <c r="D22" s="18" t="n">
        <f aca="false">B22+C22</f>
        <v>840</v>
      </c>
    </row>
    <row r="23" customFormat="false" ht="15" hidden="false" customHeight="false" outlineLevel="0" collapsed="false">
      <c r="A23" s="11" t="s">
        <v>20</v>
      </c>
      <c r="B23" s="16" t="n">
        <f aca="false">B6*B8/10</f>
        <v>2750</v>
      </c>
      <c r="C23" s="16" t="n">
        <f aca="false">C6*C8/10</f>
        <v>550</v>
      </c>
      <c r="D23" s="16" t="n">
        <f aca="false">B23+C23</f>
        <v>3300</v>
      </c>
    </row>
    <row r="24" customFormat="false" ht="15" hidden="false" customHeight="false" outlineLevel="0" collapsed="false">
      <c r="A24" s="17" t="s">
        <v>21</v>
      </c>
      <c r="B24" s="18" t="n">
        <f aca="false">B23*$B$15</f>
        <v>825</v>
      </c>
      <c r="C24" s="18" t="n">
        <f aca="false">C23*$B$15</f>
        <v>165</v>
      </c>
      <c r="D24" s="18" t="n">
        <f aca="false">B24+C24</f>
        <v>990</v>
      </c>
    </row>
    <row r="25" customFormat="false" ht="15" hidden="false" customHeight="false" outlineLevel="0" collapsed="false">
      <c r="A25" s="17" t="s">
        <v>22</v>
      </c>
      <c r="B25" s="18" t="n">
        <f aca="false">B23*$B$16</f>
        <v>1925</v>
      </c>
      <c r="C25" s="18" t="n">
        <f aca="false">C23*$B$16</f>
        <v>385</v>
      </c>
      <c r="D25" s="18" t="n">
        <f aca="false">B25+C25</f>
        <v>2310</v>
      </c>
    </row>
    <row r="26" customFormat="false" ht="15" hidden="false" customHeight="false" outlineLevel="0" collapsed="false">
      <c r="A26" s="19" t="s">
        <v>23</v>
      </c>
      <c r="B26" s="20" t="n">
        <f aca="false">B20+B23</f>
        <v>3750</v>
      </c>
      <c r="C26" s="20" t="n">
        <f aca="false">C20+C23</f>
        <v>750</v>
      </c>
      <c r="D26" s="20" t="n">
        <f aca="false">B26+C26</f>
        <v>4500</v>
      </c>
    </row>
    <row r="28" customFormat="false" ht="15" hidden="false" customHeight="false" outlineLevel="0" collapsed="false">
      <c r="A28" s="3" t="s">
        <v>24</v>
      </c>
      <c r="B28" s="3"/>
      <c r="C28" s="3"/>
      <c r="D28" s="3"/>
    </row>
    <row r="29" customFormat="false" ht="15" hidden="false" customHeight="false" outlineLevel="0" collapsed="false">
      <c r="A29" s="4"/>
      <c r="B29" s="5" t="s">
        <v>3</v>
      </c>
      <c r="C29" s="5" t="s">
        <v>4</v>
      </c>
      <c r="D29" s="5" t="s">
        <v>5</v>
      </c>
    </row>
    <row r="30" customFormat="false" ht="15" hidden="false" customHeight="false" outlineLevel="0" collapsed="false">
      <c r="A30" s="6" t="s">
        <v>21</v>
      </c>
      <c r="B30" s="18" t="n">
        <f aca="false">B24</f>
        <v>825</v>
      </c>
      <c r="C30" s="18" t="n">
        <f aca="false">C24</f>
        <v>165</v>
      </c>
      <c r="D30" s="18" t="n">
        <f aca="false">B30+C30</f>
        <v>990</v>
      </c>
    </row>
    <row r="31" customFormat="false" ht="15" hidden="false" customHeight="false" outlineLevel="0" collapsed="false">
      <c r="A31" s="6" t="s">
        <v>18</v>
      </c>
      <c r="B31" s="18" t="n">
        <f aca="false">B21</f>
        <v>300</v>
      </c>
      <c r="C31" s="18" t="n">
        <f aca="false">C21</f>
        <v>60</v>
      </c>
      <c r="D31" s="18" t="n">
        <f aca="false">B31+C31</f>
        <v>360</v>
      </c>
    </row>
    <row r="32" customFormat="false" ht="15" hidden="false" customHeight="false" outlineLevel="0" collapsed="false">
      <c r="A32" s="6" t="s">
        <v>25</v>
      </c>
      <c r="B32" s="18" t="n">
        <f aca="false">B22+B25</f>
        <v>2625</v>
      </c>
      <c r="C32" s="18" t="n">
        <f aca="false">C22+C25</f>
        <v>525</v>
      </c>
      <c r="D32" s="18" t="n">
        <f aca="false">B32+C32</f>
        <v>3150</v>
      </c>
    </row>
    <row r="33" customFormat="false" ht="15" hidden="false" customHeight="false" outlineLevel="0" collapsed="false">
      <c r="A33" s="19" t="s">
        <v>5</v>
      </c>
      <c r="B33" s="20" t="n">
        <f aca="false">SUM(B30:B32)</f>
        <v>3750</v>
      </c>
      <c r="C33" s="20" t="n">
        <f aca="false">SUM(C30:C32)</f>
        <v>750</v>
      </c>
      <c r="D33" s="20" t="n">
        <f aca="false">SUM(D30:D32)</f>
        <v>4500</v>
      </c>
    </row>
    <row r="34" customFormat="false" ht="15" hidden="false" customHeight="false" outlineLevel="0" collapsed="false">
      <c r="A34" s="2" t="s">
        <v>26</v>
      </c>
      <c r="B34" s="21" t="n">
        <f aca="false">B33-B26</f>
        <v>0</v>
      </c>
      <c r="C34" s="21" t="n">
        <f aca="false">C33-C26</f>
        <v>0</v>
      </c>
      <c r="D34" s="21" t="n">
        <f aca="false">D33-D26</f>
        <v>0</v>
      </c>
    </row>
    <row r="36" customFormat="false" ht="15" hidden="false" customHeight="false" outlineLevel="0" collapsed="false">
      <c r="A36" s="2" t="s">
        <v>27</v>
      </c>
    </row>
    <row r="37" customFormat="false" ht="15" hidden="false" customHeight="false" outlineLevel="0" collapsed="false">
      <c r="A37" s="2" t="s">
        <v>28</v>
      </c>
    </row>
    <row r="38" customFormat="false" ht="15" hidden="false" customHeight="false" outlineLevel="0" collapsed="false">
      <c r="A38" s="2" t="s">
        <v>29</v>
      </c>
    </row>
    <row r="39" customFormat="false" ht="15" hidden="false" customHeight="false" outlineLevel="0" collapsed="false">
      <c r="A39" s="2" t="s">
        <v>30</v>
      </c>
    </row>
  </sheetData>
  <mergeCells count="5">
    <mergeCell ref="A1:D1"/>
    <mergeCell ref="A4:D4"/>
    <mergeCell ref="A12:D12"/>
    <mergeCell ref="A18:D18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2026-07-16T14:16:57Z</dcterms:created>
  <dc:creator>openpyxl</dc:creator>
  <dc:description/>
  <dc:language>en-US</dc:language>
  <cp:lastModifiedBy/>
  <dcterms:modified xsi:type="dcterms:W3CDTF">2026-07-16T14:16:57Z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